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krindo\Downloads\"/>
    </mc:Choice>
  </mc:AlternateContent>
  <xr:revisionPtr revIDLastSave="0" documentId="8_{7EE323A6-3F50-45DD-9D3A-8330003ADB5E}" xr6:coauthVersionLast="47" xr6:coauthVersionMax="47" xr10:uidLastSave="{00000000-0000-0000-0000-000000000000}"/>
  <bookViews>
    <workbookView xWindow="-110" yWindow="-110" windowWidth="19420" windowHeight="11500" xr2:uid="{17B6D5DA-1985-45CE-89EF-659680B6C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2" i="1" l="1"/>
  <c r="C162" i="1"/>
  <c r="G160" i="1"/>
  <c r="F160" i="1"/>
  <c r="F162" i="1" s="1"/>
  <c r="E160" i="1"/>
  <c r="E162" i="1" s="1"/>
  <c r="D160" i="1"/>
  <c r="C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60" i="1" s="1"/>
  <c r="H145" i="1"/>
  <c r="G142" i="1"/>
  <c r="F142" i="1"/>
  <c r="E142" i="1"/>
  <c r="D142" i="1"/>
  <c r="C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142" i="1" s="1"/>
  <c r="G52" i="1"/>
  <c r="G162" i="1" s="1"/>
  <c r="F52" i="1"/>
  <c r="E52" i="1"/>
  <c r="D52" i="1"/>
  <c r="C52" i="1"/>
  <c r="H51" i="1"/>
  <c r="H50" i="1"/>
  <c r="H49" i="1"/>
  <c r="H48" i="1"/>
  <c r="H47" i="1"/>
  <c r="H46" i="1"/>
  <c r="H45" i="1"/>
  <c r="H44" i="1"/>
  <c r="H43" i="1"/>
  <c r="H42" i="1"/>
  <c r="H41" i="1"/>
  <c r="H40" i="1"/>
  <c r="H52" i="1" s="1"/>
  <c r="H39" i="1"/>
  <c r="H38" i="1"/>
  <c r="H37" i="1"/>
  <c r="H36" i="1"/>
  <c r="H35" i="1"/>
  <c r="H34" i="1"/>
  <c r="H33" i="1"/>
  <c r="H32" i="1"/>
  <c r="H31" i="1"/>
  <c r="H30" i="1"/>
  <c r="H29" i="1"/>
  <c r="G21" i="1"/>
  <c r="F21" i="1"/>
  <c r="E21" i="1"/>
  <c r="D21" i="1"/>
  <c r="C21" i="1"/>
  <c r="H20" i="1"/>
  <c r="H19" i="1"/>
  <c r="H18" i="1"/>
  <c r="H17" i="1"/>
  <c r="H21" i="1" s="1"/>
  <c r="H14" i="1"/>
  <c r="H23" i="1" s="1"/>
  <c r="G14" i="1"/>
  <c r="G23" i="1" s="1"/>
  <c r="G166" i="1" s="1"/>
  <c r="F14" i="1"/>
  <c r="F23" i="1" s="1"/>
  <c r="F166" i="1" s="1"/>
  <c r="E14" i="1"/>
  <c r="E23" i="1" s="1"/>
  <c r="E166" i="1" s="1"/>
  <c r="D14" i="1"/>
  <c r="D23" i="1" s="1"/>
  <c r="D166" i="1" s="1"/>
  <c r="C14" i="1"/>
  <c r="C23" i="1" s="1"/>
  <c r="C166" i="1" s="1"/>
  <c r="H13" i="1"/>
  <c r="H12" i="1"/>
  <c r="H11" i="1"/>
  <c r="H8" i="1"/>
  <c r="H162" i="1" l="1"/>
  <c r="H16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customer</author>
  </authors>
  <commentList>
    <comment ref="B62" authorId="0" shapeId="0" xr:uid="{3CE2EE46-1D41-4105-BF78-A7A3C97D5E1A}">
      <text>
        <r>
          <rPr>
            <sz val="9"/>
            <color indexed="81"/>
            <rFont val="Tahoma"/>
            <family val="2"/>
          </rPr>
          <t>4 MILLIAR DIPINDAH KE PUSAT</t>
        </r>
      </text>
    </comment>
  </commentList>
</comments>
</file>

<file path=xl/sharedStrings.xml><?xml version="1.0" encoding="utf-8"?>
<sst xmlns="http://schemas.openxmlformats.org/spreadsheetml/2006/main" count="159" uniqueCount="159">
  <si>
    <t>PT JAMKRINDO KANWIL SURABAYA</t>
  </si>
  <si>
    <t>LABA RUGI RKA TAHUN 2026</t>
  </si>
  <si>
    <t>URAIAN</t>
  </si>
  <si>
    <t>RKA KANCA SURABAYA</t>
  </si>
  <si>
    <t>KUR</t>
  </si>
  <si>
    <t>PEN</t>
  </si>
  <si>
    <t>KBG/SURETYSHIP</t>
  </si>
  <si>
    <t>KONSUMTIF</t>
  </si>
  <si>
    <t>PRODUKTIF</t>
  </si>
  <si>
    <t>TOTAL</t>
  </si>
  <si>
    <t>VOLUME</t>
  </si>
  <si>
    <t>PENDAPATAN PENJAMINAN</t>
  </si>
  <si>
    <t>Imbal Jasa Penjaminan Bruto</t>
  </si>
  <si>
    <t>Restitusi penjaminan kredit</t>
  </si>
  <si>
    <t>Premi Penjaminan Ulang</t>
  </si>
  <si>
    <t>IMBAL JASA PENJAMINAN BERSIH</t>
  </si>
  <si>
    <t>BEBAN KLAIM</t>
  </si>
  <si>
    <t>Beban Klaim</t>
  </si>
  <si>
    <t>Kenaikan (Penurunan) Cadangan Klaim</t>
  </si>
  <si>
    <t>Pendapatan Subrogasi</t>
  </si>
  <si>
    <t>Beban Komisi Netto</t>
  </si>
  <si>
    <t>JUMLAH BEBAN KLAIM</t>
  </si>
  <si>
    <t>PENJAMINAN BERSIH</t>
  </si>
  <si>
    <t>PENDAPATAN INVESTASI BERSIH</t>
  </si>
  <si>
    <t>BEBAN USAHA</t>
  </si>
  <si>
    <t>BEBAN KARYAWAN</t>
  </si>
  <si>
    <t>Beban gaji karyawan</t>
  </si>
  <si>
    <t>Beban lembur karyawan</t>
  </si>
  <si>
    <t>Beban asuransi kesehatan karyawan</t>
  </si>
  <si>
    <t>Beban asuransi jiwa karyawan</t>
  </si>
  <si>
    <t>Beban dana pensiun</t>
  </si>
  <si>
    <t>Beban kompensasi kinerja karyawan</t>
  </si>
  <si>
    <t>Biaya jasa kini karyawan</t>
  </si>
  <si>
    <t>Biaya jasa lalu karyawan</t>
  </si>
  <si>
    <t>Bunga atas imbalan pasca kerja karyawan</t>
  </si>
  <si>
    <t>Beban BPJS kesehatan karyawan</t>
  </si>
  <si>
    <t>Beban BPJS jaminan hari tua karyawan</t>
  </si>
  <si>
    <t>Beban BPJS jaminan kecelakaan kerja dan jaminan kematian karyawan</t>
  </si>
  <si>
    <t>Beban BPJS jaminan pensiun karyawan</t>
  </si>
  <si>
    <t>Beban tunjangan hari raya karyawan</t>
  </si>
  <si>
    <t>Beban tunjangan PPh 21 karyawan</t>
  </si>
  <si>
    <t>Beban tunjangan transportasi karyawan</t>
  </si>
  <si>
    <t>Beban tunjangan jabatan</t>
  </si>
  <si>
    <t>Beban tunjangan cuti besar</t>
  </si>
  <si>
    <t>Beban tunjangan cuti tahunan</t>
  </si>
  <si>
    <t>Beban tunjangan makan</t>
  </si>
  <si>
    <t>Beban Tunjangan Pakaian Kerja</t>
  </si>
  <si>
    <t>Beban kompensasi PKWT/PKWTT</t>
  </si>
  <si>
    <t>Beban tunjangan lainnya</t>
  </si>
  <si>
    <t>Total Beban Karyawan</t>
  </si>
  <si>
    <t>BEBAN ADMINISTRASI &amp; UMUM</t>
  </si>
  <si>
    <t>Imbal jasa profesional - akuntan publik</t>
  </si>
  <si>
    <t>Imbal jasa profesional - konsultan hukum</t>
  </si>
  <si>
    <t>Imbal jasa profesional - konsultan manajemen (SDM, SOP, Akuntansi dll)</t>
  </si>
  <si>
    <t>Beban imbal jasa profesional IT</t>
  </si>
  <si>
    <t>Imbal jasa profesional - lainnya</t>
  </si>
  <si>
    <t>Air, listrik dan utilitas - gedung</t>
  </si>
  <si>
    <t>Air, listrik dan utilitas - rumah dinas</t>
  </si>
  <si>
    <t>Pemasaran</t>
  </si>
  <si>
    <t>Beban pelatihan manajemen</t>
  </si>
  <si>
    <t>Beban pelatihan karyawan - insidentil</t>
  </si>
  <si>
    <t>Beban pelatihan karyawan - leadership</t>
  </si>
  <si>
    <t>Beban pelatihan karyawan - TNA</t>
  </si>
  <si>
    <t>Beban sertifikasi</t>
  </si>
  <si>
    <t>Beban perekrutan karyawan</t>
  </si>
  <si>
    <t>Beban uang saku magang</t>
  </si>
  <si>
    <t>Akomodasi dinas dalam negeri</t>
  </si>
  <si>
    <t>Tranportasi dinas dalam negeri</t>
  </si>
  <si>
    <t>Tunjangan perjalanan dinas dalam negeri</t>
  </si>
  <si>
    <t>Akomodasi dinas luar negeri</t>
  </si>
  <si>
    <t>Tranportasi dinas luar negeri</t>
  </si>
  <si>
    <t>Tunjangan perjalanan dinas luar negeri</t>
  </si>
  <si>
    <t>Percetakan dan inventaris kantor</t>
  </si>
  <si>
    <t>Telepon, fax dan komunikasi - gedung</t>
  </si>
  <si>
    <t>Telepon, fax dan komunikasi - rumah dinas</t>
  </si>
  <si>
    <t>Bensin dan parkir</t>
  </si>
  <si>
    <t>Beban pemeliharaan kendaraan</t>
  </si>
  <si>
    <t>Beban penggunaan Data Center</t>
  </si>
  <si>
    <t>Beban jaringan dan konektivitas</t>
  </si>
  <si>
    <t>Beban penyewaan peralatan IT</t>
  </si>
  <si>
    <t>Beban pemeliharaan peralatan IT</t>
  </si>
  <si>
    <t>Beban pemeliharaan perangkat lunak IT</t>
  </si>
  <si>
    <t>Beban pemeliharaan gedung</t>
  </si>
  <si>
    <t>Beban pemeliharaan rumah dinas</t>
  </si>
  <si>
    <t>Beban pemeliharaan mesin dan peralatan</t>
  </si>
  <si>
    <t>Beban pemeliharaan renovasi dan instalasi</t>
  </si>
  <si>
    <t>Beban aset bernilai rendah</t>
  </si>
  <si>
    <t>Beban pemeliharaan lainnya</t>
  </si>
  <si>
    <t>Beban pemeliharaan gedung sewa</t>
  </si>
  <si>
    <t>Beban pemeliharaan gudang sewa</t>
  </si>
  <si>
    <t>Beban pemeliharaan rumah dinas sewa</t>
  </si>
  <si>
    <t>Beban pemeliharaan peralatan sewa</t>
  </si>
  <si>
    <t>Beban pemeliharaan aset sewa lainnya</t>
  </si>
  <si>
    <t>Sewa kantor</t>
  </si>
  <si>
    <t>Sewa gudang</t>
  </si>
  <si>
    <t>Sewa kendaraan</t>
  </si>
  <si>
    <t>Beban pemeliharaan kendaraan sewa</t>
  </si>
  <si>
    <t>Sewa peralatan</t>
  </si>
  <si>
    <t>Sewa rumah dinas</t>
  </si>
  <si>
    <t>Biaya service charge</t>
  </si>
  <si>
    <t>Sewa lainnya</t>
  </si>
  <si>
    <t>Beban CKPN</t>
  </si>
  <si>
    <t>Beban pengumpulan informasi dan pengelolaan data</t>
  </si>
  <si>
    <t>Beban pengelolaan dana dan investasi</t>
  </si>
  <si>
    <t>Beban penelitian dan pengembangan</t>
  </si>
  <si>
    <t>Beban sosialisasi dan rekonsiliasi</t>
  </si>
  <si>
    <t>Beban eksploitasi</t>
  </si>
  <si>
    <t>Beban asuransi</t>
  </si>
  <si>
    <t>Beban iuran keanggotaan</t>
  </si>
  <si>
    <t>Beban pajak lainnya</t>
  </si>
  <si>
    <t>Denda pajak</t>
  </si>
  <si>
    <t>PPN masukan yang dibebankan</t>
  </si>
  <si>
    <t>Pungutan OJK</t>
  </si>
  <si>
    <t>Pajak bumi dan bangunan</t>
  </si>
  <si>
    <t>Beban TJSL - Pilar Sosial</t>
  </si>
  <si>
    <t>Beban TJSL - Pilar Lingkungan</t>
  </si>
  <si>
    <t>Beban TJSL - Pilar Ekonomi</t>
  </si>
  <si>
    <t>Beban TJSL - Pilar Hukum dan Tata Kelola</t>
  </si>
  <si>
    <t>Beban sponsorship event</t>
  </si>
  <si>
    <t>Beban sumbangan</t>
  </si>
  <si>
    <t>Beban akomodasi rapat</t>
  </si>
  <si>
    <t>Beban konsumsi rapat</t>
  </si>
  <si>
    <t>Beban honorarium peserta rapat</t>
  </si>
  <si>
    <t>Beban jasa pelaksanaan rapat</t>
  </si>
  <si>
    <t>Beban representasi manajemen</t>
  </si>
  <si>
    <t>Beban representasi perusahaan lainnya</t>
  </si>
  <si>
    <t>Biaya admin bank</t>
  </si>
  <si>
    <t>Biaya transfer</t>
  </si>
  <si>
    <t>Retribusi keamanan</t>
  </si>
  <si>
    <t>Retribusi kebersihan</t>
  </si>
  <si>
    <t>Beban pajak dan retribusi daerah</t>
  </si>
  <si>
    <t>Beban umum dan administrasi lainnya</t>
  </si>
  <si>
    <t>Beban lainnya</t>
  </si>
  <si>
    <t>Biaya kegiatan internal</t>
  </si>
  <si>
    <t>Biaya komunitas</t>
  </si>
  <si>
    <t>Biaya komunikasi dan kampanye</t>
  </si>
  <si>
    <t>Selisih biaya invoice</t>
  </si>
  <si>
    <t>Beban retribusi dan kontribusi lainnya</t>
  </si>
  <si>
    <t>Total Beban Administrasi &amp; Umum</t>
  </si>
  <si>
    <t>BEBAN PENYUSUTAN &amp; AMORTISASI</t>
  </si>
  <si>
    <t>Beban penyusutan aset tetap - gedung</t>
  </si>
  <si>
    <t>Beban penyusutan aset tetap - rumah dinas</t>
  </si>
  <si>
    <t>Beban penyusutan aset tetap - kendaraan</t>
  </si>
  <si>
    <t>Beban penyusutan aset tetap - mesin dan peralatan</t>
  </si>
  <si>
    <t>Beban penyusutan aset tetap - renovasi dan instalasi</t>
  </si>
  <si>
    <t>Beban bunga liabilitas sewa - gedung</t>
  </si>
  <si>
    <t>Beban bunga liabilitas sewa - rumah dinas</t>
  </si>
  <si>
    <t>Beban bunga liabilitas sewa - kendaraan</t>
  </si>
  <si>
    <t>Beban bunga liabilitas sewa - peralatan</t>
  </si>
  <si>
    <t>Beban penyusutan hak guna sewa - gedung</t>
  </si>
  <si>
    <t>Beban penyusutan hak guna sewa - rumah dinas</t>
  </si>
  <si>
    <t>Beban penyusutan hak guna sewa - kendaraan</t>
  </si>
  <si>
    <t>Beban penyusutan hak guna sewa - peralatan</t>
  </si>
  <si>
    <t>Beban penyusutan hak guna sewa - gudang</t>
  </si>
  <si>
    <t>Beban amortisasi aset tidak berwujud - perangkat lunak</t>
  </si>
  <si>
    <t>Total Beban Penyusutan &amp; Amortisasi</t>
  </si>
  <si>
    <t>TOTAL BEBAN USAHA</t>
  </si>
  <si>
    <t>PENDAPATAN (BEBAN) LAIN-LAIN BERSIH</t>
  </si>
  <si>
    <t>LABA SEBELUM 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</si>
</sst>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scadia Code"/>
      <family val="3"/>
    </font>
    <font>
      <b/>
      <sz val="11"/>
      <color rgb="FFDEEBEE"/>
      <name val="Cascadia Code"/>
      <family val="3"/>
    </font>
    <font>
      <sz val="11"/>
      <name val="Cascadia Code"/>
      <family val="3"/>
    </font>
    <font>
      <b/>
      <sz val="11"/>
      <name val="Cascadia Code"/>
      <family val="3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D88"/>
        <bgColor indexed="64"/>
      </patternFill>
    </fill>
    <fill>
      <patternFill patternType="solid">
        <fgColor rgb="FF549C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DEEAE8"/>
      </left>
      <right style="thin">
        <color rgb="FFDEEAE8"/>
      </right>
      <top style="thin">
        <color rgb="FFDEEAE8"/>
      </top>
      <bottom style="thin">
        <color rgb="FFDEEAE8"/>
      </bottom>
      <diagonal/>
    </border>
    <border>
      <left style="thin">
        <color rgb="FFDEEAE8"/>
      </left>
      <right/>
      <top style="thin">
        <color rgb="FFDEEAE8"/>
      </top>
      <bottom style="thin">
        <color rgb="FFDEEAE8"/>
      </bottom>
      <diagonal/>
    </border>
    <border>
      <left/>
      <right/>
      <top style="thin">
        <color rgb="FFDEEAE8"/>
      </top>
      <bottom style="thin">
        <color rgb="FFDEEAE8"/>
      </bottom>
      <diagonal/>
    </border>
    <border>
      <left/>
      <right style="thin">
        <color theme="0"/>
      </right>
      <top style="thin">
        <color rgb="FFDEEAE8"/>
      </top>
      <bottom style="thin">
        <color rgb="FFDEEAE8"/>
      </bottom>
      <diagonal/>
    </border>
    <border>
      <left style="thin">
        <color rgb="FFDEEAE8"/>
      </left>
      <right style="thin">
        <color rgb="FFDEEAE8"/>
      </right>
      <top style="thin">
        <color rgb="FFDEEAE8"/>
      </top>
      <bottom/>
      <diagonal/>
    </border>
    <border>
      <left style="thin">
        <color rgb="FFB4D0CB"/>
      </left>
      <right/>
      <top style="thin">
        <color rgb="FFB4D0CB"/>
      </top>
      <bottom/>
      <diagonal/>
    </border>
    <border>
      <left/>
      <right style="thin">
        <color rgb="FFB4D0CB"/>
      </right>
      <top style="thin">
        <color rgb="FFB4D0CB"/>
      </top>
      <bottom/>
      <diagonal/>
    </border>
    <border>
      <left style="thin">
        <color rgb="FFB4D0CB"/>
      </left>
      <right/>
      <top/>
      <bottom/>
      <diagonal/>
    </border>
    <border>
      <left/>
      <right style="thin">
        <color rgb="FFB4D0CB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5" fontId="3" fillId="2" borderId="2" xfId="1" applyNumberFormat="1" applyFont="1" applyFill="1" applyBorder="1" applyAlignment="1">
      <alignment horizontal="center" vertical="center"/>
    </xf>
    <xf numFmtId="165" fontId="3" fillId="2" borderId="3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4" borderId="6" xfId="0" applyFont="1" applyFill="1" applyBorder="1"/>
    <xf numFmtId="0" fontId="4" fillId="4" borderId="7" xfId="0" applyFont="1" applyFill="1" applyBorder="1"/>
    <xf numFmtId="43" fontId="5" fillId="4" borderId="8" xfId="1" applyFont="1" applyFill="1" applyBorder="1"/>
    <xf numFmtId="43" fontId="5" fillId="4" borderId="9" xfId="1" applyFont="1" applyFill="1" applyBorder="1"/>
    <xf numFmtId="165" fontId="5" fillId="4" borderId="9" xfId="1" applyNumberFormat="1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43" fontId="4" fillId="4" borderId="8" xfId="1" applyFont="1" applyFill="1" applyBorder="1"/>
    <xf numFmtId="43" fontId="4" fillId="4" borderId="9" xfId="1" applyFont="1" applyFill="1" applyBorder="1"/>
    <xf numFmtId="165" fontId="4" fillId="4" borderId="9" xfId="1" applyNumberFormat="1" applyFont="1" applyFill="1" applyBorder="1"/>
    <xf numFmtId="43" fontId="4" fillId="4" borderId="9" xfId="1" applyFont="1" applyFill="1" applyBorder="1" applyAlignment="1">
      <alignment horizontal="left" indent="2"/>
    </xf>
    <xf numFmtId="165" fontId="4" fillId="4" borderId="9" xfId="1" applyNumberFormat="1" applyFont="1" applyFill="1" applyBorder="1" applyAlignment="1">
      <alignment horizontal="left" indent="2"/>
    </xf>
    <xf numFmtId="43" fontId="4" fillId="5" borderId="8" xfId="1" applyFont="1" applyFill="1" applyBorder="1"/>
    <xf numFmtId="43" fontId="4" fillId="5" borderId="9" xfId="1" applyFont="1" applyFill="1" applyBorder="1" applyAlignment="1">
      <alignment horizontal="left" indent="2"/>
    </xf>
    <xf numFmtId="165" fontId="4" fillId="5" borderId="9" xfId="1" applyNumberFormat="1" applyFont="1" applyFill="1" applyBorder="1" applyAlignment="1">
      <alignment horizontal="left" indent="2"/>
    </xf>
  </cellXfs>
  <cellStyles count="2">
    <cellStyle name="Comma" xfId="1" builtinId="3"/>
    <cellStyle name="Normal" xfId="0" builtinId="0"/>
  </cellStyles>
  <dxfs count="12"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  <dxf>
      <font>
        <b/>
        <i val="0"/>
      </font>
      <fill>
        <patternFill>
          <bgColor rgb="FFF7F6D9"/>
        </patternFill>
      </fill>
    </dxf>
    <dxf>
      <font>
        <b/>
        <i val="0"/>
      </font>
      <fill>
        <patternFill>
          <bgColor rgb="FFEFF6EA"/>
        </patternFill>
      </fill>
    </dxf>
    <dxf>
      <font>
        <b/>
        <i val="0"/>
      </font>
      <fill>
        <patternFill>
          <bgColor rgb="FFEEEEEE"/>
        </patternFill>
      </fill>
      <border>
        <top style="thin">
          <color rgb="FFCEE3BF"/>
        </top>
        <vertical/>
        <horizontal/>
      </border>
    </dxf>
    <dxf>
      <fill>
        <patternFill>
          <bgColor rgb="FFF5F8F9"/>
        </patternFill>
      </fill>
      <border>
        <top style="thin">
          <color rgb="FFDEEBEE"/>
        </top>
        <bottom style="thin">
          <color rgb="FFDEEBEE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B666-912B-48CE-A729-48FBC0E0E4A9}">
  <dimension ref="A1:H166"/>
  <sheetViews>
    <sheetView tabSelected="1" topLeftCell="A133" zoomScale="40" zoomScaleNormal="40" workbookViewId="0">
      <selection activeCell="N22" sqref="N22:N25"/>
    </sheetView>
  </sheetViews>
  <sheetFormatPr defaultRowHeight="14.5" x14ac:dyDescent="0.35"/>
  <cols>
    <col min="1" max="1" width="45.453125" bestFit="1" customWidth="1"/>
    <col min="2" max="2" width="90.54296875" bestFit="1" customWidth="1"/>
    <col min="3" max="3" width="24" bestFit="1" customWidth="1"/>
    <col min="4" max="4" width="20.08984375" bestFit="1" customWidth="1"/>
    <col min="5" max="5" width="24" bestFit="1" customWidth="1"/>
    <col min="6" max="6" width="21.90625" bestFit="1" customWidth="1"/>
    <col min="7" max="7" width="24" bestFit="1" customWidth="1"/>
    <col min="8" max="8" width="25.08984375" bestFit="1" customWidth="1"/>
  </cols>
  <sheetData>
    <row r="1" spans="1:8" ht="16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ht="16" x14ac:dyDescent="0.4">
      <c r="A2" s="1" t="s">
        <v>1</v>
      </c>
      <c r="B2" s="1"/>
      <c r="C2" s="1"/>
      <c r="D2" s="1"/>
      <c r="E2" s="1"/>
      <c r="F2" s="1"/>
      <c r="G2" s="1"/>
      <c r="H2" s="1"/>
    </row>
    <row r="3" spans="1:8" ht="16" x14ac:dyDescent="0.4">
      <c r="A3" s="1"/>
      <c r="B3" s="1"/>
      <c r="C3" s="1"/>
      <c r="D3" s="1"/>
      <c r="E3" s="1"/>
      <c r="F3" s="1"/>
      <c r="G3" s="1"/>
      <c r="H3" s="1"/>
    </row>
    <row r="4" spans="1:8" ht="16" x14ac:dyDescent="0.4">
      <c r="A4" s="2"/>
      <c r="B4" s="2"/>
      <c r="C4" s="2"/>
      <c r="D4" s="2"/>
      <c r="E4" s="2"/>
      <c r="F4" s="2"/>
      <c r="G4" s="2"/>
      <c r="H4" s="2"/>
    </row>
    <row r="5" spans="1:8" ht="16" x14ac:dyDescent="0.35">
      <c r="A5" s="3" t="s">
        <v>2</v>
      </c>
      <c r="B5" s="3"/>
      <c r="C5" s="4" t="s">
        <v>3</v>
      </c>
      <c r="D5" s="5"/>
      <c r="E5" s="5"/>
      <c r="F5" s="5"/>
      <c r="G5" s="5"/>
      <c r="H5" s="6"/>
    </row>
    <row r="6" spans="1:8" ht="16" x14ac:dyDescent="0.35">
      <c r="A6" s="7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</row>
    <row r="7" spans="1:8" ht="16" x14ac:dyDescent="0.4">
      <c r="A7" s="9"/>
      <c r="B7" s="10"/>
      <c r="C7" s="10"/>
      <c r="D7" s="10"/>
      <c r="E7" s="10"/>
      <c r="F7" s="10"/>
      <c r="G7" s="10"/>
      <c r="H7" s="10"/>
    </row>
    <row r="8" spans="1:8" ht="16" x14ac:dyDescent="0.4">
      <c r="A8" s="11" t="s">
        <v>10</v>
      </c>
      <c r="B8" s="12"/>
      <c r="C8" s="13">
        <v>9912949637720</v>
      </c>
      <c r="D8" s="13">
        <v>0</v>
      </c>
      <c r="E8" s="13">
        <v>3913532224491</v>
      </c>
      <c r="F8" s="13">
        <v>974545539188</v>
      </c>
      <c r="G8" s="13">
        <v>2361265957530</v>
      </c>
      <c r="H8" s="13">
        <f>SUM(C8:G8)</f>
        <v>17162293358929</v>
      </c>
    </row>
    <row r="9" spans="1:8" ht="16" x14ac:dyDescent="0.4">
      <c r="A9" s="14"/>
      <c r="B9" s="15"/>
      <c r="C9" s="15"/>
      <c r="D9" s="15"/>
      <c r="E9" s="15"/>
      <c r="F9" s="15"/>
      <c r="G9" s="15"/>
      <c r="H9" s="15"/>
    </row>
    <row r="10" spans="1:8" ht="16" x14ac:dyDescent="0.4">
      <c r="A10" s="11" t="s">
        <v>11</v>
      </c>
      <c r="B10" s="12"/>
      <c r="C10" s="12"/>
      <c r="D10" s="12"/>
      <c r="E10" s="12"/>
      <c r="F10" s="12"/>
      <c r="G10" s="12"/>
      <c r="H10" s="12"/>
    </row>
    <row r="11" spans="1:8" ht="16" x14ac:dyDescent="0.4">
      <c r="A11" s="16"/>
      <c r="B11" s="17" t="s">
        <v>12</v>
      </c>
      <c r="C11" s="18">
        <v>358429774172</v>
      </c>
      <c r="D11" s="18">
        <v>0</v>
      </c>
      <c r="E11" s="18">
        <v>12754022487</v>
      </c>
      <c r="F11" s="18">
        <v>9459354711</v>
      </c>
      <c r="G11" s="18">
        <v>42658164985</v>
      </c>
      <c r="H11" s="18">
        <f>SUM(C11:G11)</f>
        <v>423301316355</v>
      </c>
    </row>
    <row r="12" spans="1:8" ht="16" x14ac:dyDescent="0.4">
      <c r="A12" s="16"/>
      <c r="B12" s="17" t="s">
        <v>13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f t="shared" ref="H12:H13" si="0">SUM(C12:G12)</f>
        <v>0</v>
      </c>
    </row>
    <row r="13" spans="1:8" ht="16" x14ac:dyDescent="0.4">
      <c r="A13" s="16"/>
      <c r="B13" s="17" t="s">
        <v>14</v>
      </c>
      <c r="C13" s="18">
        <v>32275195681</v>
      </c>
      <c r="D13" s="18">
        <v>0</v>
      </c>
      <c r="E13" s="18">
        <v>1548572196</v>
      </c>
      <c r="F13" s="18">
        <v>1411596254</v>
      </c>
      <c r="G13" s="18">
        <v>24666604293</v>
      </c>
      <c r="H13" s="18">
        <f t="shared" si="0"/>
        <v>59901968424</v>
      </c>
    </row>
    <row r="14" spans="1:8" ht="16" x14ac:dyDescent="0.4">
      <c r="A14" s="11"/>
      <c r="B14" s="12" t="s">
        <v>15</v>
      </c>
      <c r="C14" s="13">
        <f>C11-C12-C13</f>
        <v>326154578491</v>
      </c>
      <c r="D14" s="13">
        <f t="shared" ref="D14:H14" si="1">D11-D12-D13</f>
        <v>0</v>
      </c>
      <c r="E14" s="13">
        <f t="shared" si="1"/>
        <v>11205450291</v>
      </c>
      <c r="F14" s="13">
        <f t="shared" si="1"/>
        <v>8047758457</v>
      </c>
      <c r="G14" s="13">
        <f t="shared" si="1"/>
        <v>17991560692</v>
      </c>
      <c r="H14" s="13">
        <f t="shared" si="1"/>
        <v>363399347931</v>
      </c>
    </row>
    <row r="15" spans="1:8" ht="16" x14ac:dyDescent="0.4">
      <c r="A15" s="16"/>
      <c r="B15" s="17"/>
      <c r="C15" s="17"/>
      <c r="D15" s="17"/>
      <c r="E15" s="17"/>
      <c r="F15" s="17"/>
      <c r="G15" s="17"/>
      <c r="H15" s="17"/>
    </row>
    <row r="16" spans="1:8" ht="16" x14ac:dyDescent="0.4">
      <c r="A16" s="11" t="s">
        <v>16</v>
      </c>
      <c r="B16" s="12"/>
      <c r="C16" s="12"/>
      <c r="D16" s="12"/>
      <c r="E16" s="12"/>
      <c r="F16" s="12"/>
      <c r="G16" s="12"/>
      <c r="H16" s="12"/>
    </row>
    <row r="17" spans="1:8" ht="16" x14ac:dyDescent="0.4">
      <c r="A17" s="16"/>
      <c r="B17" s="17" t="s">
        <v>17</v>
      </c>
      <c r="C17" s="18">
        <v>279117753977</v>
      </c>
      <c r="D17" s="18">
        <v>22334975222</v>
      </c>
      <c r="E17" s="18">
        <v>5202817631</v>
      </c>
      <c r="F17" s="18">
        <v>5124694714</v>
      </c>
      <c r="G17" s="18">
        <v>37261618379</v>
      </c>
      <c r="H17" s="18">
        <f t="shared" ref="H17:H20" si="2">SUM(C17:G17)</f>
        <v>349041859923</v>
      </c>
    </row>
    <row r="18" spans="1:8" ht="16" x14ac:dyDescent="0.4">
      <c r="A18" s="16"/>
      <c r="B18" s="17" t="s">
        <v>18</v>
      </c>
      <c r="C18" s="18">
        <v>1747285621</v>
      </c>
      <c r="D18" s="18">
        <v>-5867662416</v>
      </c>
      <c r="E18" s="18">
        <v>17700890</v>
      </c>
      <c r="F18" s="18">
        <v>264667074</v>
      </c>
      <c r="G18" s="18">
        <v>8523487423</v>
      </c>
      <c r="H18" s="18">
        <f t="shared" si="2"/>
        <v>4685478592</v>
      </c>
    </row>
    <row r="19" spans="1:8" ht="16" x14ac:dyDescent="0.4">
      <c r="A19" s="16"/>
      <c r="B19" s="17" t="s">
        <v>19</v>
      </c>
      <c r="C19" s="18">
        <v>71739819407</v>
      </c>
      <c r="D19" s="18">
        <v>17075082318</v>
      </c>
      <c r="E19" s="18">
        <v>59056287</v>
      </c>
      <c r="F19" s="18">
        <v>120506747</v>
      </c>
      <c r="G19" s="18">
        <v>26509953142</v>
      </c>
      <c r="H19" s="18">
        <f t="shared" si="2"/>
        <v>115504417901</v>
      </c>
    </row>
    <row r="20" spans="1:8" ht="16" x14ac:dyDescent="0.4">
      <c r="A20" s="16"/>
      <c r="B20" s="17" t="s">
        <v>20</v>
      </c>
      <c r="C20" s="18">
        <v>5093038920</v>
      </c>
      <c r="D20" s="18">
        <v>0</v>
      </c>
      <c r="E20" s="18">
        <v>269126234</v>
      </c>
      <c r="F20" s="18">
        <v>215756309</v>
      </c>
      <c r="G20" s="18">
        <v>3766766262</v>
      </c>
      <c r="H20" s="18">
        <f t="shared" si="2"/>
        <v>9344687725</v>
      </c>
    </row>
    <row r="21" spans="1:8" ht="16" x14ac:dyDescent="0.4">
      <c r="A21" s="11"/>
      <c r="B21" s="12" t="s">
        <v>21</v>
      </c>
      <c r="C21" s="13">
        <f>C17+C18-C19-C20</f>
        <v>204032181271</v>
      </c>
      <c r="D21" s="13">
        <f t="shared" ref="D21:H21" si="3">D17+D18-D19-D20</f>
        <v>-607769512</v>
      </c>
      <c r="E21" s="13">
        <f t="shared" si="3"/>
        <v>4892336000</v>
      </c>
      <c r="F21" s="13">
        <f t="shared" si="3"/>
        <v>5053098732</v>
      </c>
      <c r="G21" s="13">
        <f t="shared" si="3"/>
        <v>15508386398</v>
      </c>
      <c r="H21" s="13">
        <f t="shared" si="3"/>
        <v>228878232889</v>
      </c>
    </row>
    <row r="22" spans="1:8" ht="16" x14ac:dyDescent="0.4">
      <c r="A22" s="16"/>
      <c r="B22" s="17"/>
      <c r="C22" s="17"/>
      <c r="D22" s="17"/>
      <c r="E22" s="17"/>
      <c r="F22" s="17"/>
      <c r="G22" s="17"/>
      <c r="H22" s="17"/>
    </row>
    <row r="23" spans="1:8" ht="16" x14ac:dyDescent="0.4">
      <c r="A23" s="11" t="s">
        <v>22</v>
      </c>
      <c r="B23" s="12"/>
      <c r="C23" s="13">
        <f>C14-C21</f>
        <v>122122397220</v>
      </c>
      <c r="D23" s="13">
        <f t="shared" ref="D23:H23" si="4">D14-D21</f>
        <v>607769512</v>
      </c>
      <c r="E23" s="13">
        <f t="shared" si="4"/>
        <v>6313114291</v>
      </c>
      <c r="F23" s="13">
        <f t="shared" si="4"/>
        <v>2994659725</v>
      </c>
      <c r="G23" s="13">
        <f t="shared" si="4"/>
        <v>2483174294</v>
      </c>
      <c r="H23" s="13">
        <f t="shared" si="4"/>
        <v>134521115042</v>
      </c>
    </row>
    <row r="24" spans="1:8" ht="16" x14ac:dyDescent="0.4">
      <c r="A24" s="16"/>
      <c r="B24" s="17"/>
      <c r="C24" s="17"/>
      <c r="D24" s="17"/>
      <c r="E24" s="17"/>
      <c r="F24" s="17"/>
      <c r="G24" s="17"/>
      <c r="H24" s="17"/>
    </row>
    <row r="25" spans="1:8" ht="16" x14ac:dyDescent="0.4">
      <c r="A25" s="11" t="s">
        <v>23</v>
      </c>
      <c r="B25" s="12"/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</row>
    <row r="26" spans="1:8" ht="16" x14ac:dyDescent="0.4">
      <c r="A26" s="16"/>
      <c r="B26" s="17"/>
      <c r="C26" s="17"/>
      <c r="D26" s="17"/>
      <c r="E26" s="17"/>
      <c r="F26" s="17"/>
      <c r="G26" s="17"/>
      <c r="H26" s="17"/>
    </row>
    <row r="27" spans="1:8" ht="16" x14ac:dyDescent="0.4">
      <c r="A27" s="11" t="s">
        <v>24</v>
      </c>
      <c r="B27" s="12"/>
      <c r="C27" s="12"/>
      <c r="D27" s="12"/>
      <c r="E27" s="12"/>
      <c r="F27" s="12"/>
      <c r="G27" s="12"/>
      <c r="H27" s="12"/>
    </row>
    <row r="28" spans="1:8" ht="16" x14ac:dyDescent="0.4">
      <c r="A28" s="11"/>
      <c r="B28" s="12" t="s">
        <v>25</v>
      </c>
      <c r="C28" s="12"/>
      <c r="D28" s="12"/>
      <c r="E28" s="12"/>
      <c r="F28" s="12"/>
      <c r="G28" s="12"/>
      <c r="H28" s="12"/>
    </row>
    <row r="29" spans="1:8" ht="16" x14ac:dyDescent="0.4">
      <c r="A29" s="16"/>
      <c r="B29" s="19" t="s">
        <v>26</v>
      </c>
      <c r="C29" s="20">
        <v>2019992538</v>
      </c>
      <c r="D29" s="20">
        <v>0</v>
      </c>
      <c r="E29" s="20">
        <v>41420923</v>
      </c>
      <c r="F29" s="20">
        <v>53309818</v>
      </c>
      <c r="G29" s="20">
        <v>234563696</v>
      </c>
      <c r="H29" s="18">
        <f t="shared" ref="H29:H51" si="5">SUM(C29:G29)</f>
        <v>2349286975</v>
      </c>
    </row>
    <row r="30" spans="1:8" ht="16" x14ac:dyDescent="0.4">
      <c r="A30" s="16"/>
      <c r="B30" s="19" t="s">
        <v>27</v>
      </c>
      <c r="C30" s="20">
        <v>80955400</v>
      </c>
      <c r="D30" s="20">
        <v>0</v>
      </c>
      <c r="E30" s="20">
        <v>1660030</v>
      </c>
      <c r="F30" s="20">
        <v>2136502</v>
      </c>
      <c r="G30" s="20">
        <v>9400628</v>
      </c>
      <c r="H30" s="18">
        <f t="shared" si="5"/>
        <v>94152560</v>
      </c>
    </row>
    <row r="31" spans="1:8" ht="16" x14ac:dyDescent="0.4">
      <c r="A31" s="16"/>
      <c r="B31" s="19" t="s">
        <v>28</v>
      </c>
      <c r="C31" s="20">
        <v>360926704</v>
      </c>
      <c r="D31" s="20">
        <v>0</v>
      </c>
      <c r="E31" s="20">
        <v>7400976</v>
      </c>
      <c r="F31" s="20">
        <v>9525251</v>
      </c>
      <c r="G31" s="20">
        <v>41911195</v>
      </c>
      <c r="H31" s="18">
        <f t="shared" si="5"/>
        <v>419764126</v>
      </c>
    </row>
    <row r="32" spans="1:8" ht="16" x14ac:dyDescent="0.4">
      <c r="A32" s="16"/>
      <c r="B32" s="19" t="s">
        <v>29</v>
      </c>
      <c r="C32" s="20">
        <v>16536107</v>
      </c>
      <c r="D32" s="20">
        <v>0</v>
      </c>
      <c r="E32" s="20">
        <v>339081</v>
      </c>
      <c r="F32" s="20">
        <v>436406</v>
      </c>
      <c r="G32" s="20">
        <v>1920190</v>
      </c>
      <c r="H32" s="18">
        <f t="shared" si="5"/>
        <v>19231784</v>
      </c>
    </row>
    <row r="33" spans="1:8" ht="16" x14ac:dyDescent="0.4">
      <c r="A33" s="16"/>
      <c r="B33" s="19" t="s">
        <v>30</v>
      </c>
      <c r="C33" s="20">
        <v>262090662</v>
      </c>
      <c r="D33" s="20">
        <v>0</v>
      </c>
      <c r="E33" s="20">
        <v>5374296</v>
      </c>
      <c r="F33" s="20">
        <v>6916860</v>
      </c>
      <c r="G33" s="20">
        <v>30434248</v>
      </c>
      <c r="H33" s="18">
        <f t="shared" si="5"/>
        <v>304816066</v>
      </c>
    </row>
    <row r="34" spans="1:8" ht="16" x14ac:dyDescent="0.4">
      <c r="A34" s="16"/>
      <c r="B34" s="19" t="s">
        <v>31</v>
      </c>
      <c r="C34" s="20">
        <v>2639551770</v>
      </c>
      <c r="D34" s="20">
        <v>0</v>
      </c>
      <c r="E34" s="20">
        <v>54125284</v>
      </c>
      <c r="F34" s="20">
        <v>69660665</v>
      </c>
      <c r="G34" s="20">
        <v>306507577</v>
      </c>
      <c r="H34" s="18">
        <f t="shared" si="5"/>
        <v>3069845296</v>
      </c>
    </row>
    <row r="35" spans="1:8" ht="16" x14ac:dyDescent="0.4">
      <c r="A35" s="16"/>
      <c r="B35" s="19" t="s">
        <v>32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18">
        <f t="shared" si="5"/>
        <v>0</v>
      </c>
    </row>
    <row r="36" spans="1:8" ht="16" x14ac:dyDescent="0.4">
      <c r="A36" s="16"/>
      <c r="B36" s="19" t="s">
        <v>33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18">
        <f t="shared" si="5"/>
        <v>0</v>
      </c>
    </row>
    <row r="37" spans="1:8" ht="16" x14ac:dyDescent="0.4">
      <c r="A37" s="16"/>
      <c r="B37" s="19" t="s">
        <v>34</v>
      </c>
      <c r="C37" s="20">
        <v>396307733</v>
      </c>
      <c r="D37" s="20">
        <v>0</v>
      </c>
      <c r="E37" s="20">
        <v>8126482</v>
      </c>
      <c r="F37" s="20">
        <v>10458996</v>
      </c>
      <c r="G37" s="20">
        <v>46019678</v>
      </c>
      <c r="H37" s="18">
        <f t="shared" si="5"/>
        <v>460912889</v>
      </c>
    </row>
    <row r="38" spans="1:8" ht="16" x14ac:dyDescent="0.4">
      <c r="A38" s="16"/>
      <c r="B38" s="19" t="s">
        <v>35</v>
      </c>
      <c r="C38" s="20">
        <v>100583081</v>
      </c>
      <c r="D38" s="20">
        <v>0</v>
      </c>
      <c r="E38" s="20">
        <v>2062505</v>
      </c>
      <c r="F38" s="20">
        <v>2654498</v>
      </c>
      <c r="G38" s="20">
        <v>11679815</v>
      </c>
      <c r="H38" s="18">
        <f t="shared" si="5"/>
        <v>116979899</v>
      </c>
    </row>
    <row r="39" spans="1:8" ht="16" x14ac:dyDescent="0.4">
      <c r="A39" s="16"/>
      <c r="B39" s="19" t="s">
        <v>36</v>
      </c>
      <c r="C39" s="20">
        <v>142687058</v>
      </c>
      <c r="D39" s="20">
        <v>0</v>
      </c>
      <c r="E39" s="20">
        <v>2925867</v>
      </c>
      <c r="F39" s="20">
        <v>3765668</v>
      </c>
      <c r="G39" s="20">
        <v>16568974</v>
      </c>
      <c r="H39" s="18">
        <f t="shared" si="5"/>
        <v>165947567</v>
      </c>
    </row>
    <row r="40" spans="1:8" ht="16" x14ac:dyDescent="0.4">
      <c r="A40" s="16"/>
      <c r="B40" s="19" t="s">
        <v>37</v>
      </c>
      <c r="C40" s="20">
        <v>20708564</v>
      </c>
      <c r="D40" s="20">
        <v>0</v>
      </c>
      <c r="E40" s="20">
        <v>424639</v>
      </c>
      <c r="F40" s="20">
        <v>546522</v>
      </c>
      <c r="G40" s="20">
        <v>2404701</v>
      </c>
      <c r="H40" s="18">
        <f t="shared" si="5"/>
        <v>24084426</v>
      </c>
    </row>
    <row r="41" spans="1:8" ht="16" x14ac:dyDescent="0.4">
      <c r="A41" s="16"/>
      <c r="B41" s="19" t="s">
        <v>38</v>
      </c>
      <c r="C41" s="20">
        <v>47983259</v>
      </c>
      <c r="D41" s="20">
        <v>0</v>
      </c>
      <c r="E41" s="20">
        <v>983920</v>
      </c>
      <c r="F41" s="20">
        <v>1266331</v>
      </c>
      <c r="G41" s="20">
        <v>5571867</v>
      </c>
      <c r="H41" s="18">
        <f t="shared" si="5"/>
        <v>55805377</v>
      </c>
    </row>
    <row r="42" spans="1:8" ht="16" x14ac:dyDescent="0.4">
      <c r="A42" s="16"/>
      <c r="B42" s="19" t="s">
        <v>39</v>
      </c>
      <c r="C42" s="20">
        <v>695650945</v>
      </c>
      <c r="D42" s="20">
        <v>0</v>
      </c>
      <c r="E42" s="20">
        <v>14264659</v>
      </c>
      <c r="F42" s="20">
        <v>18358991</v>
      </c>
      <c r="G42" s="20">
        <v>80779732</v>
      </c>
      <c r="H42" s="18">
        <f t="shared" si="5"/>
        <v>809054327</v>
      </c>
    </row>
    <row r="43" spans="1:8" ht="16" x14ac:dyDescent="0.4">
      <c r="A43" s="16"/>
      <c r="B43" s="19" t="s">
        <v>40</v>
      </c>
      <c r="C43" s="20">
        <v>1603647260</v>
      </c>
      <c r="D43" s="20">
        <v>0</v>
      </c>
      <c r="E43" s="20">
        <v>32883562</v>
      </c>
      <c r="F43" s="20">
        <v>42322009</v>
      </c>
      <c r="G43" s="20">
        <v>186217237</v>
      </c>
      <c r="H43" s="18">
        <f t="shared" si="5"/>
        <v>1865070068</v>
      </c>
    </row>
    <row r="44" spans="1:8" ht="16" x14ac:dyDescent="0.4">
      <c r="A44" s="16"/>
      <c r="B44" s="19" t="s">
        <v>41</v>
      </c>
      <c r="C44" s="20">
        <v>83963494</v>
      </c>
      <c r="D44" s="20">
        <v>0</v>
      </c>
      <c r="E44" s="20">
        <v>1721712</v>
      </c>
      <c r="F44" s="20">
        <v>2215889</v>
      </c>
      <c r="G44" s="20">
        <v>9749931</v>
      </c>
      <c r="H44" s="18">
        <f t="shared" si="5"/>
        <v>97651026</v>
      </c>
    </row>
    <row r="45" spans="1:8" ht="16" x14ac:dyDescent="0.4">
      <c r="A45" s="16"/>
      <c r="B45" s="19" t="s">
        <v>42</v>
      </c>
      <c r="C45" s="20">
        <v>943740633</v>
      </c>
      <c r="D45" s="20">
        <v>0</v>
      </c>
      <c r="E45" s="20">
        <v>19351858</v>
      </c>
      <c r="F45" s="20">
        <v>24906350</v>
      </c>
      <c r="G45" s="20">
        <v>109588173</v>
      </c>
      <c r="H45" s="18">
        <f t="shared" si="5"/>
        <v>1097587014</v>
      </c>
    </row>
    <row r="46" spans="1:8" ht="16" x14ac:dyDescent="0.4">
      <c r="A46" s="16"/>
      <c r="B46" s="19" t="s">
        <v>43</v>
      </c>
      <c r="C46" s="20">
        <v>32940452</v>
      </c>
      <c r="D46" s="20">
        <v>0</v>
      </c>
      <c r="E46" s="20">
        <v>675460</v>
      </c>
      <c r="F46" s="20">
        <v>869335</v>
      </c>
      <c r="G46" s="20">
        <v>3825081</v>
      </c>
      <c r="H46" s="18">
        <f t="shared" si="5"/>
        <v>38310328</v>
      </c>
    </row>
    <row r="47" spans="1:8" ht="16" x14ac:dyDescent="0.4">
      <c r="A47" s="16"/>
      <c r="B47" s="19" t="s">
        <v>44</v>
      </c>
      <c r="C47" s="20">
        <v>316045338</v>
      </c>
      <c r="D47" s="20">
        <v>0</v>
      </c>
      <c r="E47" s="20">
        <v>6480662</v>
      </c>
      <c r="F47" s="20">
        <v>8340783</v>
      </c>
      <c r="G47" s="20">
        <v>36699523</v>
      </c>
      <c r="H47" s="18">
        <f t="shared" si="5"/>
        <v>367566306</v>
      </c>
    </row>
    <row r="48" spans="1:8" ht="16" x14ac:dyDescent="0.4">
      <c r="A48" s="16"/>
      <c r="B48" s="19" t="s">
        <v>45</v>
      </c>
      <c r="C48" s="20">
        <v>284009877</v>
      </c>
      <c r="D48" s="20">
        <v>0</v>
      </c>
      <c r="E48" s="20">
        <v>5823760</v>
      </c>
      <c r="F48" s="20">
        <v>7495332</v>
      </c>
      <c r="G48" s="20">
        <v>32979531</v>
      </c>
      <c r="H48" s="18">
        <f t="shared" si="5"/>
        <v>330308500</v>
      </c>
    </row>
    <row r="49" spans="1:8" ht="16" x14ac:dyDescent="0.4">
      <c r="A49" s="16"/>
      <c r="B49" s="19" t="s">
        <v>46</v>
      </c>
      <c r="C49" s="20">
        <v>66933169</v>
      </c>
      <c r="D49" s="20">
        <v>0</v>
      </c>
      <c r="E49" s="20">
        <v>1372497</v>
      </c>
      <c r="F49" s="20">
        <v>1766440</v>
      </c>
      <c r="G49" s="20">
        <v>7772351</v>
      </c>
      <c r="H49" s="18">
        <f t="shared" si="5"/>
        <v>77844457</v>
      </c>
    </row>
    <row r="50" spans="1:8" ht="16" x14ac:dyDescent="0.4">
      <c r="A50" s="16"/>
      <c r="B50" s="19" t="s">
        <v>47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18">
        <f t="shared" si="5"/>
        <v>0</v>
      </c>
    </row>
    <row r="51" spans="1:8" ht="16" x14ac:dyDescent="0.4">
      <c r="A51" s="16"/>
      <c r="B51" s="19" t="s">
        <v>48</v>
      </c>
      <c r="C51" s="20">
        <v>183002512</v>
      </c>
      <c r="D51" s="20">
        <v>0</v>
      </c>
      <c r="E51" s="20">
        <v>3752555</v>
      </c>
      <c r="F51" s="20">
        <v>4829637</v>
      </c>
      <c r="G51" s="20">
        <v>21250448</v>
      </c>
      <c r="H51" s="18">
        <f t="shared" si="5"/>
        <v>212835152</v>
      </c>
    </row>
    <row r="52" spans="1:8" ht="16" x14ac:dyDescent="0.4">
      <c r="A52" s="11"/>
      <c r="B52" s="12" t="s">
        <v>49</v>
      </c>
      <c r="C52" s="13">
        <f>SUM(C29:C51)</f>
        <v>10298256556</v>
      </c>
      <c r="D52" s="13">
        <f t="shared" ref="D52:H52" si="6">SUM(D29:D51)</f>
        <v>0</v>
      </c>
      <c r="E52" s="13">
        <f t="shared" si="6"/>
        <v>211170728</v>
      </c>
      <c r="F52" s="13">
        <f t="shared" si="6"/>
        <v>271782283</v>
      </c>
      <c r="G52" s="13">
        <f t="shared" si="6"/>
        <v>1195844576</v>
      </c>
      <c r="H52" s="13">
        <f t="shared" si="6"/>
        <v>11977054143</v>
      </c>
    </row>
    <row r="53" spans="1:8" ht="16" x14ac:dyDescent="0.4">
      <c r="A53" s="16"/>
      <c r="B53" s="17"/>
      <c r="C53" s="17"/>
      <c r="D53" s="17"/>
      <c r="E53" s="17"/>
      <c r="F53" s="17"/>
      <c r="G53" s="17"/>
      <c r="H53" s="17"/>
    </row>
    <row r="54" spans="1:8" ht="16" x14ac:dyDescent="0.4">
      <c r="A54" s="16"/>
      <c r="B54" s="17" t="s">
        <v>50</v>
      </c>
      <c r="C54" s="17"/>
      <c r="D54" s="17"/>
      <c r="E54" s="17"/>
      <c r="F54" s="17"/>
      <c r="G54" s="17"/>
      <c r="H54" s="17"/>
    </row>
    <row r="55" spans="1:8" ht="16" x14ac:dyDescent="0.4">
      <c r="A55" s="16"/>
      <c r="B55" s="19" t="s">
        <v>51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18">
        <f t="shared" ref="H55:H118" si="7">SUM(C55:G55)</f>
        <v>0</v>
      </c>
    </row>
    <row r="56" spans="1:8" ht="16" x14ac:dyDescent="0.4">
      <c r="A56" s="16"/>
      <c r="B56" s="19" t="s">
        <v>52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18">
        <f t="shared" si="7"/>
        <v>0</v>
      </c>
    </row>
    <row r="57" spans="1:8" ht="16" x14ac:dyDescent="0.4">
      <c r="A57" s="16"/>
      <c r="B57" s="19" t="s">
        <v>53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18">
        <f t="shared" si="7"/>
        <v>0</v>
      </c>
    </row>
    <row r="58" spans="1:8" ht="16" x14ac:dyDescent="0.4">
      <c r="A58" s="16"/>
      <c r="B58" s="19" t="s">
        <v>54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18">
        <f t="shared" si="7"/>
        <v>0</v>
      </c>
    </row>
    <row r="59" spans="1:8" ht="16" x14ac:dyDescent="0.4">
      <c r="A59" s="16"/>
      <c r="B59" s="19" t="s">
        <v>55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18">
        <f t="shared" si="7"/>
        <v>0</v>
      </c>
    </row>
    <row r="60" spans="1:8" ht="16" x14ac:dyDescent="0.4">
      <c r="A60" s="16"/>
      <c r="B60" s="19" t="s">
        <v>56</v>
      </c>
      <c r="C60" s="20">
        <v>307268768</v>
      </c>
      <c r="D60" s="20">
        <v>0</v>
      </c>
      <c r="E60" s="20">
        <v>6300695</v>
      </c>
      <c r="F60" s="20">
        <v>8109160</v>
      </c>
      <c r="G60" s="20">
        <v>35680378</v>
      </c>
      <c r="H60" s="18">
        <f t="shared" si="7"/>
        <v>357359001</v>
      </c>
    </row>
    <row r="61" spans="1:8" ht="16" x14ac:dyDescent="0.4">
      <c r="A61" s="16"/>
      <c r="B61" s="19" t="s">
        <v>57</v>
      </c>
      <c r="C61" s="20">
        <v>15169427</v>
      </c>
      <c r="D61" s="20">
        <v>0</v>
      </c>
      <c r="E61" s="20">
        <v>311056</v>
      </c>
      <c r="F61" s="20">
        <v>400338</v>
      </c>
      <c r="G61" s="20">
        <v>1761490</v>
      </c>
      <c r="H61" s="18">
        <f t="shared" si="7"/>
        <v>17642311</v>
      </c>
    </row>
    <row r="62" spans="1:8" ht="16" x14ac:dyDescent="0.4">
      <c r="A62" s="16"/>
      <c r="B62" s="19" t="s">
        <v>58</v>
      </c>
      <c r="C62" s="20">
        <v>1373615410</v>
      </c>
      <c r="D62" s="20">
        <v>0</v>
      </c>
      <c r="E62" s="20">
        <v>28166648</v>
      </c>
      <c r="F62" s="20">
        <v>36251217</v>
      </c>
      <c r="G62" s="20">
        <v>159505692</v>
      </c>
      <c r="H62" s="18">
        <f t="shared" si="7"/>
        <v>1597538967</v>
      </c>
    </row>
    <row r="63" spans="1:8" ht="16" x14ac:dyDescent="0.4">
      <c r="A63" s="16"/>
      <c r="B63" s="19" t="s">
        <v>59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18">
        <f t="shared" si="7"/>
        <v>0</v>
      </c>
    </row>
    <row r="64" spans="1:8" ht="16" x14ac:dyDescent="0.4">
      <c r="A64" s="16"/>
      <c r="B64" s="19" t="s">
        <v>60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18">
        <f t="shared" si="7"/>
        <v>0</v>
      </c>
    </row>
    <row r="65" spans="1:8" ht="16" x14ac:dyDescent="0.4">
      <c r="A65" s="16"/>
      <c r="B65" s="19" t="s">
        <v>61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18">
        <f t="shared" si="7"/>
        <v>0</v>
      </c>
    </row>
    <row r="66" spans="1:8" ht="16" x14ac:dyDescent="0.4">
      <c r="A66" s="16"/>
      <c r="B66" s="19" t="s">
        <v>62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18">
        <f t="shared" si="7"/>
        <v>0</v>
      </c>
    </row>
    <row r="67" spans="1:8" ht="16" x14ac:dyDescent="0.4">
      <c r="A67" s="16"/>
      <c r="B67" s="19" t="s">
        <v>63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18">
        <f t="shared" si="7"/>
        <v>0</v>
      </c>
    </row>
    <row r="68" spans="1:8" ht="16" x14ac:dyDescent="0.4">
      <c r="A68" s="16"/>
      <c r="B68" s="19" t="s">
        <v>64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18">
        <f t="shared" si="7"/>
        <v>0</v>
      </c>
    </row>
    <row r="69" spans="1:8" ht="16" x14ac:dyDescent="0.4">
      <c r="A69" s="16"/>
      <c r="B69" s="19" t="s">
        <v>65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18">
        <f t="shared" si="7"/>
        <v>0</v>
      </c>
    </row>
    <row r="70" spans="1:8" ht="16" x14ac:dyDescent="0.4">
      <c r="A70" s="16"/>
      <c r="B70" s="19" t="s">
        <v>66</v>
      </c>
      <c r="C70" s="20">
        <v>100920163</v>
      </c>
      <c r="D70" s="20">
        <v>0</v>
      </c>
      <c r="E70" s="20">
        <v>2069417</v>
      </c>
      <c r="F70" s="20">
        <v>2663394</v>
      </c>
      <c r="G70" s="20">
        <v>11718957</v>
      </c>
      <c r="H70" s="18">
        <f t="shared" si="7"/>
        <v>117371931</v>
      </c>
    </row>
    <row r="71" spans="1:8" ht="16" x14ac:dyDescent="0.4">
      <c r="A71" s="16"/>
      <c r="B71" s="19" t="s">
        <v>67</v>
      </c>
      <c r="C71" s="20">
        <v>9512047</v>
      </c>
      <c r="D71" s="20">
        <v>0</v>
      </c>
      <c r="E71" s="20">
        <v>195049</v>
      </c>
      <c r="F71" s="20">
        <v>251033</v>
      </c>
      <c r="G71" s="20">
        <v>1104549</v>
      </c>
      <c r="H71" s="18">
        <f t="shared" si="7"/>
        <v>11062678</v>
      </c>
    </row>
    <row r="72" spans="1:8" ht="16" x14ac:dyDescent="0.4">
      <c r="A72" s="16"/>
      <c r="B72" s="19" t="s">
        <v>68</v>
      </c>
      <c r="C72" s="20">
        <v>53561010</v>
      </c>
      <c r="D72" s="20">
        <v>0</v>
      </c>
      <c r="E72" s="20">
        <v>1098294</v>
      </c>
      <c r="F72" s="20">
        <v>1413534</v>
      </c>
      <c r="G72" s="20">
        <v>6219562</v>
      </c>
      <c r="H72" s="18">
        <f t="shared" si="7"/>
        <v>62292400</v>
      </c>
    </row>
    <row r="73" spans="1:8" ht="16" x14ac:dyDescent="0.4">
      <c r="A73" s="16"/>
      <c r="B73" s="19" t="s">
        <v>69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18">
        <f t="shared" si="7"/>
        <v>0</v>
      </c>
    </row>
    <row r="74" spans="1:8" ht="16" x14ac:dyDescent="0.4">
      <c r="A74" s="16"/>
      <c r="B74" s="19" t="s">
        <v>70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18">
        <f t="shared" si="7"/>
        <v>0</v>
      </c>
    </row>
    <row r="75" spans="1:8" ht="16" x14ac:dyDescent="0.4">
      <c r="A75" s="16"/>
      <c r="B75" s="19" t="s">
        <v>71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18">
        <f t="shared" si="7"/>
        <v>0</v>
      </c>
    </row>
    <row r="76" spans="1:8" ht="16" x14ac:dyDescent="0.4">
      <c r="A76" s="16"/>
      <c r="B76" s="19" t="s">
        <v>72</v>
      </c>
      <c r="C76" s="20">
        <v>301111384</v>
      </c>
      <c r="D76" s="20">
        <v>0</v>
      </c>
      <c r="E76" s="20">
        <v>6174434</v>
      </c>
      <c r="F76" s="20">
        <v>7946660</v>
      </c>
      <c r="G76" s="20">
        <v>34965376</v>
      </c>
      <c r="H76" s="18">
        <f t="shared" si="7"/>
        <v>350197854</v>
      </c>
    </row>
    <row r="77" spans="1:8" ht="16" x14ac:dyDescent="0.4">
      <c r="A77" s="16"/>
      <c r="B77" s="19" t="s">
        <v>73</v>
      </c>
      <c r="C77" s="20">
        <v>100260504</v>
      </c>
      <c r="D77" s="20">
        <v>0</v>
      </c>
      <c r="E77" s="20">
        <v>2055890</v>
      </c>
      <c r="F77" s="20">
        <v>2645985</v>
      </c>
      <c r="G77" s="20">
        <v>11642357</v>
      </c>
      <c r="H77" s="18">
        <f t="shared" si="7"/>
        <v>116604736</v>
      </c>
    </row>
    <row r="78" spans="1:8" ht="16" x14ac:dyDescent="0.4">
      <c r="A78" s="16"/>
      <c r="B78" s="19" t="s">
        <v>74</v>
      </c>
      <c r="C78" s="20">
        <v>7638275</v>
      </c>
      <c r="D78" s="20">
        <v>0</v>
      </c>
      <c r="E78" s="20">
        <v>156627</v>
      </c>
      <c r="F78" s="20">
        <v>201582</v>
      </c>
      <c r="G78" s="20">
        <v>886965</v>
      </c>
      <c r="H78" s="18">
        <f t="shared" si="7"/>
        <v>8883449</v>
      </c>
    </row>
    <row r="79" spans="1:8" ht="16" x14ac:dyDescent="0.4">
      <c r="A79" s="16"/>
      <c r="B79" s="19" t="s">
        <v>75</v>
      </c>
      <c r="C79" s="20">
        <v>95673975</v>
      </c>
      <c r="D79" s="20">
        <v>0</v>
      </c>
      <c r="E79" s="20">
        <v>1961841</v>
      </c>
      <c r="F79" s="20">
        <v>2524941</v>
      </c>
      <c r="G79" s="20">
        <v>11109764</v>
      </c>
      <c r="H79" s="18">
        <f t="shared" si="7"/>
        <v>111270521</v>
      </c>
    </row>
    <row r="80" spans="1:8" ht="16" x14ac:dyDescent="0.4">
      <c r="A80" s="16"/>
      <c r="B80" s="19" t="s">
        <v>76</v>
      </c>
      <c r="C80" s="20">
        <v>536668291</v>
      </c>
      <c r="D80" s="20">
        <v>0</v>
      </c>
      <c r="E80" s="20">
        <v>11004643</v>
      </c>
      <c r="F80" s="20">
        <v>14163265</v>
      </c>
      <c r="G80" s="20">
        <v>62318496</v>
      </c>
      <c r="H80" s="18">
        <f t="shared" si="7"/>
        <v>624154695</v>
      </c>
    </row>
    <row r="81" spans="1:8" ht="16" x14ac:dyDescent="0.4">
      <c r="A81" s="16"/>
      <c r="B81" s="19" t="s">
        <v>77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18">
        <f t="shared" si="7"/>
        <v>0</v>
      </c>
    </row>
    <row r="82" spans="1:8" ht="16" x14ac:dyDescent="0.4">
      <c r="A82" s="16"/>
      <c r="B82" s="19" t="s">
        <v>78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18">
        <f t="shared" si="7"/>
        <v>0</v>
      </c>
    </row>
    <row r="83" spans="1:8" ht="16" x14ac:dyDescent="0.4">
      <c r="A83" s="16"/>
      <c r="B83" s="19" t="s">
        <v>79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18">
        <f t="shared" si="7"/>
        <v>0</v>
      </c>
    </row>
    <row r="84" spans="1:8" ht="16" x14ac:dyDescent="0.4">
      <c r="A84" s="16"/>
      <c r="B84" s="19" t="s">
        <v>80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18">
        <f t="shared" si="7"/>
        <v>0</v>
      </c>
    </row>
    <row r="85" spans="1:8" ht="16" x14ac:dyDescent="0.4">
      <c r="A85" s="16"/>
      <c r="B85" s="19" t="s">
        <v>81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18">
        <f t="shared" si="7"/>
        <v>0</v>
      </c>
    </row>
    <row r="86" spans="1:8" ht="16" x14ac:dyDescent="0.4">
      <c r="A86" s="21"/>
      <c r="B86" s="22" t="s">
        <v>82</v>
      </c>
      <c r="C86" s="23">
        <v>303304038</v>
      </c>
      <c r="D86" s="23">
        <v>0</v>
      </c>
      <c r="E86" s="23">
        <v>6219396</v>
      </c>
      <c r="F86" s="23">
        <v>8004526</v>
      </c>
      <c r="G86" s="23">
        <v>35219990</v>
      </c>
      <c r="H86" s="18">
        <f t="shared" si="7"/>
        <v>352747950</v>
      </c>
    </row>
    <row r="87" spans="1:8" ht="16" x14ac:dyDescent="0.4">
      <c r="A87" s="16"/>
      <c r="B87" s="19" t="s">
        <v>83</v>
      </c>
      <c r="C87" s="20">
        <v>3598029</v>
      </c>
      <c r="D87" s="20">
        <v>0</v>
      </c>
      <c r="E87" s="20">
        <v>73779</v>
      </c>
      <c r="F87" s="20">
        <v>94956</v>
      </c>
      <c r="G87" s="20">
        <v>417807</v>
      </c>
      <c r="H87" s="18">
        <f t="shared" si="7"/>
        <v>4184571</v>
      </c>
    </row>
    <row r="88" spans="1:8" ht="16" x14ac:dyDescent="0.4">
      <c r="A88" s="16"/>
      <c r="B88" s="19" t="s">
        <v>84</v>
      </c>
      <c r="C88" s="20">
        <v>111028233</v>
      </c>
      <c r="D88" s="20">
        <v>0</v>
      </c>
      <c r="E88" s="20">
        <v>2276688</v>
      </c>
      <c r="F88" s="20">
        <v>2930157</v>
      </c>
      <c r="G88" s="20">
        <v>12892717</v>
      </c>
      <c r="H88" s="18">
        <f t="shared" si="7"/>
        <v>129127795</v>
      </c>
    </row>
    <row r="89" spans="1:8" ht="16" x14ac:dyDescent="0.4">
      <c r="A89" s="16"/>
      <c r="B89" s="19" t="s">
        <v>85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18">
        <f t="shared" si="7"/>
        <v>0</v>
      </c>
    </row>
    <row r="90" spans="1:8" ht="16" x14ac:dyDescent="0.4">
      <c r="A90" s="16"/>
      <c r="B90" s="19" t="s">
        <v>86</v>
      </c>
      <c r="C90" s="20">
        <v>17626893</v>
      </c>
      <c r="D90" s="20">
        <v>0</v>
      </c>
      <c r="E90" s="20">
        <v>361448</v>
      </c>
      <c r="F90" s="20">
        <v>465193</v>
      </c>
      <c r="G90" s="20">
        <v>2046854</v>
      </c>
      <c r="H90" s="18">
        <f t="shared" si="7"/>
        <v>20500388</v>
      </c>
    </row>
    <row r="91" spans="1:8" ht="16" x14ac:dyDescent="0.4">
      <c r="A91" s="16"/>
      <c r="B91" s="19" t="s">
        <v>87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18">
        <f t="shared" si="7"/>
        <v>0</v>
      </c>
    </row>
    <row r="92" spans="1:8" ht="16" x14ac:dyDescent="0.4">
      <c r="A92" s="16"/>
      <c r="B92" s="19" t="s">
        <v>88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18">
        <f t="shared" si="7"/>
        <v>0</v>
      </c>
    </row>
    <row r="93" spans="1:8" ht="16" x14ac:dyDescent="0.4">
      <c r="A93" s="16"/>
      <c r="B93" s="19" t="s">
        <v>89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18">
        <f t="shared" si="7"/>
        <v>0</v>
      </c>
    </row>
    <row r="94" spans="1:8" ht="16" x14ac:dyDescent="0.4">
      <c r="A94" s="16"/>
      <c r="B94" s="19" t="s">
        <v>90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18">
        <f t="shared" si="7"/>
        <v>0</v>
      </c>
    </row>
    <row r="95" spans="1:8" ht="16" x14ac:dyDescent="0.4">
      <c r="A95" s="16"/>
      <c r="B95" s="19" t="s">
        <v>91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18">
        <f t="shared" si="7"/>
        <v>0</v>
      </c>
    </row>
    <row r="96" spans="1:8" ht="16" x14ac:dyDescent="0.4">
      <c r="A96" s="16"/>
      <c r="B96" s="19" t="s">
        <v>92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18">
        <f t="shared" si="7"/>
        <v>0</v>
      </c>
    </row>
    <row r="97" spans="1:8" ht="16" x14ac:dyDescent="0.4">
      <c r="A97" s="16"/>
      <c r="B97" s="19" t="s">
        <v>93</v>
      </c>
      <c r="C97" s="20">
        <v>490991527</v>
      </c>
      <c r="D97" s="20">
        <v>0</v>
      </c>
      <c r="E97" s="20">
        <v>10068018</v>
      </c>
      <c r="F97" s="20">
        <v>12957805</v>
      </c>
      <c r="G97" s="20">
        <v>57014462</v>
      </c>
      <c r="H97" s="18">
        <f t="shared" si="7"/>
        <v>571031812</v>
      </c>
    </row>
    <row r="98" spans="1:8" ht="16" x14ac:dyDescent="0.4">
      <c r="A98" s="16"/>
      <c r="B98" s="19" t="s">
        <v>94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18">
        <f t="shared" si="7"/>
        <v>0</v>
      </c>
    </row>
    <row r="99" spans="1:8" ht="16" x14ac:dyDescent="0.4">
      <c r="A99" s="16"/>
      <c r="B99" s="19" t="s">
        <v>95</v>
      </c>
      <c r="C99" s="20">
        <v>74386902</v>
      </c>
      <c r="D99" s="20">
        <v>0</v>
      </c>
      <c r="E99" s="20">
        <v>1525339</v>
      </c>
      <c r="F99" s="20">
        <v>1963152</v>
      </c>
      <c r="G99" s="20">
        <v>8637887</v>
      </c>
      <c r="H99" s="18">
        <f t="shared" si="7"/>
        <v>86513280</v>
      </c>
    </row>
    <row r="100" spans="1:8" ht="16" x14ac:dyDescent="0.4">
      <c r="A100" s="16"/>
      <c r="B100" s="19" t="s">
        <v>96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18">
        <f t="shared" si="7"/>
        <v>0</v>
      </c>
    </row>
    <row r="101" spans="1:8" ht="16" x14ac:dyDescent="0.4">
      <c r="A101" s="16"/>
      <c r="B101" s="19" t="s">
        <v>97</v>
      </c>
      <c r="C101" s="20">
        <v>236963439</v>
      </c>
      <c r="D101" s="20">
        <v>0</v>
      </c>
      <c r="E101" s="20">
        <v>4859050</v>
      </c>
      <c r="F101" s="20">
        <v>6253725</v>
      </c>
      <c r="G101" s="20">
        <v>27516448</v>
      </c>
      <c r="H101" s="18">
        <f t="shared" si="7"/>
        <v>275592662</v>
      </c>
    </row>
    <row r="102" spans="1:8" ht="16" x14ac:dyDescent="0.4">
      <c r="A102" s="16"/>
      <c r="B102" s="19" t="s">
        <v>98</v>
      </c>
      <c r="C102" s="20">
        <v>21347985</v>
      </c>
      <c r="D102" s="20">
        <v>0</v>
      </c>
      <c r="E102" s="20">
        <v>437751</v>
      </c>
      <c r="F102" s="20">
        <v>563397</v>
      </c>
      <c r="G102" s="20">
        <v>2478951</v>
      </c>
      <c r="H102" s="18">
        <f t="shared" si="7"/>
        <v>24828084</v>
      </c>
    </row>
    <row r="103" spans="1:8" ht="16" x14ac:dyDescent="0.4">
      <c r="A103" s="16"/>
      <c r="B103" s="19" t="s">
        <v>99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18">
        <f t="shared" si="7"/>
        <v>0</v>
      </c>
    </row>
    <row r="104" spans="1:8" ht="16" x14ac:dyDescent="0.4">
      <c r="A104" s="16"/>
      <c r="B104" s="19" t="s">
        <v>100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18">
        <f t="shared" si="7"/>
        <v>0</v>
      </c>
    </row>
    <row r="105" spans="1:8" ht="16" x14ac:dyDescent="0.4">
      <c r="A105" s="16"/>
      <c r="B105" s="19" t="s">
        <v>101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18">
        <f t="shared" si="7"/>
        <v>0</v>
      </c>
    </row>
    <row r="106" spans="1:8" ht="16" x14ac:dyDescent="0.4">
      <c r="A106" s="16"/>
      <c r="B106" s="19" t="s">
        <v>102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18">
        <f t="shared" si="7"/>
        <v>0</v>
      </c>
    </row>
    <row r="107" spans="1:8" ht="16" x14ac:dyDescent="0.4">
      <c r="A107" s="16"/>
      <c r="B107" s="19" t="s">
        <v>103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18">
        <f t="shared" si="7"/>
        <v>0</v>
      </c>
    </row>
    <row r="108" spans="1:8" ht="16" x14ac:dyDescent="0.4">
      <c r="A108" s="16"/>
      <c r="B108" s="19" t="s">
        <v>104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18">
        <f t="shared" si="7"/>
        <v>0</v>
      </c>
    </row>
    <row r="109" spans="1:8" ht="16" x14ac:dyDescent="0.4">
      <c r="A109" s="16"/>
      <c r="B109" s="19" t="s">
        <v>105</v>
      </c>
      <c r="C109" s="20">
        <v>57226203</v>
      </c>
      <c r="D109" s="20">
        <v>0</v>
      </c>
      <c r="E109" s="20">
        <v>1173451</v>
      </c>
      <c r="F109" s="20">
        <v>1510262</v>
      </c>
      <c r="G109" s="20">
        <v>6645168</v>
      </c>
      <c r="H109" s="18">
        <f t="shared" si="7"/>
        <v>66555084</v>
      </c>
    </row>
    <row r="110" spans="1:8" ht="16" x14ac:dyDescent="0.4">
      <c r="A110" s="16"/>
      <c r="B110" s="19" t="s">
        <v>106</v>
      </c>
      <c r="C110" s="20">
        <v>2344135474</v>
      </c>
      <c r="D110" s="20">
        <v>0</v>
      </c>
      <c r="E110" s="20">
        <v>48067630</v>
      </c>
      <c r="F110" s="20">
        <v>61864305</v>
      </c>
      <c r="G110" s="20">
        <v>272203521</v>
      </c>
      <c r="H110" s="18">
        <f t="shared" si="7"/>
        <v>2726270930</v>
      </c>
    </row>
    <row r="111" spans="1:8" ht="16" x14ac:dyDescent="0.4">
      <c r="A111" s="16"/>
      <c r="B111" s="19" t="s">
        <v>107</v>
      </c>
      <c r="C111" s="20">
        <v>11794848</v>
      </c>
      <c r="D111" s="20">
        <v>0</v>
      </c>
      <c r="E111" s="20">
        <v>241859</v>
      </c>
      <c r="F111" s="20">
        <v>311279</v>
      </c>
      <c r="G111" s="20">
        <v>1369630</v>
      </c>
      <c r="H111" s="18">
        <f t="shared" si="7"/>
        <v>13717616</v>
      </c>
    </row>
    <row r="112" spans="1:8" ht="16" x14ac:dyDescent="0.4">
      <c r="A112" s="16"/>
      <c r="B112" s="19" t="s">
        <v>108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18">
        <f t="shared" si="7"/>
        <v>0</v>
      </c>
    </row>
    <row r="113" spans="1:8" ht="16" x14ac:dyDescent="0.4">
      <c r="A113" s="16"/>
      <c r="B113" s="19" t="s">
        <v>109</v>
      </c>
      <c r="C113" s="20">
        <v>19354902</v>
      </c>
      <c r="D113" s="20">
        <v>0</v>
      </c>
      <c r="E113" s="20">
        <v>396882</v>
      </c>
      <c r="F113" s="20">
        <v>510797</v>
      </c>
      <c r="G113" s="20">
        <v>2247512</v>
      </c>
      <c r="H113" s="18">
        <f t="shared" si="7"/>
        <v>22510093</v>
      </c>
    </row>
    <row r="114" spans="1:8" ht="16" x14ac:dyDescent="0.4">
      <c r="A114" s="16"/>
      <c r="B114" s="19" t="s">
        <v>110</v>
      </c>
      <c r="C114" s="20">
        <v>1356265</v>
      </c>
      <c r="D114" s="20">
        <v>0</v>
      </c>
      <c r="E114" s="20">
        <v>27811</v>
      </c>
      <c r="F114" s="20">
        <v>35793</v>
      </c>
      <c r="G114" s="20">
        <v>157491</v>
      </c>
      <c r="H114" s="18">
        <f t="shared" si="7"/>
        <v>1577360</v>
      </c>
    </row>
    <row r="115" spans="1:8" ht="16" x14ac:dyDescent="0.4">
      <c r="A115" s="16"/>
      <c r="B115" s="19" t="s">
        <v>111</v>
      </c>
      <c r="C115" s="20">
        <v>699271</v>
      </c>
      <c r="D115" s="20">
        <v>0</v>
      </c>
      <c r="E115" s="20">
        <v>14339</v>
      </c>
      <c r="F115" s="20">
        <v>18455</v>
      </c>
      <c r="G115" s="20">
        <v>81200</v>
      </c>
      <c r="H115" s="18">
        <f t="shared" si="7"/>
        <v>813265</v>
      </c>
    </row>
    <row r="116" spans="1:8" ht="16" x14ac:dyDescent="0.4">
      <c r="A116" s="16"/>
      <c r="B116" s="19" t="s">
        <v>112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18">
        <f t="shared" si="7"/>
        <v>0</v>
      </c>
    </row>
    <row r="117" spans="1:8" ht="16" x14ac:dyDescent="0.4">
      <c r="A117" s="16"/>
      <c r="B117" s="19" t="s">
        <v>113</v>
      </c>
      <c r="C117" s="20">
        <v>14195747</v>
      </c>
      <c r="D117" s="20">
        <v>0</v>
      </c>
      <c r="E117" s="20">
        <v>291091</v>
      </c>
      <c r="F117" s="20">
        <v>374641</v>
      </c>
      <c r="G117" s="20">
        <v>1648425</v>
      </c>
      <c r="H117" s="18">
        <f t="shared" si="7"/>
        <v>16509904</v>
      </c>
    </row>
    <row r="118" spans="1:8" ht="16" x14ac:dyDescent="0.4">
      <c r="A118" s="16"/>
      <c r="B118" s="19" t="s">
        <v>114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18">
        <f t="shared" si="7"/>
        <v>0</v>
      </c>
    </row>
    <row r="119" spans="1:8" ht="16" x14ac:dyDescent="0.4">
      <c r="A119" s="16"/>
      <c r="B119" s="19" t="s">
        <v>115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18">
        <f t="shared" ref="H119:H141" si="8">SUM(C119:G119)</f>
        <v>0</v>
      </c>
    </row>
    <row r="120" spans="1:8" ht="16" x14ac:dyDescent="0.4">
      <c r="A120" s="16"/>
      <c r="B120" s="19" t="s">
        <v>116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18">
        <f t="shared" si="8"/>
        <v>0</v>
      </c>
    </row>
    <row r="121" spans="1:8" ht="16" x14ac:dyDescent="0.4">
      <c r="A121" s="16"/>
      <c r="B121" s="19" t="s">
        <v>117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18">
        <f t="shared" si="8"/>
        <v>0</v>
      </c>
    </row>
    <row r="122" spans="1:8" ht="16" x14ac:dyDescent="0.4">
      <c r="A122" s="16"/>
      <c r="B122" s="19" t="s">
        <v>118</v>
      </c>
      <c r="C122" s="20">
        <v>59795613</v>
      </c>
      <c r="D122" s="20">
        <v>0</v>
      </c>
      <c r="E122" s="20">
        <v>1226138</v>
      </c>
      <c r="F122" s="20">
        <v>1578072</v>
      </c>
      <c r="G122" s="20">
        <v>6943531</v>
      </c>
      <c r="H122" s="18">
        <f t="shared" si="8"/>
        <v>69543354</v>
      </c>
    </row>
    <row r="123" spans="1:8" ht="16" x14ac:dyDescent="0.4">
      <c r="A123" s="16"/>
      <c r="B123" s="19" t="s">
        <v>119</v>
      </c>
      <c r="C123" s="20">
        <v>0</v>
      </c>
      <c r="D123" s="20">
        <v>0</v>
      </c>
      <c r="E123" s="20">
        <v>0</v>
      </c>
      <c r="F123" s="20">
        <v>0</v>
      </c>
      <c r="G123" s="20">
        <v>0</v>
      </c>
      <c r="H123" s="18">
        <f t="shared" si="8"/>
        <v>0</v>
      </c>
    </row>
    <row r="124" spans="1:8" ht="16" x14ac:dyDescent="0.4">
      <c r="A124" s="16"/>
      <c r="B124" s="19" t="s">
        <v>120</v>
      </c>
      <c r="C124" s="20">
        <v>22765427</v>
      </c>
      <c r="D124" s="20">
        <v>0</v>
      </c>
      <c r="E124" s="20">
        <v>466816</v>
      </c>
      <c r="F124" s="20">
        <v>600805</v>
      </c>
      <c r="G124" s="20">
        <v>2643546</v>
      </c>
      <c r="H124" s="18">
        <f t="shared" si="8"/>
        <v>26476594</v>
      </c>
    </row>
    <row r="125" spans="1:8" ht="16" x14ac:dyDescent="0.4">
      <c r="A125" s="16"/>
      <c r="B125" s="19" t="s">
        <v>121</v>
      </c>
      <c r="C125" s="20">
        <v>47135474</v>
      </c>
      <c r="D125" s="20">
        <v>0</v>
      </c>
      <c r="E125" s="20">
        <v>966536</v>
      </c>
      <c r="F125" s="20">
        <v>1243957</v>
      </c>
      <c r="G125" s="20">
        <v>5473422</v>
      </c>
      <c r="H125" s="18">
        <f t="shared" si="8"/>
        <v>54819389</v>
      </c>
    </row>
    <row r="126" spans="1:8" ht="16" x14ac:dyDescent="0.4">
      <c r="A126" s="16"/>
      <c r="B126" s="19" t="s">
        <v>122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18">
        <f t="shared" si="8"/>
        <v>0</v>
      </c>
    </row>
    <row r="127" spans="1:8" ht="16" x14ac:dyDescent="0.4">
      <c r="A127" s="16"/>
      <c r="B127" s="19" t="s">
        <v>123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18">
        <f t="shared" si="8"/>
        <v>0</v>
      </c>
    </row>
    <row r="128" spans="1:8" ht="16" x14ac:dyDescent="0.4">
      <c r="A128" s="16"/>
      <c r="B128" s="19" t="s">
        <v>124</v>
      </c>
      <c r="C128" s="20">
        <v>123925703</v>
      </c>
      <c r="D128" s="20">
        <v>0</v>
      </c>
      <c r="E128" s="20">
        <v>2541156</v>
      </c>
      <c r="F128" s="20">
        <v>3270535</v>
      </c>
      <c r="G128" s="20">
        <v>14390385</v>
      </c>
      <c r="H128" s="18">
        <f t="shared" si="8"/>
        <v>144127779</v>
      </c>
    </row>
    <row r="129" spans="1:8" ht="16" x14ac:dyDescent="0.4">
      <c r="A129" s="16"/>
      <c r="B129" s="19" t="s">
        <v>125</v>
      </c>
      <c r="C129" s="20">
        <v>40221692</v>
      </c>
      <c r="D129" s="20">
        <v>0</v>
      </c>
      <c r="E129" s="20">
        <v>824765</v>
      </c>
      <c r="F129" s="20">
        <v>1061495</v>
      </c>
      <c r="G129" s="20">
        <v>4670586</v>
      </c>
      <c r="H129" s="18">
        <f t="shared" si="8"/>
        <v>46778538</v>
      </c>
    </row>
    <row r="130" spans="1:8" ht="16" x14ac:dyDescent="0.4">
      <c r="A130" s="16"/>
      <c r="B130" s="19" t="s">
        <v>126</v>
      </c>
      <c r="C130" s="20">
        <v>11452931</v>
      </c>
      <c r="D130" s="20">
        <v>0</v>
      </c>
      <c r="E130" s="20">
        <v>234848</v>
      </c>
      <c r="F130" s="20">
        <v>302255</v>
      </c>
      <c r="G130" s="20">
        <v>1329927</v>
      </c>
      <c r="H130" s="18">
        <f t="shared" si="8"/>
        <v>13319961</v>
      </c>
    </row>
    <row r="131" spans="1:8" ht="16" x14ac:dyDescent="0.4">
      <c r="A131" s="16"/>
      <c r="B131" s="19" t="s">
        <v>127</v>
      </c>
      <c r="C131" s="20">
        <v>1598895</v>
      </c>
      <c r="D131" s="20">
        <v>0</v>
      </c>
      <c r="E131" s="20">
        <v>32786</v>
      </c>
      <c r="F131" s="20">
        <v>42197</v>
      </c>
      <c r="G131" s="20">
        <v>185665</v>
      </c>
      <c r="H131" s="18">
        <f t="shared" si="8"/>
        <v>1859543</v>
      </c>
    </row>
    <row r="132" spans="1:8" ht="16" x14ac:dyDescent="0.4">
      <c r="A132" s="16"/>
      <c r="B132" s="19" t="s">
        <v>128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18">
        <f t="shared" si="8"/>
        <v>0</v>
      </c>
    </row>
    <row r="133" spans="1:8" ht="16" x14ac:dyDescent="0.4">
      <c r="A133" s="16"/>
      <c r="B133" s="19" t="s">
        <v>129</v>
      </c>
      <c r="C133" s="20">
        <v>402127</v>
      </c>
      <c r="D133" s="20">
        <v>0</v>
      </c>
      <c r="E133" s="20">
        <v>8246</v>
      </c>
      <c r="F133" s="20">
        <v>10613</v>
      </c>
      <c r="G133" s="20">
        <v>46695</v>
      </c>
      <c r="H133" s="18">
        <f t="shared" si="8"/>
        <v>467681</v>
      </c>
    </row>
    <row r="134" spans="1:8" ht="16" x14ac:dyDescent="0.4">
      <c r="A134" s="16"/>
      <c r="B134" s="19" t="s">
        <v>130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18">
        <f t="shared" si="8"/>
        <v>0</v>
      </c>
    </row>
    <row r="135" spans="1:8" ht="16" x14ac:dyDescent="0.4">
      <c r="A135" s="16"/>
      <c r="B135" s="19" t="s">
        <v>131</v>
      </c>
      <c r="C135" s="20">
        <v>352382957</v>
      </c>
      <c r="D135" s="20">
        <v>0</v>
      </c>
      <c r="E135" s="20">
        <v>7225783</v>
      </c>
      <c r="F135" s="20">
        <v>9299773</v>
      </c>
      <c r="G135" s="20">
        <v>40919086</v>
      </c>
      <c r="H135" s="18">
        <f t="shared" si="8"/>
        <v>409827599</v>
      </c>
    </row>
    <row r="136" spans="1:8" ht="16" x14ac:dyDescent="0.4">
      <c r="A136" s="16"/>
      <c r="B136" s="19" t="s">
        <v>132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18">
        <f t="shared" si="8"/>
        <v>0</v>
      </c>
    </row>
    <row r="137" spans="1:8" ht="16" x14ac:dyDescent="0.4">
      <c r="A137" s="16"/>
      <c r="B137" s="19" t="s">
        <v>133</v>
      </c>
      <c r="C137" s="20">
        <v>108379092</v>
      </c>
      <c r="D137" s="20">
        <v>0</v>
      </c>
      <c r="E137" s="20">
        <v>2222366</v>
      </c>
      <c r="F137" s="20">
        <v>2860243</v>
      </c>
      <c r="G137" s="20">
        <v>12585096</v>
      </c>
      <c r="H137" s="18">
        <f t="shared" si="8"/>
        <v>126046797</v>
      </c>
    </row>
    <row r="138" spans="1:8" ht="16" x14ac:dyDescent="0.4">
      <c r="A138" s="16"/>
      <c r="B138" s="19" t="s">
        <v>134</v>
      </c>
      <c r="C138" s="20">
        <v>69301</v>
      </c>
      <c r="D138" s="20">
        <v>0</v>
      </c>
      <c r="E138" s="20">
        <v>1421</v>
      </c>
      <c r="F138" s="20">
        <v>1829</v>
      </c>
      <c r="G138" s="20">
        <v>8047</v>
      </c>
      <c r="H138" s="18">
        <f t="shared" si="8"/>
        <v>80598</v>
      </c>
    </row>
    <row r="139" spans="1:8" ht="16" x14ac:dyDescent="0.4">
      <c r="A139" s="16"/>
      <c r="B139" s="19" t="s">
        <v>135</v>
      </c>
      <c r="C139" s="20">
        <v>371039</v>
      </c>
      <c r="D139" s="20">
        <v>0</v>
      </c>
      <c r="E139" s="20">
        <v>7608</v>
      </c>
      <c r="F139" s="20">
        <v>9792</v>
      </c>
      <c r="G139" s="20">
        <v>43085</v>
      </c>
      <c r="H139" s="18">
        <f t="shared" si="8"/>
        <v>431524</v>
      </c>
    </row>
    <row r="140" spans="1:8" ht="16" x14ac:dyDescent="0.4">
      <c r="A140" s="16"/>
      <c r="B140" s="19" t="s">
        <v>136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18">
        <f t="shared" si="8"/>
        <v>0</v>
      </c>
    </row>
    <row r="141" spans="1:8" ht="16" x14ac:dyDescent="0.4">
      <c r="A141" s="16"/>
      <c r="B141" s="19" t="s">
        <v>137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18">
        <f t="shared" si="8"/>
        <v>0</v>
      </c>
    </row>
    <row r="142" spans="1:8" ht="16" x14ac:dyDescent="0.4">
      <c r="A142" s="11"/>
      <c r="B142" s="12" t="s">
        <v>138</v>
      </c>
      <c r="C142" s="13">
        <f>SUM(C55:C141)</f>
        <v>7377909261</v>
      </c>
      <c r="D142" s="13">
        <f t="shared" ref="D142:H142" si="9">SUM(D55:D141)</f>
        <v>0</v>
      </c>
      <c r="E142" s="13">
        <f t="shared" si="9"/>
        <v>151287595</v>
      </c>
      <c r="F142" s="13">
        <f t="shared" si="9"/>
        <v>194711118</v>
      </c>
      <c r="G142" s="13">
        <f t="shared" si="9"/>
        <v>856730720</v>
      </c>
      <c r="H142" s="13">
        <f t="shared" si="9"/>
        <v>8580638694</v>
      </c>
    </row>
    <row r="143" spans="1:8" ht="16" x14ac:dyDescent="0.4">
      <c r="A143" s="16"/>
      <c r="B143" s="17"/>
      <c r="C143" s="17"/>
      <c r="D143" s="17"/>
      <c r="E143" s="17"/>
      <c r="F143" s="17"/>
      <c r="G143" s="17"/>
      <c r="H143" s="17"/>
    </row>
    <row r="144" spans="1:8" ht="16" x14ac:dyDescent="0.4">
      <c r="A144" s="16"/>
      <c r="B144" s="17" t="s">
        <v>139</v>
      </c>
      <c r="C144" s="17"/>
      <c r="D144" s="17"/>
      <c r="E144" s="17"/>
      <c r="F144" s="17"/>
      <c r="G144" s="17"/>
      <c r="H144" s="17"/>
    </row>
    <row r="145" spans="1:8" ht="16" x14ac:dyDescent="0.4">
      <c r="A145" s="16"/>
      <c r="B145" s="19" t="s">
        <v>140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18">
        <f t="shared" ref="H145:H159" si="10">SUM(C145:G145)</f>
        <v>0</v>
      </c>
    </row>
    <row r="146" spans="1:8" ht="16" x14ac:dyDescent="0.4">
      <c r="A146" s="16"/>
      <c r="B146" s="19" t="s">
        <v>141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18">
        <f t="shared" si="10"/>
        <v>0</v>
      </c>
    </row>
    <row r="147" spans="1:8" ht="16" x14ac:dyDescent="0.4">
      <c r="A147" s="16"/>
      <c r="B147" s="19" t="s">
        <v>142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18">
        <f t="shared" si="10"/>
        <v>0</v>
      </c>
    </row>
    <row r="148" spans="1:8" ht="16" x14ac:dyDescent="0.4">
      <c r="A148" s="16"/>
      <c r="B148" s="19" t="s">
        <v>143</v>
      </c>
      <c r="C148" s="20">
        <v>220363974</v>
      </c>
      <c r="D148" s="20">
        <v>0</v>
      </c>
      <c r="E148" s="20">
        <v>4518670</v>
      </c>
      <c r="F148" s="20">
        <v>5815647</v>
      </c>
      <c r="G148" s="20">
        <v>25588901</v>
      </c>
      <c r="H148" s="18">
        <f t="shared" si="10"/>
        <v>256287192</v>
      </c>
    </row>
    <row r="149" spans="1:8" ht="16" x14ac:dyDescent="0.4">
      <c r="A149" s="16"/>
      <c r="B149" s="19" t="s">
        <v>144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18">
        <f t="shared" si="10"/>
        <v>0</v>
      </c>
    </row>
    <row r="150" spans="1:8" ht="16" x14ac:dyDescent="0.4">
      <c r="A150" s="16"/>
      <c r="B150" s="19" t="s">
        <v>145</v>
      </c>
      <c r="C150" s="20">
        <v>148408</v>
      </c>
      <c r="D150" s="20">
        <v>0</v>
      </c>
      <c r="E150" s="20">
        <v>3043</v>
      </c>
      <c r="F150" s="20">
        <v>3917</v>
      </c>
      <c r="G150" s="20">
        <v>17233</v>
      </c>
      <c r="H150" s="18">
        <f t="shared" si="10"/>
        <v>172601</v>
      </c>
    </row>
    <row r="151" spans="1:8" ht="16" x14ac:dyDescent="0.4">
      <c r="A151" s="16"/>
      <c r="B151" s="19" t="s">
        <v>146</v>
      </c>
      <c r="C151" s="20">
        <v>52518038</v>
      </c>
      <c r="D151" s="20">
        <v>0</v>
      </c>
      <c r="E151" s="20">
        <v>1076908</v>
      </c>
      <c r="F151" s="20">
        <v>1386009</v>
      </c>
      <c r="G151" s="20">
        <v>6098451</v>
      </c>
      <c r="H151" s="18">
        <f t="shared" si="10"/>
        <v>61079406</v>
      </c>
    </row>
    <row r="152" spans="1:8" ht="16" x14ac:dyDescent="0.4">
      <c r="A152" s="16"/>
      <c r="B152" s="19" t="s">
        <v>147</v>
      </c>
      <c r="C152" s="20">
        <v>37374150</v>
      </c>
      <c r="D152" s="20">
        <v>0</v>
      </c>
      <c r="E152" s="20">
        <v>766375</v>
      </c>
      <c r="F152" s="20">
        <v>986345</v>
      </c>
      <c r="G152" s="20">
        <v>4339926</v>
      </c>
      <c r="H152" s="18">
        <f t="shared" si="10"/>
        <v>43466796</v>
      </c>
    </row>
    <row r="153" spans="1:8" ht="16" x14ac:dyDescent="0.4">
      <c r="A153" s="16"/>
      <c r="B153" s="19" t="s">
        <v>148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18">
        <f t="shared" si="10"/>
        <v>0</v>
      </c>
    </row>
    <row r="154" spans="1:8" ht="16" x14ac:dyDescent="0.4">
      <c r="A154" s="16"/>
      <c r="B154" s="19" t="s">
        <v>149</v>
      </c>
      <c r="C154" s="20">
        <v>1704042949</v>
      </c>
      <c r="D154" s="20">
        <v>0</v>
      </c>
      <c r="E154" s="20">
        <v>34942224</v>
      </c>
      <c r="F154" s="20">
        <v>44971562</v>
      </c>
      <c r="G154" s="20">
        <v>197875292</v>
      </c>
      <c r="H154" s="18">
        <f t="shared" si="10"/>
        <v>1981832027</v>
      </c>
    </row>
    <row r="155" spans="1:8" ht="16" x14ac:dyDescent="0.4">
      <c r="A155" s="16"/>
      <c r="B155" s="19" t="s">
        <v>150</v>
      </c>
      <c r="C155" s="20">
        <v>55342736</v>
      </c>
      <c r="D155" s="20">
        <v>0</v>
      </c>
      <c r="E155" s="20">
        <v>1134830</v>
      </c>
      <c r="F155" s="20">
        <v>1460555</v>
      </c>
      <c r="G155" s="20">
        <v>6426458</v>
      </c>
      <c r="H155" s="18">
        <f t="shared" si="10"/>
        <v>64364579</v>
      </c>
    </row>
    <row r="156" spans="1:8" ht="16" x14ac:dyDescent="0.4">
      <c r="A156" s="16"/>
      <c r="B156" s="19" t="s">
        <v>151</v>
      </c>
      <c r="C156" s="20">
        <v>312326836</v>
      </c>
      <c r="D156" s="20">
        <v>0</v>
      </c>
      <c r="E156" s="20">
        <v>6404413</v>
      </c>
      <c r="F156" s="20">
        <v>8242648</v>
      </c>
      <c r="G156" s="20">
        <v>36267727</v>
      </c>
      <c r="H156" s="18">
        <f t="shared" si="10"/>
        <v>363241624</v>
      </c>
    </row>
    <row r="157" spans="1:8" ht="16" x14ac:dyDescent="0.4">
      <c r="A157" s="16"/>
      <c r="B157" s="19" t="s">
        <v>152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18">
        <f t="shared" si="10"/>
        <v>0</v>
      </c>
    </row>
    <row r="158" spans="1:8" ht="16" x14ac:dyDescent="0.4">
      <c r="A158" s="16"/>
      <c r="B158" s="19" t="s">
        <v>153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18">
        <f t="shared" si="10"/>
        <v>0</v>
      </c>
    </row>
    <row r="159" spans="1:8" ht="16" x14ac:dyDescent="0.4">
      <c r="A159" s="16"/>
      <c r="B159" s="19" t="s">
        <v>154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18">
        <f t="shared" si="10"/>
        <v>0</v>
      </c>
    </row>
    <row r="160" spans="1:8" ht="16" x14ac:dyDescent="0.4">
      <c r="A160" s="11"/>
      <c r="B160" s="12" t="s">
        <v>155</v>
      </c>
      <c r="C160" s="13">
        <f>SUM(C145:C159)</f>
        <v>2382117091</v>
      </c>
      <c r="D160" s="13">
        <f t="shared" ref="D160:H160" si="11">SUM(D145:D159)</f>
        <v>0</v>
      </c>
      <c r="E160" s="13">
        <f t="shared" si="11"/>
        <v>48846463</v>
      </c>
      <c r="F160" s="13">
        <f t="shared" si="11"/>
        <v>62866683</v>
      </c>
      <c r="G160" s="13">
        <f t="shared" si="11"/>
        <v>276613988</v>
      </c>
      <c r="H160" s="13">
        <f t="shared" si="11"/>
        <v>2770444225</v>
      </c>
    </row>
    <row r="161" spans="1:8" ht="16" x14ac:dyDescent="0.4">
      <c r="A161" s="16"/>
      <c r="B161" s="17"/>
      <c r="C161" s="17"/>
      <c r="D161" s="17"/>
      <c r="E161" s="17"/>
      <c r="F161" s="17"/>
      <c r="G161" s="17"/>
      <c r="H161" s="17"/>
    </row>
    <row r="162" spans="1:8" ht="16" x14ac:dyDescent="0.4">
      <c r="A162" s="11"/>
      <c r="B162" s="12" t="s">
        <v>156</v>
      </c>
      <c r="C162" s="13">
        <f>SUM(C52,C142,C160)</f>
        <v>20058282908</v>
      </c>
      <c r="D162" s="13">
        <f t="shared" ref="D162:H162" si="12">SUM(D52,D142,D160)</f>
        <v>0</v>
      </c>
      <c r="E162" s="13">
        <f t="shared" si="12"/>
        <v>411304786</v>
      </c>
      <c r="F162" s="13">
        <f t="shared" si="12"/>
        <v>529360084</v>
      </c>
      <c r="G162" s="13">
        <f t="shared" si="12"/>
        <v>2329189284</v>
      </c>
      <c r="H162" s="13">
        <f t="shared" si="12"/>
        <v>23328137062</v>
      </c>
    </row>
    <row r="163" spans="1:8" ht="16" x14ac:dyDescent="0.4">
      <c r="A163" s="16"/>
      <c r="B163" s="17"/>
      <c r="C163" s="17"/>
      <c r="D163" s="17"/>
      <c r="E163" s="17"/>
      <c r="F163" s="17"/>
      <c r="G163" s="17"/>
      <c r="H163" s="17"/>
    </row>
    <row r="164" spans="1:8" ht="16" x14ac:dyDescent="0.4">
      <c r="A164" s="11" t="s">
        <v>157</v>
      </c>
      <c r="B164" s="12"/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</row>
    <row r="165" spans="1:8" ht="16" x14ac:dyDescent="0.4">
      <c r="A165" s="16"/>
      <c r="B165" s="17"/>
      <c r="C165" s="17"/>
      <c r="D165" s="17"/>
      <c r="E165" s="17"/>
      <c r="F165" s="17"/>
      <c r="G165" s="17"/>
      <c r="H165" s="17"/>
    </row>
    <row r="166" spans="1:8" ht="16" x14ac:dyDescent="0.4">
      <c r="A166" s="11" t="s">
        <v>158</v>
      </c>
      <c r="B166" s="12"/>
      <c r="C166" s="13">
        <f>C23+C25-C162+C164</f>
        <v>102064114312</v>
      </c>
      <c r="D166" s="13">
        <f t="shared" ref="D166:H166" si="13">D23+D25-D162+D164</f>
        <v>607769512</v>
      </c>
      <c r="E166" s="13">
        <f t="shared" si="13"/>
        <v>5901809505</v>
      </c>
      <c r="F166" s="13">
        <f t="shared" si="13"/>
        <v>2465299641</v>
      </c>
      <c r="G166" s="13">
        <f t="shared" si="13"/>
        <v>153985010</v>
      </c>
      <c r="H166" s="13">
        <f t="shared" si="13"/>
        <v>111192977980</v>
      </c>
    </row>
  </sheetData>
  <mergeCells count="2">
    <mergeCell ref="A5:B6"/>
    <mergeCell ref="C5:H5"/>
  </mergeCells>
  <conditionalFormatting sqref="A7:H166">
    <cfRule type="expression" dxfId="3" priority="4">
      <formula>IF(MOD(ROW(),2)=0,TRUE,FALSE)</formula>
    </cfRule>
  </conditionalFormatting>
  <conditionalFormatting sqref="A8:H166">
    <cfRule type="expression" dxfId="2" priority="1">
      <formula>IF($C8="Y2",1,0)</formula>
    </cfRule>
    <cfRule type="expression" dxfId="1" priority="2">
      <formula>IF($C8="X2",1,0)</formula>
    </cfRule>
    <cfRule type="expression" dxfId="0" priority="3">
      <formula>IF($C8="X1",1,0)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Riyan Pradana</dc:creator>
  <cp:lastModifiedBy>Riyan Pradana</cp:lastModifiedBy>
  <dcterms:created xsi:type="dcterms:W3CDTF">2026-09-15T07:53:51Z</dcterms:created>
  <dcterms:modified xsi:type="dcterms:W3CDTF">2026-09-15T08:18:28Z</dcterms:modified>
</cp:coreProperties>
</file>