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jamkrindo365-my.sharepoint.com/personal/kiki_suyono_jamkrindo_co_id/Documents/KIKI/2026/SDM 2026/Kedisiplinan Karyawan/"/>
    </mc:Choice>
  </mc:AlternateContent>
  <xr:revisionPtr revIDLastSave="40" documentId="13_ncr:1_{324538BA-5B72-4C9B-A1FF-2AA4F6B3652B}" xr6:coauthVersionLast="47" xr6:coauthVersionMax="47" xr10:uidLastSave="{00EAF64B-4B82-4AAF-A10D-A297CD1B60FF}"/>
  <bookViews>
    <workbookView xWindow="-98" yWindow="-98" windowWidth="21795" windowHeight="12975" xr2:uid="{00000000-000D-0000-FFFF-FFFF00000000}"/>
  </bookViews>
  <sheets>
    <sheet name="Detail Absensi Harian" sheetId="2" r:id="rId1"/>
    <sheet name="Rekap Absensi Agustus 2026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" i="3" l="1"/>
  <c r="K24" i="3"/>
  <c r="L24" i="3"/>
  <c r="M24" i="3"/>
  <c r="I24" i="3"/>
  <c r="H24" i="3"/>
  <c r="G24" i="3"/>
  <c r="K10" i="3"/>
  <c r="L10" i="3"/>
  <c r="K11" i="3"/>
  <c r="L11" i="3"/>
  <c r="K12" i="3"/>
  <c r="P12" i="3" s="1"/>
  <c r="L12" i="3"/>
  <c r="K13" i="3"/>
  <c r="L13" i="3"/>
  <c r="K14" i="3"/>
  <c r="L14" i="3"/>
  <c r="K15" i="3"/>
  <c r="L15" i="3"/>
  <c r="K16" i="3"/>
  <c r="L16" i="3"/>
  <c r="K17" i="3"/>
  <c r="L17" i="3"/>
  <c r="K18" i="3"/>
  <c r="L18" i="3"/>
  <c r="K19" i="3"/>
  <c r="L19" i="3"/>
  <c r="K20" i="3"/>
  <c r="L20" i="3"/>
  <c r="K21" i="3"/>
  <c r="L21" i="3"/>
  <c r="K22" i="3"/>
  <c r="L22" i="3"/>
  <c r="K23" i="3"/>
  <c r="L23" i="3"/>
  <c r="L9" i="3"/>
  <c r="K9" i="3"/>
  <c r="AK23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8" i="2"/>
  <c r="M23" i="3"/>
  <c r="J23" i="3"/>
  <c r="I23" i="3"/>
  <c r="H23" i="3"/>
  <c r="G23" i="3"/>
  <c r="M22" i="3"/>
  <c r="J22" i="3"/>
  <c r="I22" i="3"/>
  <c r="H22" i="3"/>
  <c r="G22" i="3"/>
  <c r="M21" i="3"/>
  <c r="J21" i="3"/>
  <c r="I21" i="3"/>
  <c r="H21" i="3"/>
  <c r="G21" i="3"/>
  <c r="M20" i="3"/>
  <c r="J20" i="3"/>
  <c r="I20" i="3"/>
  <c r="H20" i="3"/>
  <c r="G20" i="3"/>
  <c r="M19" i="3"/>
  <c r="J19" i="3"/>
  <c r="I19" i="3"/>
  <c r="H19" i="3"/>
  <c r="G19" i="3"/>
  <c r="M18" i="3"/>
  <c r="J18" i="3"/>
  <c r="I18" i="3"/>
  <c r="H18" i="3"/>
  <c r="G18" i="3"/>
  <c r="M17" i="3"/>
  <c r="J17" i="3"/>
  <c r="I17" i="3"/>
  <c r="H17" i="3"/>
  <c r="G17" i="3"/>
  <c r="P17" i="3" s="1"/>
  <c r="M16" i="3"/>
  <c r="J16" i="3"/>
  <c r="I16" i="3"/>
  <c r="H16" i="3"/>
  <c r="G16" i="3"/>
  <c r="M15" i="3"/>
  <c r="J15" i="3"/>
  <c r="I15" i="3"/>
  <c r="H15" i="3"/>
  <c r="G15" i="3"/>
  <c r="M14" i="3"/>
  <c r="J14" i="3"/>
  <c r="I14" i="3"/>
  <c r="H14" i="3"/>
  <c r="G14" i="3"/>
  <c r="M13" i="3"/>
  <c r="J13" i="3"/>
  <c r="I13" i="3"/>
  <c r="H13" i="3"/>
  <c r="G13" i="3"/>
  <c r="M12" i="3"/>
  <c r="J12" i="3"/>
  <c r="I12" i="3"/>
  <c r="H12" i="3"/>
  <c r="G12" i="3"/>
  <c r="M11" i="3"/>
  <c r="J11" i="3"/>
  <c r="I11" i="3"/>
  <c r="H11" i="3"/>
  <c r="G11" i="3"/>
  <c r="M10" i="3"/>
  <c r="J10" i="3"/>
  <c r="I10" i="3"/>
  <c r="H10" i="3"/>
  <c r="G10" i="3"/>
  <c r="M9" i="3"/>
  <c r="J9" i="3"/>
  <c r="I9" i="3"/>
  <c r="H9" i="3"/>
  <c r="G9" i="3"/>
  <c r="P10" i="3" l="1"/>
  <c r="P22" i="3"/>
  <c r="P19" i="3"/>
  <c r="P16" i="3"/>
  <c r="AK24" i="2"/>
  <c r="N24" i="3"/>
  <c r="O24" i="3" s="1"/>
  <c r="M25" i="3"/>
  <c r="P14" i="3"/>
  <c r="P24" i="3"/>
  <c r="Q24" i="3" s="1"/>
  <c r="I25" i="3"/>
  <c r="P15" i="3"/>
  <c r="G25" i="3"/>
  <c r="H25" i="3"/>
  <c r="J25" i="3"/>
  <c r="K25" i="3"/>
  <c r="N21" i="3"/>
  <c r="O21" i="3" s="1"/>
  <c r="L25" i="3"/>
  <c r="P11" i="3"/>
  <c r="N16" i="3"/>
  <c r="O16" i="3" s="1"/>
  <c r="P23" i="3"/>
  <c r="P18" i="3"/>
  <c r="P21" i="3"/>
  <c r="P9" i="3"/>
  <c r="P13" i="3"/>
  <c r="N11" i="3"/>
  <c r="O11" i="3" s="1"/>
  <c r="N20" i="3"/>
  <c r="O20" i="3" s="1"/>
  <c r="N9" i="3"/>
  <c r="N15" i="3"/>
  <c r="O15" i="3" s="1"/>
  <c r="P20" i="3"/>
  <c r="N12" i="3"/>
  <c r="O12" i="3" s="1"/>
  <c r="N17" i="3"/>
  <c r="O17" i="3" s="1"/>
  <c r="N22" i="3"/>
  <c r="O22" i="3" s="1"/>
  <c r="Q22" i="3" s="1"/>
  <c r="N13" i="3"/>
  <c r="O13" i="3" s="1"/>
  <c r="N23" i="3"/>
  <c r="O23" i="3" s="1"/>
  <c r="N10" i="3"/>
  <c r="O10" i="3" s="1"/>
  <c r="Q10" i="3" s="1"/>
  <c r="N18" i="3"/>
  <c r="O18" i="3" s="1"/>
  <c r="Q18" i="3" s="1"/>
  <c r="N14" i="3"/>
  <c r="O14" i="3" s="1"/>
  <c r="N19" i="3"/>
  <c r="O19" i="3" s="1"/>
  <c r="Q16" i="3" l="1"/>
  <c r="Q20" i="3"/>
  <c r="Q15" i="3"/>
  <c r="Q11" i="3"/>
  <c r="N25" i="3"/>
  <c r="Q23" i="3"/>
  <c r="Q13" i="3"/>
  <c r="Q21" i="3"/>
  <c r="Q17" i="3"/>
  <c r="P25" i="3"/>
  <c r="Q12" i="3"/>
  <c r="Q19" i="3"/>
  <c r="Q14" i="3"/>
  <c r="O9" i="3"/>
  <c r="O25" i="3" s="1"/>
  <c r="Q9" i="3" l="1"/>
  <c r="Q25" i="3" s="1"/>
</calcChain>
</file>

<file path=xl/sharedStrings.xml><?xml version="1.0" encoding="utf-8"?>
<sst xmlns="http://schemas.openxmlformats.org/spreadsheetml/2006/main" count="704" uniqueCount="97">
  <si>
    <t>DETAIL ABSENSI HARIAN KARYAWAN</t>
  </si>
  <si>
    <t>Periode: 1 Agustus 2026 s/d 31 Agustus 2026</t>
  </si>
  <si>
    <t>Keterangan Kode:</t>
  </si>
  <si>
    <t>H = Hadir Tepat Waktu</t>
  </si>
  <si>
    <t>TL = Terlambat</t>
  </si>
  <si>
    <t>A = Alpha</t>
  </si>
  <si>
    <t>TAM = Tdk Absen Masuk</t>
  </si>
  <si>
    <t>TAP = Tdk Absen Pulang</t>
  </si>
  <si>
    <t>OFF = Libur / Weekend</t>
  </si>
  <si>
    <t>No</t>
  </si>
  <si>
    <t>NIK</t>
  </si>
  <si>
    <t>Nama Karyawan</t>
  </si>
  <si>
    <t>Jabatan</t>
  </si>
  <si>
    <t>Departemen</t>
  </si>
  <si>
    <t>Total Hadir</t>
  </si>
  <si>
    <t>Kehadiran Efektif (Hari)</t>
  </si>
  <si>
    <t>% Kehadiran</t>
  </si>
  <si>
    <t>% Ketepatan Waktu</t>
  </si>
  <si>
    <t>Indeks Kedisiplinan</t>
  </si>
  <si>
    <t>OFF</t>
  </si>
  <si>
    <t>KRJ</t>
  </si>
  <si>
    <t>LIBUR</t>
  </si>
  <si>
    <t>H</t>
  </si>
  <si>
    <t>I</t>
  </si>
  <si>
    <t>TL</t>
  </si>
  <si>
    <t>TAP</t>
  </si>
  <si>
    <t>TAM</t>
  </si>
  <si>
    <t>Rata-rata</t>
  </si>
  <si>
    <t>REKAPITULASI PRESENSI KARYAWAN</t>
  </si>
  <si>
    <t>Informasi Jam Kerja &amp; Kalender:</t>
  </si>
  <si>
    <t>Total Hari Kalender</t>
  </si>
  <si>
    <t>Hari Off (Weekend)</t>
  </si>
  <si>
    <t>Hari Kerja Efektif</t>
  </si>
  <si>
    <t>31 Hari</t>
  </si>
  <si>
    <t>10 Hari</t>
  </si>
  <si>
    <t>Hadir Tepat Waktu</t>
  </si>
  <si>
    <t>Terlambat (TL)</t>
  </si>
  <si>
    <t>Izin / Sakit</t>
  </si>
  <si>
    <t>Alpha (Tanpa Ket.)</t>
  </si>
  <si>
    <t>Tidak Absen Masuk (TAM)</t>
  </si>
  <si>
    <t>Tidak Absen Pulang (TAP)</t>
  </si>
  <si>
    <t>Masuk Tdk Absen (TPA)</t>
  </si>
  <si>
    <t>Total / Rata-rata</t>
  </si>
  <si>
    <t>00283</t>
  </si>
  <si>
    <t>M. Robith Azmi</t>
  </si>
  <si>
    <t>Pemimpin Wilayah</t>
  </si>
  <si>
    <t>00598</t>
  </si>
  <si>
    <t>Antoro Asih</t>
  </si>
  <si>
    <t>Wakil Pemimpin Wilayah</t>
  </si>
  <si>
    <t>00193</t>
  </si>
  <si>
    <t>Aneka Prasyanti W.S</t>
  </si>
  <si>
    <t xml:space="preserve">Kepala Bagian </t>
  </si>
  <si>
    <t>Operasional</t>
  </si>
  <si>
    <t>00174</t>
  </si>
  <si>
    <t>Hilmiyah Fitriana</t>
  </si>
  <si>
    <t xml:space="preserve">Klaim dan Subrogasi </t>
  </si>
  <si>
    <t>00606</t>
  </si>
  <si>
    <t>Deni Tri Kuncoro</t>
  </si>
  <si>
    <t>Bisnis</t>
  </si>
  <si>
    <t>00452</t>
  </si>
  <si>
    <t>Kemal Rismandaru</t>
  </si>
  <si>
    <t>Fungsional</t>
  </si>
  <si>
    <t>00175</t>
  </si>
  <si>
    <t>Irgun Wahju Drijanto</t>
  </si>
  <si>
    <t>01098</t>
  </si>
  <si>
    <t>Dhia Shofiah Mardiana</t>
  </si>
  <si>
    <t>Staf</t>
  </si>
  <si>
    <t>01337</t>
  </si>
  <si>
    <t>Faridatul Mukhodaroh</t>
  </si>
  <si>
    <t>01413</t>
  </si>
  <si>
    <t>Muhammad Khoirudin</t>
  </si>
  <si>
    <t>00579</t>
  </si>
  <si>
    <t>Alfan Andrianto</t>
  </si>
  <si>
    <t>01035</t>
  </si>
  <si>
    <t>Indro Hartanto</t>
  </si>
  <si>
    <t>10579</t>
  </si>
  <si>
    <t>Najmah Arofah</t>
  </si>
  <si>
    <t>Calon Karyawan</t>
  </si>
  <si>
    <t>90672</t>
  </si>
  <si>
    <t>Ridhotul Khafshoh Islami</t>
  </si>
  <si>
    <t>PKWT</t>
  </si>
  <si>
    <t>90873</t>
  </si>
  <si>
    <t>Kiki Ramadhani Suyono</t>
  </si>
  <si>
    <t>90870</t>
  </si>
  <si>
    <t>Angger Wicaksono</t>
  </si>
  <si>
    <t>TPA</t>
  </si>
  <si>
    <t>TPA = Masuk tapi tidak absen</t>
  </si>
  <si>
    <t>NPP</t>
  </si>
  <si>
    <t>Bagian</t>
  </si>
  <si>
    <t>2 Hari</t>
  </si>
  <si>
    <t>19 Hari</t>
  </si>
  <si>
    <t>Tanggal Merah</t>
  </si>
  <si>
    <t>I = Izin</t>
  </si>
  <si>
    <t>I =  Izin</t>
  </si>
  <si>
    <t>S = Sakit</t>
  </si>
  <si>
    <t>C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</si>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</sst>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27" x14ac:knownFonts="1">
    <font>
      <sz val="11"/>
      <color theme="1"/>
      <name val="Calibri"/>
      <family val="2"/>
      <scheme val="minor"/>
    </font>
    <font>
      <b/>
      <sz val="16"/>
      <color rgb="FF1F4E78"/>
      <name val="Segoe UI"/>
      <family val="2"/>
    </font>
    <font>
      <b/>
      <sz val="10"/>
      <name val="Segoe UI"/>
      <family val="2"/>
    </font>
    <font>
      <sz val="9"/>
      <name val="Segoe UI"/>
      <family val="2"/>
    </font>
    <font>
      <i/>
      <sz val="11"/>
      <color rgb="FF595959"/>
      <name val="Segoe UI"/>
      <family val="2"/>
    </font>
    <font>
      <i/>
      <sz val="8"/>
      <name val="Segoe UI"/>
      <family val="2"/>
    </font>
    <font>
      <b/>
      <sz val="10"/>
      <color rgb="FFFFFFFF"/>
      <name val="Segoe UI"/>
      <family val="2"/>
    </font>
    <font>
      <b/>
      <sz val="9"/>
      <color rgb="FF595959"/>
      <name val="Segoe UI"/>
      <family val="2"/>
    </font>
    <font>
      <b/>
      <sz val="7"/>
      <name val="Segoe UI"/>
      <family val="2"/>
    </font>
    <font>
      <b/>
      <sz val="9"/>
      <color rgb="FFC00000"/>
      <name val="Segoe UI"/>
      <family val="2"/>
    </font>
    <font>
      <b/>
      <sz val="8"/>
      <color rgb="FFC00000"/>
      <name val="Segoe UI"/>
      <family val="2"/>
    </font>
    <font>
      <sz val="8"/>
      <color rgb="FF375623"/>
      <name val="Segoe UI"/>
      <family val="2"/>
    </font>
    <font>
      <b/>
      <sz val="8"/>
      <color rgb="FFB25900"/>
      <name val="Segoe UI"/>
      <family val="2"/>
    </font>
    <font>
      <b/>
      <sz val="11"/>
      <color rgb="FF1F4E78"/>
      <name val="Segoe UI"/>
      <family val="2"/>
    </font>
    <font>
      <b/>
      <sz val="8"/>
      <color rgb="FFFF0000"/>
      <name val="Segoe UI"/>
      <family val="2"/>
    </font>
    <font>
      <i/>
      <sz val="8"/>
      <name val="Segoe UI"/>
      <family val="2"/>
    </font>
    <font>
      <b/>
      <sz val="9"/>
      <color rgb="FFFF0000"/>
      <name val="Segoe UI"/>
      <family val="2"/>
    </font>
    <font>
      <b/>
      <sz val="7"/>
      <name val="Segoe UI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375623"/>
      <name val="Segoe UI"/>
      <family val="2"/>
    </font>
    <font>
      <sz val="10"/>
      <name val="Segoe UI"/>
      <family val="2"/>
    </font>
    <font>
      <b/>
      <sz val="10"/>
      <color rgb="FFFF0000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F9FAFB"/>
        <bgColor rgb="FFF9FAFB"/>
      </patternFill>
    </fill>
    <fill>
      <patternFill patternType="solid">
        <fgColor theme="9" tint="0.79998168889431442"/>
        <bgColor rgb="FFD9D9D9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FCE4D6"/>
      </patternFill>
    </fill>
    <fill>
      <patternFill patternType="solid">
        <fgColor theme="9" tint="0.79998168889431442"/>
        <bgColor rgb="FF1F4E78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medium">
        <color rgb="FF1F4E78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FFFFFF"/>
      </left>
      <right style="thin">
        <color rgb="FFFFFFFF"/>
      </right>
      <top/>
      <bottom style="medium">
        <color rgb="FF1F4E78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 wrapText="1"/>
    </xf>
    <xf numFmtId="3" fontId="19" fillId="0" borderId="8" xfId="0" applyNumberFormat="1" applyFont="1" applyBorder="1" applyAlignment="1">
      <alignment horizontal="center" vertical="center"/>
    </xf>
    <xf numFmtId="0" fontId="20" fillId="0" borderId="0" xfId="0" applyFont="1"/>
    <xf numFmtId="165" fontId="20" fillId="8" borderId="9" xfId="0" applyNumberFormat="1" applyFont="1" applyFill="1" applyBorder="1" applyAlignment="1">
      <alignment horizontal="center" vertical="center"/>
    </xf>
    <xf numFmtId="0" fontId="21" fillId="7" borderId="7" xfId="0" applyFont="1" applyFill="1" applyBorder="1" applyAlignment="1">
      <alignment horizontal="center" vertical="center" wrapText="1"/>
    </xf>
    <xf numFmtId="164" fontId="22" fillId="0" borderId="8" xfId="0" applyNumberFormat="1" applyFont="1" applyBorder="1" applyAlignment="1">
      <alignment horizontal="center" vertical="center"/>
    </xf>
    <xf numFmtId="164" fontId="22" fillId="5" borderId="8" xfId="0" applyNumberFormat="1" applyFont="1" applyFill="1" applyBorder="1" applyAlignment="1">
      <alignment horizontal="center" vertical="center"/>
    </xf>
    <xf numFmtId="164" fontId="22" fillId="8" borderId="9" xfId="0" applyNumberFormat="1" applyFont="1" applyFill="1" applyBorder="1" applyAlignment="1">
      <alignment horizontal="center" vertical="center"/>
    </xf>
    <xf numFmtId="0" fontId="22" fillId="8" borderId="9" xfId="0" applyFont="1" applyFill="1" applyBorder="1" applyAlignment="1">
      <alignment horizontal="center" vertical="center"/>
    </xf>
    <xf numFmtId="3" fontId="23" fillId="0" borderId="8" xfId="0" applyNumberFormat="1" applyFont="1" applyBorder="1" applyAlignment="1">
      <alignment horizontal="center" vertical="center"/>
    </xf>
    <xf numFmtId="4" fontId="23" fillId="0" borderId="8" xfId="0" applyNumberFormat="1" applyFont="1" applyBorder="1" applyAlignment="1">
      <alignment horizontal="center" vertical="center"/>
    </xf>
    <xf numFmtId="3" fontId="23" fillId="5" borderId="8" xfId="0" applyNumberFormat="1" applyFont="1" applyFill="1" applyBorder="1" applyAlignment="1">
      <alignment horizontal="center" vertical="center"/>
    </xf>
    <xf numFmtId="4" fontId="23" fillId="5" borderId="8" xfId="0" applyNumberFormat="1" applyFont="1" applyFill="1" applyBorder="1" applyAlignment="1">
      <alignment horizontal="center" vertical="center"/>
    </xf>
    <xf numFmtId="2" fontId="22" fillId="8" borderId="9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left"/>
    </xf>
    <xf numFmtId="0" fontId="0" fillId="0" borderId="0" xfId="0" applyAlignment="1">
      <alignment horizontal="left"/>
    </xf>
    <xf numFmtId="3" fontId="22" fillId="8" borderId="9" xfId="0" applyNumberFormat="1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24" fillId="10" borderId="8" xfId="0" applyFont="1" applyFill="1" applyBorder="1" applyAlignment="1">
      <alignment horizontal="center" vertical="center" wrapText="1"/>
    </xf>
    <xf numFmtId="0" fontId="25" fillId="11" borderId="8" xfId="0" applyFont="1" applyFill="1" applyBorder="1" applyAlignment="1">
      <alignment horizontal="center" vertical="center" wrapText="1"/>
    </xf>
    <xf numFmtId="0" fontId="25" fillId="12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5" fillId="11" borderId="1" xfId="0" applyFont="1" applyFill="1" applyBorder="1" applyAlignment="1">
      <alignment horizontal="center" vertical="center" wrapText="1"/>
    </xf>
    <xf numFmtId="0" fontId="25" fillId="12" borderId="1" xfId="0" applyFont="1" applyFill="1" applyBorder="1" applyAlignment="1">
      <alignment horizontal="center" vertical="center" wrapText="1"/>
    </xf>
    <xf numFmtId="0" fontId="26" fillId="13" borderId="2" xfId="0" applyFont="1" applyFill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center" vertical="center" wrapText="1"/>
    </xf>
    <xf numFmtId="0" fontId="18" fillId="7" borderId="7" xfId="0" applyFont="1" applyFill="1" applyBorder="1" applyAlignment="1">
      <alignment horizontal="center" vertical="center" wrapText="1"/>
    </xf>
    <xf numFmtId="0" fontId="0" fillId="0" borderId="10" xfId="0" applyBorder="1"/>
    <xf numFmtId="0" fontId="15" fillId="0" borderId="0" xfId="0" applyFont="1" applyAlignment="1">
      <alignment horizontal="left"/>
    </xf>
    <xf numFmtId="0" fontId="0" fillId="0" borderId="0" xfId="0"/>
    <xf numFmtId="0" fontId="6" fillId="7" borderId="3" xfId="0" applyFont="1" applyFill="1" applyBorder="1" applyAlignment="1">
      <alignment horizontal="center" vertical="center" wrapText="1"/>
    </xf>
    <xf numFmtId="0" fontId="0" fillId="0" borderId="6" xfId="0" applyBorder="1"/>
    <xf numFmtId="0" fontId="6" fillId="7" borderId="8" xfId="0" applyFont="1" applyFill="1" applyBorder="1" applyAlignment="1">
      <alignment horizontal="center" vertical="center" wrapText="1"/>
    </xf>
    <xf numFmtId="0" fontId="0" fillId="0" borderId="5" xfId="0" applyBorder="1"/>
    <xf numFmtId="0" fontId="6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13" fillId="0" borderId="0" xfId="0" applyFont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5" fillId="0" borderId="0" xfId="0" applyFont="1" applyAlignment="1"/>
    <xf numFmtId="0" fontId="0" fillId="0" borderId="0" xfId="0" applyAlignment="1"/>
  </cellXfs>
  <cellStyles count="1">
    <cellStyle name="Normal" xfId="0" builtinId="0"/>
  </cellStyles>
  <dxfs count="5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theme="5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theme="9" tint="-0.24994659260841701"/>
      </font>
      <fill>
        <patternFill>
          <bgColor theme="9" tint="0.79998168889431442"/>
        </patternFill>
      </fill>
    </dxf>
    <dxf>
      <font>
        <b/>
        <color theme="5" tint="0.79998168889431442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theme="5" tint="-0.24994659260841701"/>
        </patternFill>
      </fill>
    </dxf>
    <dxf>
      <font>
        <b/>
        <color theme="9" tint="-0.499984740745262"/>
      </font>
    </dxf>
    <dxf>
      <font>
        <b/>
        <color theme="0"/>
      </font>
      <fill>
        <patternFill>
          <bgColor theme="4" tint="-0.24994659260841701"/>
        </patternFill>
      </fill>
    </dxf>
    <dxf>
      <font>
        <b/>
        <color theme="0"/>
      </font>
      <fill>
        <patternFill>
          <bgColor theme="4" tint="-0.24994659260841701"/>
        </patternFill>
      </fill>
    </dxf>
    <dxf>
      <font>
        <b/>
        <color theme="0"/>
      </font>
      <fill>
        <patternFill>
          <bgColor theme="5" tint="-0.24994659260841701"/>
        </patternFill>
      </fill>
    </dxf>
    <dxf>
      <font>
        <b/>
        <color theme="5" tint="0.79998168889431442"/>
      </font>
      <fill>
        <patternFill patternType="solid">
          <bgColor theme="5" tint="0.59996337778862885"/>
        </patternFill>
      </fill>
    </dxf>
    <dxf>
      <font>
        <b/>
        <color theme="9" tint="-0.24994659260841701"/>
      </font>
      <fill>
        <patternFill>
          <bgColor theme="9" tint="0.79998168889431442"/>
        </patternFill>
      </fill>
    </dxf>
    <dxf>
      <font>
        <b/>
        <color theme="5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theme="9" tint="-0.499984740745262"/>
      </font>
    </dxf>
    <dxf>
      <font>
        <b/>
        <color theme="5" tint="0.79998168889431442"/>
      </font>
      <fill>
        <patternFill patternType="solid">
          <bgColor theme="5" tint="0.59996337778862885"/>
        </patternFill>
      </fill>
    </dxf>
    <dxf>
      <font>
        <b/>
        <color theme="9" tint="-0.499984740745262"/>
      </font>
    </dxf>
    <dxf>
      <font>
        <b/>
        <color theme="0"/>
      </font>
      <fill>
        <patternFill>
          <bgColor theme="5" tint="-0.24994659260841701"/>
        </patternFill>
      </fill>
    </dxf>
    <dxf>
      <font>
        <b/>
        <color theme="0"/>
      </font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theme="5"/>
      </font>
      <fill>
        <patternFill>
          <bgColor theme="5" tint="0.59996337778862885"/>
        </patternFill>
      </fill>
    </dxf>
    <dxf>
      <font>
        <b/>
        <color theme="9" tint="-0.24994659260841701"/>
      </font>
      <fill>
        <patternFill>
          <bgColor theme="9" tint="0.79998168889431442"/>
        </patternFill>
      </fill>
    </dxf>
    <dxf>
      <font>
        <b/>
        <color theme="0"/>
      </font>
      <fill>
        <patternFill>
          <bgColor theme="5" tint="-0.24994659260841701"/>
        </patternFill>
      </fill>
    </dxf>
    <dxf>
      <font>
        <b/>
        <color theme="9" tint="-0.499984740745262"/>
      </font>
    </dxf>
    <dxf>
      <font>
        <b/>
        <color theme="0"/>
      </font>
      <fill>
        <patternFill>
          <bgColor theme="4" tint="-0.24994659260841701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theme="5"/>
      </font>
      <fill>
        <patternFill>
          <bgColor theme="5" tint="0.59996337778862885"/>
        </patternFill>
      </fill>
    </dxf>
    <dxf>
      <font>
        <b/>
        <color theme="9" tint="-0.24994659260841701"/>
      </font>
      <fill>
        <patternFill>
          <bgColor theme="9" tint="0.79998168889431442"/>
        </patternFill>
      </fill>
    </dxf>
    <dxf>
      <font>
        <b/>
        <color theme="5" tint="0.79998168889431442"/>
      </font>
      <fill>
        <patternFill patternType="solid">
          <bgColor theme="5" tint="0.59996337778862885"/>
        </patternFill>
      </fill>
    </dxf>
    <dxf>
      <font>
        <b/>
        <color theme="9" tint="-0.499984740745262"/>
      </font>
    </dxf>
    <dxf>
      <font>
        <b/>
        <color theme="0"/>
      </font>
      <fill>
        <patternFill>
          <bgColor theme="5" tint="-0.24994659260841701"/>
        </patternFill>
      </fill>
    </dxf>
    <dxf>
      <font>
        <b/>
        <color theme="9" tint="-0.24994659260841701"/>
      </font>
      <fill>
        <patternFill>
          <bgColor theme="9" tint="0.79998168889431442"/>
        </patternFill>
      </fill>
    </dxf>
    <dxf>
      <font>
        <b/>
        <color theme="5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theme="5" tint="0.79998168889431442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theme="9" tint="-0.24994659260841701"/>
      </font>
      <fill>
        <patternFill>
          <bgColor theme="9" tint="0.79998168889431442"/>
        </patternFill>
      </fill>
    </dxf>
    <dxf>
      <font>
        <b/>
        <color theme="5" tint="0.79998168889431442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theme="5" tint="-0.24994659260841701"/>
        </patternFill>
      </fill>
    </dxf>
    <dxf>
      <font>
        <b/>
        <color theme="5"/>
      </font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b/>
        <color theme="9" tint="-0.499984740745262"/>
      </font>
    </dxf>
    <dxf>
      <font>
        <b/>
        <color theme="0"/>
      </font>
      <fill>
        <patternFill>
          <bgColor theme="4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b/>
        <color rgb="FFC00000"/>
      </font>
      <fill>
        <patternFill patternType="solid">
          <fgColor rgb="FFFCE4D6"/>
          <b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4"/>
  <sheetViews>
    <sheetView tabSelected="1" zoomScale="110" zoomScaleNormal="90" workbookViewId="0">
      <selection activeCell="Q19" sqref="Q19"/>
    </sheetView>
  </sheetViews>
  <sheetFormatPr defaultRowHeight="14.25" x14ac:dyDescent="0.45"/>
  <cols>
    <col min="1" max="1" width="5" customWidth="1"/>
    <col min="2" max="2" width="12" customWidth="1"/>
    <col min="3" max="3" width="20" customWidth="1"/>
    <col min="4" max="4" width="19.19921875" customWidth="1"/>
    <col min="5" max="5" width="21.33203125" customWidth="1"/>
    <col min="6" max="36" width="4.46484375" customWidth="1"/>
    <col min="37" max="37" width="12" customWidth="1"/>
  </cols>
  <sheetData>
    <row r="1" spans="1:37" ht="24" customHeight="1" x14ac:dyDescent="0.85">
      <c r="A1" s="1" t="s">
        <v>0</v>
      </c>
    </row>
    <row r="2" spans="1:37" ht="16.5" customHeight="1" x14ac:dyDescent="0.6">
      <c r="A2" s="3" t="s">
        <v>1</v>
      </c>
    </row>
    <row r="4" spans="1:37" ht="15.4" x14ac:dyDescent="0.55000000000000004">
      <c r="A4" s="2" t="s">
        <v>2</v>
      </c>
      <c r="B4" s="4" t="s">
        <v>3</v>
      </c>
      <c r="C4" s="4" t="s">
        <v>4</v>
      </c>
      <c r="D4" s="4" t="s">
        <v>92</v>
      </c>
      <c r="E4" s="4" t="s">
        <v>5</v>
      </c>
      <c r="F4" s="69" t="s">
        <v>93</v>
      </c>
      <c r="G4" s="70"/>
      <c r="H4" s="69" t="s">
        <v>94</v>
      </c>
      <c r="I4" s="70"/>
      <c r="K4" s="59" t="s">
        <v>7</v>
      </c>
      <c r="L4" s="59"/>
      <c r="M4" s="59"/>
      <c r="N4" s="59"/>
      <c r="P4" s="4" t="s">
        <v>8</v>
      </c>
      <c r="T4" s="66" t="s">
        <v>86</v>
      </c>
      <c r="U4" s="66"/>
      <c r="V4" s="66"/>
      <c r="W4" s="66"/>
      <c r="X4" s="66"/>
      <c r="Y4" s="59" t="s">
        <v>6</v>
      </c>
      <c r="Z4" s="60"/>
      <c r="AA4" s="60"/>
      <c r="AB4" s="60"/>
      <c r="AC4" s="59" t="s">
        <v>7</v>
      </c>
      <c r="AD4" s="59"/>
      <c r="AE4" s="59"/>
      <c r="AF4" s="59"/>
    </row>
    <row r="5" spans="1:37" ht="14.65" thickBot="1" x14ac:dyDescent="0.5"/>
    <row r="6" spans="1:37" ht="28.05" customHeight="1" thickBot="1" x14ac:dyDescent="0.5">
      <c r="A6" s="65" t="s">
        <v>9</v>
      </c>
      <c r="B6" s="63" t="s">
        <v>87</v>
      </c>
      <c r="C6" s="63" t="s">
        <v>11</v>
      </c>
      <c r="D6" s="63" t="s">
        <v>12</v>
      </c>
      <c r="E6" s="61" t="s">
        <v>88</v>
      </c>
      <c r="F6" s="13">
        <v>1</v>
      </c>
      <c r="G6" s="13">
        <v>2</v>
      </c>
      <c r="H6" s="14">
        <v>3</v>
      </c>
      <c r="I6" s="14">
        <v>4</v>
      </c>
      <c r="J6" s="14">
        <v>5</v>
      </c>
      <c r="K6" s="9">
        <v>6</v>
      </c>
      <c r="L6" s="8">
        <v>7</v>
      </c>
      <c r="M6" s="13">
        <v>8</v>
      </c>
      <c r="N6" s="13">
        <v>9</v>
      </c>
      <c r="O6" s="14">
        <v>10</v>
      </c>
      <c r="P6" s="14">
        <v>11</v>
      </c>
      <c r="Q6" s="14">
        <v>12</v>
      </c>
      <c r="R6" s="14">
        <v>13</v>
      </c>
      <c r="S6" s="14">
        <v>14</v>
      </c>
      <c r="T6" s="13">
        <v>15</v>
      </c>
      <c r="U6" s="13">
        <v>16</v>
      </c>
      <c r="V6" s="19">
        <v>17</v>
      </c>
      <c r="W6" s="14">
        <v>18</v>
      </c>
      <c r="X6" s="14">
        <v>19</v>
      </c>
      <c r="Y6" s="14">
        <v>20</v>
      </c>
      <c r="Z6" s="14">
        <v>21</v>
      </c>
      <c r="AA6" s="13">
        <v>22</v>
      </c>
      <c r="AB6" s="13">
        <v>23</v>
      </c>
      <c r="AC6" s="14">
        <v>24</v>
      </c>
      <c r="AD6" s="55">
        <v>25</v>
      </c>
      <c r="AE6" s="14">
        <v>26</v>
      </c>
      <c r="AF6" s="14">
        <v>27</v>
      </c>
      <c r="AG6" s="14">
        <v>28</v>
      </c>
      <c r="AH6" s="13">
        <v>29</v>
      </c>
      <c r="AI6" s="13">
        <v>30</v>
      </c>
      <c r="AJ6" s="14">
        <v>31</v>
      </c>
      <c r="AK6" s="57" t="s">
        <v>14</v>
      </c>
    </row>
    <row r="7" spans="1:37" ht="18" customHeight="1" thickBot="1" x14ac:dyDescent="0.5">
      <c r="A7" s="64"/>
      <c r="B7" s="64"/>
      <c r="C7" s="64"/>
      <c r="D7" s="64"/>
      <c r="E7" s="62"/>
      <c r="F7" s="15" t="s">
        <v>19</v>
      </c>
      <c r="G7" s="15" t="s">
        <v>19</v>
      </c>
      <c r="H7" s="16" t="s">
        <v>20</v>
      </c>
      <c r="I7" s="16" t="s">
        <v>20</v>
      </c>
      <c r="J7" s="16" t="s">
        <v>20</v>
      </c>
      <c r="K7" s="10" t="s">
        <v>20</v>
      </c>
      <c r="L7" s="17" t="s">
        <v>20</v>
      </c>
      <c r="M7" s="15" t="s">
        <v>19</v>
      </c>
      <c r="N7" s="15" t="s">
        <v>19</v>
      </c>
      <c r="O7" s="16" t="s">
        <v>20</v>
      </c>
      <c r="P7" s="16" t="s">
        <v>20</v>
      </c>
      <c r="Q7" s="16" t="s">
        <v>20</v>
      </c>
      <c r="R7" s="16" t="s">
        <v>20</v>
      </c>
      <c r="S7" s="16" t="s">
        <v>20</v>
      </c>
      <c r="T7" s="21" t="s">
        <v>19</v>
      </c>
      <c r="U7" s="21" t="s">
        <v>19</v>
      </c>
      <c r="V7" s="20" t="s">
        <v>21</v>
      </c>
      <c r="W7" s="16" t="s">
        <v>20</v>
      </c>
      <c r="X7" s="16" t="s">
        <v>20</v>
      </c>
      <c r="Y7" s="16" t="s">
        <v>20</v>
      </c>
      <c r="Z7" s="16" t="s">
        <v>20</v>
      </c>
      <c r="AA7" s="15" t="s">
        <v>19</v>
      </c>
      <c r="AB7" s="15" t="s">
        <v>19</v>
      </c>
      <c r="AC7" s="16" t="s">
        <v>20</v>
      </c>
      <c r="AD7" s="20" t="s">
        <v>21</v>
      </c>
      <c r="AE7" s="16" t="s">
        <v>20</v>
      </c>
      <c r="AF7" s="16" t="s">
        <v>20</v>
      </c>
      <c r="AG7" s="16" t="s">
        <v>20</v>
      </c>
      <c r="AH7" s="15" t="s">
        <v>19</v>
      </c>
      <c r="AI7" s="15" t="s">
        <v>19</v>
      </c>
      <c r="AJ7" s="16" t="s">
        <v>20</v>
      </c>
      <c r="AK7" s="58"/>
    </row>
    <row r="8" spans="1:37" ht="15.4" customHeight="1" x14ac:dyDescent="0.45">
      <c r="A8" s="5">
        <v>1</v>
      </c>
      <c r="B8" s="35" t="s">
        <v>43</v>
      </c>
      <c r="C8" s="36" t="s">
        <v>44</v>
      </c>
      <c r="D8" s="36" t="s">
        <v>45</v>
      </c>
      <c r="E8" s="35" t="s">
        <v>45</v>
      </c>
      <c r="F8" s="11" t="s">
        <v>19</v>
      </c>
      <c r="G8" s="11" t="s">
        <v>19</v>
      </c>
      <c r="H8" s="41" t="s">
        <v>22</v>
      </c>
      <c r="I8" s="41" t="s">
        <v>22</v>
      </c>
      <c r="J8" s="41" t="s">
        <v>22</v>
      </c>
      <c r="K8" s="42" t="s">
        <v>22</v>
      </c>
      <c r="L8" s="42" t="s">
        <v>22</v>
      </c>
      <c r="M8" s="11" t="s">
        <v>19</v>
      </c>
      <c r="N8" s="11" t="s">
        <v>19</v>
      </c>
      <c r="O8" s="41" t="s">
        <v>22</v>
      </c>
      <c r="P8" s="41" t="s">
        <v>22</v>
      </c>
      <c r="Q8" s="41" t="s">
        <v>22</v>
      </c>
      <c r="R8" s="41" t="s">
        <v>22</v>
      </c>
      <c r="S8" s="41" t="s">
        <v>22</v>
      </c>
      <c r="T8" s="11" t="s">
        <v>19</v>
      </c>
      <c r="U8" s="11" t="s">
        <v>19</v>
      </c>
      <c r="V8" s="18" t="s">
        <v>19</v>
      </c>
      <c r="W8" s="41" t="s">
        <v>22</v>
      </c>
      <c r="X8" s="41" t="s">
        <v>22</v>
      </c>
      <c r="Y8" s="41" t="s">
        <v>22</v>
      </c>
      <c r="Z8" s="41" t="s">
        <v>25</v>
      </c>
      <c r="AA8" s="11" t="s">
        <v>19</v>
      </c>
      <c r="AB8" s="11" t="s">
        <v>19</v>
      </c>
      <c r="AC8" s="12" t="s">
        <v>85</v>
      </c>
      <c r="AD8" s="18" t="s">
        <v>19</v>
      </c>
      <c r="AE8" s="12" t="s">
        <v>22</v>
      </c>
      <c r="AF8" s="12" t="s">
        <v>22</v>
      </c>
      <c r="AG8" s="12" t="s">
        <v>22</v>
      </c>
      <c r="AH8" s="11" t="s">
        <v>19</v>
      </c>
      <c r="AI8" s="11" t="s">
        <v>19</v>
      </c>
      <c r="AJ8" s="12" t="s">
        <v>26</v>
      </c>
      <c r="AK8" s="22">
        <f>COUNTIF(F8:AJ8, "H") + COUNTIF(F8:AJ8, "TL") + COUNTIF(F8:AJ8, "TAM") + COUNTIF(F8:AJ8, "TAP") + COUNTIF(F8:AJ8, "TPA")</f>
        <v>19</v>
      </c>
    </row>
    <row r="9" spans="1:37" ht="15.4" customHeight="1" x14ac:dyDescent="0.45">
      <c r="A9" s="5">
        <v>2</v>
      </c>
      <c r="B9" s="35" t="s">
        <v>46</v>
      </c>
      <c r="C9" s="36" t="s">
        <v>47</v>
      </c>
      <c r="D9" s="36" t="s">
        <v>48</v>
      </c>
      <c r="E9" s="35" t="s">
        <v>48</v>
      </c>
      <c r="F9" s="7" t="s">
        <v>19</v>
      </c>
      <c r="G9" s="7" t="s">
        <v>19</v>
      </c>
      <c r="H9" s="43" t="s">
        <v>25</v>
      </c>
      <c r="I9" s="42" t="s">
        <v>26</v>
      </c>
      <c r="J9" s="42" t="s">
        <v>26</v>
      </c>
      <c r="K9" s="42" t="s">
        <v>22</v>
      </c>
      <c r="L9" s="43" t="s">
        <v>85</v>
      </c>
      <c r="M9" s="7" t="s">
        <v>19</v>
      </c>
      <c r="N9" s="7" t="s">
        <v>19</v>
      </c>
      <c r="O9" s="47" t="s">
        <v>22</v>
      </c>
      <c r="P9" s="42" t="s">
        <v>25</v>
      </c>
      <c r="Q9" s="42" t="s">
        <v>22</v>
      </c>
      <c r="R9" s="42" t="s">
        <v>22</v>
      </c>
      <c r="S9" s="42" t="s">
        <v>22</v>
      </c>
      <c r="T9" s="7" t="s">
        <v>19</v>
      </c>
      <c r="U9" s="7" t="s">
        <v>19</v>
      </c>
      <c r="V9" s="6" t="s">
        <v>19</v>
      </c>
      <c r="W9" s="42" t="s">
        <v>26</v>
      </c>
      <c r="X9" s="42" t="s">
        <v>85</v>
      </c>
      <c r="Y9" s="42" t="s">
        <v>22</v>
      </c>
      <c r="Z9" s="42" t="s">
        <v>25</v>
      </c>
      <c r="AA9" s="7" t="s">
        <v>19</v>
      </c>
      <c r="AB9" s="7" t="s">
        <v>19</v>
      </c>
      <c r="AC9" s="5" t="s">
        <v>85</v>
      </c>
      <c r="AD9" s="6" t="s">
        <v>19</v>
      </c>
      <c r="AE9" s="5" t="s">
        <v>22</v>
      </c>
      <c r="AF9" s="5" t="s">
        <v>22</v>
      </c>
      <c r="AG9" s="5" t="s">
        <v>22</v>
      </c>
      <c r="AH9" s="7" t="s">
        <v>19</v>
      </c>
      <c r="AI9" s="7" t="s">
        <v>19</v>
      </c>
      <c r="AJ9" s="5" t="s">
        <v>22</v>
      </c>
      <c r="AK9" s="22">
        <f>COUNTIF(F9:AJ9, "H") + COUNTIF(F9:AJ9, "TL") + COUNTIF(F9:AJ9, "TAM") + COUNTIF(F9:AJ9, "TAP") + COUNTIF(F9:AJ9, "TPA")</f>
        <v>19</v>
      </c>
    </row>
    <row r="10" spans="1:37" ht="15.4" customHeight="1" x14ac:dyDescent="0.45">
      <c r="A10" s="5">
        <v>3</v>
      </c>
      <c r="B10" s="35" t="s">
        <v>49</v>
      </c>
      <c r="C10" s="36" t="s">
        <v>50</v>
      </c>
      <c r="D10" s="36" t="s">
        <v>51</v>
      </c>
      <c r="E10" s="35" t="s">
        <v>52</v>
      </c>
      <c r="F10" s="7" t="s">
        <v>19</v>
      </c>
      <c r="G10" s="7" t="s">
        <v>19</v>
      </c>
      <c r="H10" s="42" t="s">
        <v>22</v>
      </c>
      <c r="I10" s="42" t="s">
        <v>22</v>
      </c>
      <c r="J10" s="42" t="s">
        <v>22</v>
      </c>
      <c r="K10" s="42" t="s">
        <v>22</v>
      </c>
      <c r="L10" s="42" t="s">
        <v>22</v>
      </c>
      <c r="M10" s="7" t="s">
        <v>19</v>
      </c>
      <c r="N10" s="7" t="s">
        <v>19</v>
      </c>
      <c r="O10" s="48" t="s">
        <v>22</v>
      </c>
      <c r="P10" s="48" t="s">
        <v>22</v>
      </c>
      <c r="Q10" s="49" t="s">
        <v>22</v>
      </c>
      <c r="R10" s="42" t="s">
        <v>22</v>
      </c>
      <c r="S10" s="42" t="s">
        <v>22</v>
      </c>
      <c r="T10" s="7" t="s">
        <v>19</v>
      </c>
      <c r="U10" s="7" t="s">
        <v>19</v>
      </c>
      <c r="V10" s="6" t="s">
        <v>19</v>
      </c>
      <c r="W10" s="42" t="s">
        <v>22</v>
      </c>
      <c r="X10" s="42" t="s">
        <v>22</v>
      </c>
      <c r="Y10" s="42" t="s">
        <v>22</v>
      </c>
      <c r="Z10" s="49" t="s">
        <v>22</v>
      </c>
      <c r="AA10" s="7" t="s">
        <v>19</v>
      </c>
      <c r="AB10" s="7" t="s">
        <v>19</v>
      </c>
      <c r="AC10" s="5" t="s">
        <v>22</v>
      </c>
      <c r="AD10" s="6" t="s">
        <v>19</v>
      </c>
      <c r="AE10" s="5" t="s">
        <v>22</v>
      </c>
      <c r="AF10" s="5" t="s">
        <v>22</v>
      </c>
      <c r="AG10" s="5" t="s">
        <v>22</v>
      </c>
      <c r="AH10" s="7" t="s">
        <v>19</v>
      </c>
      <c r="AI10" s="7" t="s">
        <v>19</v>
      </c>
      <c r="AJ10" s="5" t="s">
        <v>22</v>
      </c>
      <c r="AK10" s="22">
        <f t="shared" ref="AK10:AK22" si="0">COUNTIF(F10:AJ10, "H") + COUNTIF(F10:AJ10, "TL") + COUNTIF(F10:AJ10, "TAM") + COUNTIF(F10:AJ10, "TAP") + COUNTIF(F10:AJ10, "TPA")</f>
        <v>19</v>
      </c>
    </row>
    <row r="11" spans="1:37" ht="15.4" customHeight="1" x14ac:dyDescent="0.45">
      <c r="A11" s="5">
        <v>4</v>
      </c>
      <c r="B11" s="35" t="s">
        <v>53</v>
      </c>
      <c r="C11" s="36" t="s">
        <v>54</v>
      </c>
      <c r="D11" s="36" t="s">
        <v>51</v>
      </c>
      <c r="E11" s="35" t="s">
        <v>55</v>
      </c>
      <c r="F11" s="7" t="s">
        <v>19</v>
      </c>
      <c r="G11" s="7" t="s">
        <v>19</v>
      </c>
      <c r="H11" s="42" t="s">
        <v>22</v>
      </c>
      <c r="I11" s="42" t="s">
        <v>22</v>
      </c>
      <c r="J11" s="42" t="s">
        <v>22</v>
      </c>
      <c r="K11" s="42" t="s">
        <v>22</v>
      </c>
      <c r="L11" s="42" t="s">
        <v>22</v>
      </c>
      <c r="M11" s="7" t="s">
        <v>19</v>
      </c>
      <c r="N11" s="7" t="s">
        <v>19</v>
      </c>
      <c r="O11" s="42" t="s">
        <v>22</v>
      </c>
      <c r="P11" s="42" t="s">
        <v>22</v>
      </c>
      <c r="Q11" s="42" t="s">
        <v>22</v>
      </c>
      <c r="R11" s="42" t="s">
        <v>22</v>
      </c>
      <c r="S11" s="42" t="s">
        <v>22</v>
      </c>
      <c r="T11" s="7" t="s">
        <v>19</v>
      </c>
      <c r="U11" s="7" t="s">
        <v>19</v>
      </c>
      <c r="V11" s="6" t="s">
        <v>19</v>
      </c>
      <c r="W11" s="42" t="s">
        <v>22</v>
      </c>
      <c r="X11" s="42" t="s">
        <v>22</v>
      </c>
      <c r="Y11" s="42" t="s">
        <v>22</v>
      </c>
      <c r="Z11" s="42" t="s">
        <v>22</v>
      </c>
      <c r="AA11" s="7" t="s">
        <v>19</v>
      </c>
      <c r="AB11" s="7" t="s">
        <v>19</v>
      </c>
      <c r="AC11" s="5" t="s">
        <v>22</v>
      </c>
      <c r="AD11" s="6" t="s">
        <v>19</v>
      </c>
      <c r="AE11" s="5" t="s">
        <v>22</v>
      </c>
      <c r="AF11" s="5" t="s">
        <v>22</v>
      </c>
      <c r="AG11" s="5" t="s">
        <v>22</v>
      </c>
      <c r="AH11" s="7" t="s">
        <v>19</v>
      </c>
      <c r="AI11" s="7" t="s">
        <v>19</v>
      </c>
      <c r="AJ11" s="5" t="s">
        <v>22</v>
      </c>
      <c r="AK11" s="22">
        <f t="shared" si="0"/>
        <v>19</v>
      </c>
    </row>
    <row r="12" spans="1:37" ht="15.4" customHeight="1" x14ac:dyDescent="0.45">
      <c r="A12" s="5">
        <v>5</v>
      </c>
      <c r="B12" s="35" t="s">
        <v>56</v>
      </c>
      <c r="C12" s="36" t="s">
        <v>57</v>
      </c>
      <c r="D12" s="36" t="s">
        <v>51</v>
      </c>
      <c r="E12" s="35" t="s">
        <v>58</v>
      </c>
      <c r="F12" s="7" t="s">
        <v>19</v>
      </c>
      <c r="G12" s="7" t="s">
        <v>19</v>
      </c>
      <c r="H12" s="43" t="s">
        <v>22</v>
      </c>
      <c r="I12" s="43" t="s">
        <v>22</v>
      </c>
      <c r="J12" s="43" t="s">
        <v>22</v>
      </c>
      <c r="K12" s="51" t="s">
        <v>22</v>
      </c>
      <c r="L12" s="43" t="s">
        <v>22</v>
      </c>
      <c r="M12" s="7" t="s">
        <v>19</v>
      </c>
      <c r="N12" s="7" t="s">
        <v>19</v>
      </c>
      <c r="O12" s="43" t="s">
        <v>22</v>
      </c>
      <c r="P12" s="43" t="s">
        <v>22</v>
      </c>
      <c r="Q12" s="53" t="s">
        <v>22</v>
      </c>
      <c r="R12" s="45" t="s">
        <v>25</v>
      </c>
      <c r="S12" s="52" t="s">
        <v>22</v>
      </c>
      <c r="T12" s="7" t="s">
        <v>19</v>
      </c>
      <c r="U12" s="7" t="s">
        <v>19</v>
      </c>
      <c r="V12" s="6" t="s">
        <v>19</v>
      </c>
      <c r="W12" s="52" t="s">
        <v>22</v>
      </c>
      <c r="X12" s="43" t="s">
        <v>22</v>
      </c>
      <c r="Y12" s="43" t="s">
        <v>22</v>
      </c>
      <c r="Z12" s="43" t="s">
        <v>25</v>
      </c>
      <c r="AA12" s="7" t="s">
        <v>19</v>
      </c>
      <c r="AB12" s="7" t="s">
        <v>19</v>
      </c>
      <c r="AC12" s="43" t="s">
        <v>23</v>
      </c>
      <c r="AD12" s="6" t="s">
        <v>19</v>
      </c>
      <c r="AE12" s="43" t="s">
        <v>22</v>
      </c>
      <c r="AF12" s="43" t="s">
        <v>22</v>
      </c>
      <c r="AG12" s="43" t="s">
        <v>22</v>
      </c>
      <c r="AH12" s="7" t="s">
        <v>19</v>
      </c>
      <c r="AI12" s="7" t="s">
        <v>19</v>
      </c>
      <c r="AJ12" s="43" t="s">
        <v>25</v>
      </c>
      <c r="AK12" s="22">
        <f t="shared" si="0"/>
        <v>18</v>
      </c>
    </row>
    <row r="13" spans="1:37" ht="15.4" customHeight="1" x14ac:dyDescent="0.45">
      <c r="A13" s="5">
        <v>6</v>
      </c>
      <c r="B13" s="35" t="s">
        <v>59</v>
      </c>
      <c r="C13" s="36" t="s">
        <v>60</v>
      </c>
      <c r="D13" s="36" t="s">
        <v>61</v>
      </c>
      <c r="E13" s="35" t="s">
        <v>55</v>
      </c>
      <c r="F13" s="7" t="s">
        <v>19</v>
      </c>
      <c r="G13" s="7" t="s">
        <v>19</v>
      </c>
      <c r="H13" s="43" t="s">
        <v>24</v>
      </c>
      <c r="I13" s="43" t="s">
        <v>24</v>
      </c>
      <c r="J13" s="43" t="s">
        <v>24</v>
      </c>
      <c r="K13" s="43" t="s">
        <v>24</v>
      </c>
      <c r="L13" s="43" t="s">
        <v>22</v>
      </c>
      <c r="M13" s="7" t="s">
        <v>19</v>
      </c>
      <c r="N13" s="7" t="s">
        <v>19</v>
      </c>
      <c r="O13" s="53" t="s">
        <v>22</v>
      </c>
      <c r="P13" s="53" t="s">
        <v>22</v>
      </c>
      <c r="Q13" s="45" t="s">
        <v>24</v>
      </c>
      <c r="R13" s="45" t="s">
        <v>24</v>
      </c>
      <c r="S13" s="54" t="s">
        <v>22</v>
      </c>
      <c r="T13" s="7" t="s">
        <v>19</v>
      </c>
      <c r="U13" s="7" t="s">
        <v>19</v>
      </c>
      <c r="V13" s="6" t="s">
        <v>19</v>
      </c>
      <c r="W13" s="43" t="s">
        <v>22</v>
      </c>
      <c r="X13" s="43" t="s">
        <v>22</v>
      </c>
      <c r="Y13" s="43" t="s">
        <v>22</v>
      </c>
      <c r="Z13" s="43" t="s">
        <v>22</v>
      </c>
      <c r="AA13" s="7" t="s">
        <v>19</v>
      </c>
      <c r="AB13" s="7" t="s">
        <v>19</v>
      </c>
      <c r="AC13" s="43" t="s">
        <v>22</v>
      </c>
      <c r="AD13" s="6" t="s">
        <v>19</v>
      </c>
      <c r="AE13" s="43" t="s">
        <v>22</v>
      </c>
      <c r="AF13" s="43" t="s">
        <v>22</v>
      </c>
      <c r="AG13" s="43" t="s">
        <v>22</v>
      </c>
      <c r="AH13" s="7" t="s">
        <v>19</v>
      </c>
      <c r="AI13" s="7" t="s">
        <v>19</v>
      </c>
      <c r="AJ13" s="43" t="s">
        <v>22</v>
      </c>
      <c r="AK13" s="22">
        <f t="shared" si="0"/>
        <v>19</v>
      </c>
    </row>
    <row r="14" spans="1:37" ht="15.4" customHeight="1" x14ac:dyDescent="0.45">
      <c r="A14" s="5">
        <v>7</v>
      </c>
      <c r="B14" s="35" t="s">
        <v>62</v>
      </c>
      <c r="C14" s="36" t="s">
        <v>63</v>
      </c>
      <c r="D14" s="36" t="s">
        <v>61</v>
      </c>
      <c r="E14" s="35" t="s">
        <v>52</v>
      </c>
      <c r="F14" s="7" t="s">
        <v>19</v>
      </c>
      <c r="G14" s="7" t="s">
        <v>19</v>
      </c>
      <c r="H14" s="43" t="s">
        <v>22</v>
      </c>
      <c r="I14" s="43" t="s">
        <v>22</v>
      </c>
      <c r="J14" s="43" t="s">
        <v>22</v>
      </c>
      <c r="K14" s="43" t="s">
        <v>24</v>
      </c>
      <c r="L14" s="43" t="s">
        <v>24</v>
      </c>
      <c r="M14" s="7" t="s">
        <v>19</v>
      </c>
      <c r="N14" s="7" t="s">
        <v>19</v>
      </c>
      <c r="O14" s="43" t="s">
        <v>85</v>
      </c>
      <c r="P14" s="43" t="s">
        <v>24</v>
      </c>
      <c r="Q14" s="51" t="s">
        <v>22</v>
      </c>
      <c r="R14" s="43" t="s">
        <v>22</v>
      </c>
      <c r="S14" s="43" t="s">
        <v>22</v>
      </c>
      <c r="T14" s="7" t="s">
        <v>19</v>
      </c>
      <c r="U14" s="7" t="s">
        <v>19</v>
      </c>
      <c r="V14" s="6" t="s">
        <v>19</v>
      </c>
      <c r="W14" s="43" t="s">
        <v>24</v>
      </c>
      <c r="X14" s="43" t="s">
        <v>22</v>
      </c>
      <c r="Y14" s="43" t="s">
        <v>22</v>
      </c>
      <c r="Z14" s="52" t="s">
        <v>22</v>
      </c>
      <c r="AA14" s="7" t="s">
        <v>19</v>
      </c>
      <c r="AB14" s="7" t="s">
        <v>19</v>
      </c>
      <c r="AC14" s="43" t="s">
        <v>26</v>
      </c>
      <c r="AD14" s="6" t="s">
        <v>19</v>
      </c>
      <c r="AE14" s="43" t="s">
        <v>22</v>
      </c>
      <c r="AF14" s="43" t="s">
        <v>24</v>
      </c>
      <c r="AG14" s="43" t="s">
        <v>24</v>
      </c>
      <c r="AH14" s="7" t="s">
        <v>19</v>
      </c>
      <c r="AI14" s="7" t="s">
        <v>19</v>
      </c>
      <c r="AJ14" s="43" t="s">
        <v>24</v>
      </c>
      <c r="AK14" s="22">
        <f t="shared" si="0"/>
        <v>19</v>
      </c>
    </row>
    <row r="15" spans="1:37" ht="15.4" customHeight="1" x14ac:dyDescent="0.45">
      <c r="A15" s="5">
        <v>8</v>
      </c>
      <c r="B15" s="35" t="s">
        <v>64</v>
      </c>
      <c r="C15" s="36" t="s">
        <v>65</v>
      </c>
      <c r="D15" s="36" t="s">
        <v>66</v>
      </c>
      <c r="E15" s="35" t="s">
        <v>58</v>
      </c>
      <c r="F15" s="7" t="s">
        <v>19</v>
      </c>
      <c r="G15" s="7" t="s">
        <v>19</v>
      </c>
      <c r="H15" s="43" t="s">
        <v>22</v>
      </c>
      <c r="I15" s="43" t="s">
        <v>22</v>
      </c>
      <c r="J15" s="43" t="s">
        <v>22</v>
      </c>
      <c r="K15" s="43" t="s">
        <v>22</v>
      </c>
      <c r="L15" s="43" t="s">
        <v>22</v>
      </c>
      <c r="M15" s="7" t="s">
        <v>19</v>
      </c>
      <c r="N15" s="7" t="s">
        <v>19</v>
      </c>
      <c r="O15" s="43" t="s">
        <v>96</v>
      </c>
      <c r="P15" s="43" t="s">
        <v>95</v>
      </c>
      <c r="Q15" s="43" t="s">
        <v>22</v>
      </c>
      <c r="R15" s="43" t="s">
        <v>22</v>
      </c>
      <c r="S15" s="43" t="s">
        <v>22</v>
      </c>
      <c r="T15" s="7" t="s">
        <v>19</v>
      </c>
      <c r="U15" s="7" t="s">
        <v>19</v>
      </c>
      <c r="V15" s="6" t="s">
        <v>19</v>
      </c>
      <c r="W15" s="43" t="s">
        <v>22</v>
      </c>
      <c r="X15" s="43" t="s">
        <v>22</v>
      </c>
      <c r="Y15" s="43" t="s">
        <v>22</v>
      </c>
      <c r="Z15" s="43" t="s">
        <v>22</v>
      </c>
      <c r="AA15" s="7" t="s">
        <v>19</v>
      </c>
      <c r="AB15" s="7" t="s">
        <v>19</v>
      </c>
      <c r="AC15" s="43" t="s">
        <v>22</v>
      </c>
      <c r="AD15" s="6" t="s">
        <v>19</v>
      </c>
      <c r="AE15" s="43" t="s">
        <v>22</v>
      </c>
      <c r="AF15" s="43" t="s">
        <v>22</v>
      </c>
      <c r="AG15" s="43" t="s">
        <v>22</v>
      </c>
      <c r="AH15" s="7" t="s">
        <v>19</v>
      </c>
      <c r="AI15" s="7" t="s">
        <v>19</v>
      </c>
      <c r="AJ15" s="43" t="s">
        <v>22</v>
      </c>
      <c r="AK15" s="22">
        <f t="shared" si="0"/>
        <v>17</v>
      </c>
    </row>
    <row r="16" spans="1:37" ht="15.4" customHeight="1" x14ac:dyDescent="0.45">
      <c r="A16" s="5">
        <v>9</v>
      </c>
      <c r="B16" s="35" t="s">
        <v>67</v>
      </c>
      <c r="C16" s="36" t="s">
        <v>68</v>
      </c>
      <c r="D16" s="36" t="s">
        <v>66</v>
      </c>
      <c r="E16" s="35" t="s">
        <v>55</v>
      </c>
      <c r="F16" s="7" t="s">
        <v>19</v>
      </c>
      <c r="G16" s="7" t="s">
        <v>19</v>
      </c>
      <c r="H16" s="43" t="s">
        <v>24</v>
      </c>
      <c r="I16" s="43" t="s">
        <v>24</v>
      </c>
      <c r="J16" s="43" t="s">
        <v>22</v>
      </c>
      <c r="K16" s="43" t="s">
        <v>25</v>
      </c>
      <c r="L16" s="44" t="s">
        <v>24</v>
      </c>
      <c r="M16" s="7" t="s">
        <v>19</v>
      </c>
      <c r="N16" s="7" t="s">
        <v>19</v>
      </c>
      <c r="O16" s="44" t="s">
        <v>22</v>
      </c>
      <c r="P16" s="43" t="s">
        <v>22</v>
      </c>
      <c r="Q16" s="43" t="s">
        <v>22</v>
      </c>
      <c r="R16" s="43" t="s">
        <v>22</v>
      </c>
      <c r="S16" s="43" t="s">
        <v>22</v>
      </c>
      <c r="T16" s="7" t="s">
        <v>19</v>
      </c>
      <c r="U16" s="7" t="s">
        <v>19</v>
      </c>
      <c r="V16" s="6" t="s">
        <v>19</v>
      </c>
      <c r="W16" s="53" t="s">
        <v>22</v>
      </c>
      <c r="X16" s="53" t="s">
        <v>22</v>
      </c>
      <c r="Y16" s="46" t="s">
        <v>24</v>
      </c>
      <c r="Z16" s="52" t="s">
        <v>22</v>
      </c>
      <c r="AA16" s="7" t="s">
        <v>19</v>
      </c>
      <c r="AB16" s="7" t="s">
        <v>19</v>
      </c>
      <c r="AC16" s="43" t="s">
        <v>22</v>
      </c>
      <c r="AD16" s="6" t="s">
        <v>19</v>
      </c>
      <c r="AE16" s="43" t="s">
        <v>22</v>
      </c>
      <c r="AF16" s="43" t="s">
        <v>22</v>
      </c>
      <c r="AG16" s="43" t="s">
        <v>22</v>
      </c>
      <c r="AH16" s="7" t="s">
        <v>19</v>
      </c>
      <c r="AI16" s="7" t="s">
        <v>19</v>
      </c>
      <c r="AJ16" s="43" t="s">
        <v>22</v>
      </c>
      <c r="AK16" s="22">
        <f t="shared" si="0"/>
        <v>19</v>
      </c>
    </row>
    <row r="17" spans="1:37" ht="15.4" customHeight="1" x14ac:dyDescent="0.45">
      <c r="A17" s="5">
        <v>10</v>
      </c>
      <c r="B17" s="35" t="s">
        <v>69</v>
      </c>
      <c r="C17" s="36" t="s">
        <v>70</v>
      </c>
      <c r="D17" s="36" t="s">
        <v>66</v>
      </c>
      <c r="E17" s="35" t="s">
        <v>55</v>
      </c>
      <c r="F17" s="7" t="s">
        <v>19</v>
      </c>
      <c r="G17" s="7" t="s">
        <v>19</v>
      </c>
      <c r="H17" s="43" t="s">
        <v>22</v>
      </c>
      <c r="I17" s="43" t="s">
        <v>22</v>
      </c>
      <c r="J17" s="43" t="s">
        <v>22</v>
      </c>
      <c r="K17" s="43" t="s">
        <v>22</v>
      </c>
      <c r="L17" s="43" t="s">
        <v>22</v>
      </c>
      <c r="M17" s="7" t="s">
        <v>19</v>
      </c>
      <c r="N17" s="7" t="s">
        <v>19</v>
      </c>
      <c r="O17" s="43" t="s">
        <v>22</v>
      </c>
      <c r="P17" s="43" t="s">
        <v>22</v>
      </c>
      <c r="Q17" s="43" t="s">
        <v>22</v>
      </c>
      <c r="R17" s="43" t="s">
        <v>22</v>
      </c>
      <c r="S17" s="43" t="s">
        <v>22</v>
      </c>
      <c r="T17" s="7" t="s">
        <v>19</v>
      </c>
      <c r="U17" s="7" t="s">
        <v>19</v>
      </c>
      <c r="V17" s="6" t="s">
        <v>19</v>
      </c>
      <c r="W17" s="53" t="s">
        <v>22</v>
      </c>
      <c r="X17" s="44" t="s">
        <v>22</v>
      </c>
      <c r="Y17" s="43" t="s">
        <v>22</v>
      </c>
      <c r="Z17" s="43" t="s">
        <v>22</v>
      </c>
      <c r="AA17" s="7" t="s">
        <v>19</v>
      </c>
      <c r="AB17" s="7" t="s">
        <v>19</v>
      </c>
      <c r="AC17" s="43" t="s">
        <v>22</v>
      </c>
      <c r="AD17" s="6" t="s">
        <v>19</v>
      </c>
      <c r="AE17" s="43" t="s">
        <v>22</v>
      </c>
      <c r="AF17" s="43" t="s">
        <v>22</v>
      </c>
      <c r="AG17" s="43" t="s">
        <v>22</v>
      </c>
      <c r="AH17" s="7" t="s">
        <v>19</v>
      </c>
      <c r="AI17" s="7" t="s">
        <v>19</v>
      </c>
      <c r="AJ17" s="43" t="s">
        <v>22</v>
      </c>
      <c r="AK17" s="22">
        <f t="shared" si="0"/>
        <v>19</v>
      </c>
    </row>
    <row r="18" spans="1:37" ht="15.4" customHeight="1" x14ac:dyDescent="0.45">
      <c r="A18" s="5">
        <v>11</v>
      </c>
      <c r="B18" s="35" t="s">
        <v>71</v>
      </c>
      <c r="C18" s="36" t="s">
        <v>72</v>
      </c>
      <c r="D18" s="36" t="s">
        <v>66</v>
      </c>
      <c r="E18" s="35" t="s">
        <v>55</v>
      </c>
      <c r="F18" s="7" t="s">
        <v>19</v>
      </c>
      <c r="G18" s="7" t="s">
        <v>19</v>
      </c>
      <c r="H18" s="43" t="s">
        <v>22</v>
      </c>
      <c r="I18" s="43" t="s">
        <v>22</v>
      </c>
      <c r="J18" s="43" t="s">
        <v>22</v>
      </c>
      <c r="K18" s="43" t="s">
        <v>22</v>
      </c>
      <c r="L18" s="43" t="s">
        <v>22</v>
      </c>
      <c r="M18" s="7" t="s">
        <v>19</v>
      </c>
      <c r="N18" s="7" t="s">
        <v>19</v>
      </c>
      <c r="O18" s="43" t="s">
        <v>22</v>
      </c>
      <c r="P18" s="43" t="s">
        <v>22</v>
      </c>
      <c r="Q18" s="43" t="s">
        <v>22</v>
      </c>
      <c r="R18" s="43" t="s">
        <v>22</v>
      </c>
      <c r="S18" s="43" t="s">
        <v>22</v>
      </c>
      <c r="T18" s="7" t="s">
        <v>19</v>
      </c>
      <c r="U18" s="7" t="s">
        <v>19</v>
      </c>
      <c r="V18" s="6" t="s">
        <v>19</v>
      </c>
      <c r="W18" s="43" t="s">
        <v>22</v>
      </c>
      <c r="X18" s="43" t="s">
        <v>22</v>
      </c>
      <c r="Y18" s="43" t="s">
        <v>22</v>
      </c>
      <c r="Z18" s="43" t="s">
        <v>22</v>
      </c>
      <c r="AA18" s="7" t="s">
        <v>19</v>
      </c>
      <c r="AB18" s="7" t="s">
        <v>19</v>
      </c>
      <c r="AC18" s="43" t="s">
        <v>22</v>
      </c>
      <c r="AD18" s="6" t="s">
        <v>19</v>
      </c>
      <c r="AE18" s="43" t="s">
        <v>22</v>
      </c>
      <c r="AF18" s="43" t="s">
        <v>22</v>
      </c>
      <c r="AG18" s="43" t="s">
        <v>22</v>
      </c>
      <c r="AH18" s="7" t="s">
        <v>19</v>
      </c>
      <c r="AI18" s="7" t="s">
        <v>19</v>
      </c>
      <c r="AJ18" s="43" t="s">
        <v>22</v>
      </c>
      <c r="AK18" s="22">
        <f t="shared" si="0"/>
        <v>19</v>
      </c>
    </row>
    <row r="19" spans="1:37" ht="15.4" customHeight="1" x14ac:dyDescent="0.45">
      <c r="A19" s="5">
        <v>12</v>
      </c>
      <c r="B19" s="35" t="s">
        <v>73</v>
      </c>
      <c r="C19" s="36" t="s">
        <v>74</v>
      </c>
      <c r="D19" s="36" t="s">
        <v>66</v>
      </c>
      <c r="E19" s="35" t="s">
        <v>52</v>
      </c>
      <c r="F19" s="7" t="s">
        <v>19</v>
      </c>
      <c r="G19" s="7" t="s">
        <v>19</v>
      </c>
      <c r="H19" s="43" t="s">
        <v>22</v>
      </c>
      <c r="I19" s="43" t="s">
        <v>22</v>
      </c>
      <c r="J19" s="43" t="s">
        <v>95</v>
      </c>
      <c r="K19" s="43" t="s">
        <v>95</v>
      </c>
      <c r="L19" s="43" t="s">
        <v>95</v>
      </c>
      <c r="M19" s="7" t="s">
        <v>19</v>
      </c>
      <c r="N19" s="7" t="s">
        <v>19</v>
      </c>
      <c r="O19" s="43" t="s">
        <v>95</v>
      </c>
      <c r="P19" s="43" t="s">
        <v>95</v>
      </c>
      <c r="Q19" s="43" t="s">
        <v>95</v>
      </c>
      <c r="R19" s="43" t="s">
        <v>95</v>
      </c>
      <c r="S19" s="44" t="s">
        <v>95</v>
      </c>
      <c r="T19" s="7" t="s">
        <v>19</v>
      </c>
      <c r="U19" s="7" t="s">
        <v>19</v>
      </c>
      <c r="V19" s="6" t="s">
        <v>19</v>
      </c>
      <c r="W19" s="44" t="s">
        <v>95</v>
      </c>
      <c r="X19" s="43" t="s">
        <v>95</v>
      </c>
      <c r="Y19" s="43" t="s">
        <v>22</v>
      </c>
      <c r="Z19" s="43" t="s">
        <v>22</v>
      </c>
      <c r="AA19" s="7" t="s">
        <v>19</v>
      </c>
      <c r="AB19" s="7" t="s">
        <v>19</v>
      </c>
      <c r="AC19" s="43" t="s">
        <v>22</v>
      </c>
      <c r="AD19" s="6" t="s">
        <v>19</v>
      </c>
      <c r="AE19" s="43" t="s">
        <v>22</v>
      </c>
      <c r="AF19" s="43" t="s">
        <v>22</v>
      </c>
      <c r="AG19" s="43" t="s">
        <v>22</v>
      </c>
      <c r="AH19" s="7" t="s">
        <v>19</v>
      </c>
      <c r="AI19" s="7" t="s">
        <v>19</v>
      </c>
      <c r="AJ19" s="43" t="s">
        <v>22</v>
      </c>
      <c r="AK19" s="22">
        <f t="shared" si="0"/>
        <v>9</v>
      </c>
    </row>
    <row r="20" spans="1:37" ht="15.4" customHeight="1" x14ac:dyDescent="0.45">
      <c r="A20" s="5">
        <v>13</v>
      </c>
      <c r="B20" s="35" t="s">
        <v>75</v>
      </c>
      <c r="C20" s="36" t="s">
        <v>76</v>
      </c>
      <c r="D20" s="36" t="s">
        <v>77</v>
      </c>
      <c r="E20" s="35" t="s">
        <v>58</v>
      </c>
      <c r="F20" s="7" t="s">
        <v>19</v>
      </c>
      <c r="G20" s="7" t="s">
        <v>19</v>
      </c>
      <c r="H20" s="43" t="s">
        <v>22</v>
      </c>
      <c r="I20" s="43" t="s">
        <v>25</v>
      </c>
      <c r="J20" s="43" t="s">
        <v>24</v>
      </c>
      <c r="K20" s="43" t="s">
        <v>24</v>
      </c>
      <c r="L20" s="43" t="s">
        <v>24</v>
      </c>
      <c r="M20" s="7" t="s">
        <v>19</v>
      </c>
      <c r="N20" s="7" t="s">
        <v>19</v>
      </c>
      <c r="O20" s="43" t="s">
        <v>22</v>
      </c>
      <c r="P20" s="43" t="s">
        <v>22</v>
      </c>
      <c r="Q20" s="43" t="s">
        <v>24</v>
      </c>
      <c r="R20" s="43" t="s">
        <v>22</v>
      </c>
      <c r="S20" s="43" t="s">
        <v>24</v>
      </c>
      <c r="T20" s="7" t="s">
        <v>19</v>
      </c>
      <c r="U20" s="7" t="s">
        <v>19</v>
      </c>
      <c r="V20" s="6" t="s">
        <v>19</v>
      </c>
      <c r="W20" s="43" t="s">
        <v>24</v>
      </c>
      <c r="X20" s="43" t="s">
        <v>24</v>
      </c>
      <c r="Y20" s="53" t="s">
        <v>22</v>
      </c>
      <c r="Z20" s="45" t="s">
        <v>24</v>
      </c>
      <c r="AA20" s="7" t="s">
        <v>19</v>
      </c>
      <c r="AB20" s="7" t="s">
        <v>19</v>
      </c>
      <c r="AC20" s="53" t="s">
        <v>22</v>
      </c>
      <c r="AD20" s="6" t="s">
        <v>19</v>
      </c>
      <c r="AE20" s="43" t="s">
        <v>24</v>
      </c>
      <c r="AF20" s="43" t="s">
        <v>24</v>
      </c>
      <c r="AG20" s="43" t="s">
        <v>22</v>
      </c>
      <c r="AH20" s="7" t="s">
        <v>19</v>
      </c>
      <c r="AI20" s="7" t="s">
        <v>19</v>
      </c>
      <c r="AJ20" s="43" t="s">
        <v>22</v>
      </c>
      <c r="AK20" s="22">
        <f t="shared" si="0"/>
        <v>19</v>
      </c>
    </row>
    <row r="21" spans="1:37" ht="15.4" customHeight="1" x14ac:dyDescent="0.45">
      <c r="A21" s="5">
        <v>14</v>
      </c>
      <c r="B21" s="35" t="s">
        <v>78</v>
      </c>
      <c r="C21" s="36" t="s">
        <v>79</v>
      </c>
      <c r="D21" s="36" t="s">
        <v>80</v>
      </c>
      <c r="E21" s="35" t="s">
        <v>52</v>
      </c>
      <c r="F21" s="7" t="s">
        <v>19</v>
      </c>
      <c r="G21" s="7" t="s">
        <v>19</v>
      </c>
      <c r="H21" s="43" t="s">
        <v>22</v>
      </c>
      <c r="I21" s="43" t="s">
        <v>22</v>
      </c>
      <c r="J21" s="43" t="s">
        <v>22</v>
      </c>
      <c r="K21" s="56" t="s">
        <v>22</v>
      </c>
      <c r="L21" s="56" t="s">
        <v>22</v>
      </c>
      <c r="M21" s="7" t="s">
        <v>19</v>
      </c>
      <c r="N21" s="7" t="s">
        <v>19</v>
      </c>
      <c r="O21" s="43" t="s">
        <v>22</v>
      </c>
      <c r="P21" s="43" t="s">
        <v>22</v>
      </c>
      <c r="Q21" s="43" t="s">
        <v>95</v>
      </c>
      <c r="R21" s="43" t="s">
        <v>22</v>
      </c>
      <c r="S21" s="43" t="s">
        <v>22</v>
      </c>
      <c r="T21" s="7" t="s">
        <v>19</v>
      </c>
      <c r="U21" s="7" t="s">
        <v>19</v>
      </c>
      <c r="V21" s="6" t="s">
        <v>19</v>
      </c>
      <c r="W21" s="52" t="s">
        <v>22</v>
      </c>
      <c r="X21" s="52" t="s">
        <v>22</v>
      </c>
      <c r="Y21" s="52" t="s">
        <v>22</v>
      </c>
      <c r="Z21" s="43" t="s">
        <v>22</v>
      </c>
      <c r="AA21" s="7" t="s">
        <v>19</v>
      </c>
      <c r="AB21" s="7" t="s">
        <v>19</v>
      </c>
      <c r="AC21" s="43" t="s">
        <v>22</v>
      </c>
      <c r="AD21" s="6" t="s">
        <v>19</v>
      </c>
      <c r="AE21" s="43" t="s">
        <v>22</v>
      </c>
      <c r="AF21" s="43" t="s">
        <v>22</v>
      </c>
      <c r="AG21" s="43" t="s">
        <v>22</v>
      </c>
      <c r="AH21" s="7" t="s">
        <v>19</v>
      </c>
      <c r="AI21" s="7" t="s">
        <v>19</v>
      </c>
      <c r="AJ21" s="43" t="s">
        <v>22</v>
      </c>
      <c r="AK21" s="22">
        <f t="shared" si="0"/>
        <v>18</v>
      </c>
    </row>
    <row r="22" spans="1:37" ht="15.4" customHeight="1" x14ac:dyDescent="0.45">
      <c r="A22" s="5">
        <v>15</v>
      </c>
      <c r="B22" s="35" t="s">
        <v>81</v>
      </c>
      <c r="C22" s="36" t="s">
        <v>82</v>
      </c>
      <c r="D22" s="36" t="s">
        <v>80</v>
      </c>
      <c r="E22" s="35" t="s">
        <v>52</v>
      </c>
      <c r="F22" s="7" t="s">
        <v>19</v>
      </c>
      <c r="G22" s="7" t="s">
        <v>19</v>
      </c>
      <c r="H22" s="43" t="s">
        <v>22</v>
      </c>
      <c r="I22" s="43" t="s">
        <v>22</v>
      </c>
      <c r="J22" s="43" t="s">
        <v>22</v>
      </c>
      <c r="K22" s="43" t="s">
        <v>22</v>
      </c>
      <c r="L22" s="43" t="s">
        <v>22</v>
      </c>
      <c r="M22" s="7" t="s">
        <v>19</v>
      </c>
      <c r="N22" s="7" t="s">
        <v>19</v>
      </c>
      <c r="O22" s="43" t="s">
        <v>22</v>
      </c>
      <c r="P22" s="43" t="s">
        <v>22</v>
      </c>
      <c r="Q22" s="43" t="s">
        <v>22</v>
      </c>
      <c r="R22" s="43" t="s">
        <v>22</v>
      </c>
      <c r="S22" s="43" t="s">
        <v>22</v>
      </c>
      <c r="T22" s="7" t="s">
        <v>19</v>
      </c>
      <c r="U22" s="7" t="s">
        <v>19</v>
      </c>
      <c r="V22" s="6" t="s">
        <v>19</v>
      </c>
      <c r="W22" s="43" t="s">
        <v>22</v>
      </c>
      <c r="X22" s="43" t="s">
        <v>22</v>
      </c>
      <c r="Y22" s="43" t="s">
        <v>26</v>
      </c>
      <c r="Z22" s="43" t="s">
        <v>22</v>
      </c>
      <c r="AA22" s="7" t="s">
        <v>19</v>
      </c>
      <c r="AB22" s="7" t="s">
        <v>19</v>
      </c>
      <c r="AC22" s="43" t="s">
        <v>85</v>
      </c>
      <c r="AD22" s="6" t="s">
        <v>19</v>
      </c>
      <c r="AE22" s="43" t="s">
        <v>22</v>
      </c>
      <c r="AF22" s="43" t="s">
        <v>22</v>
      </c>
      <c r="AG22" s="43" t="s">
        <v>22</v>
      </c>
      <c r="AH22" s="7" t="s">
        <v>19</v>
      </c>
      <c r="AI22" s="7" t="s">
        <v>19</v>
      </c>
      <c r="AJ22" s="43" t="s">
        <v>22</v>
      </c>
      <c r="AK22" s="22">
        <f t="shared" si="0"/>
        <v>19</v>
      </c>
    </row>
    <row r="23" spans="1:37" ht="15.4" customHeight="1" x14ac:dyDescent="0.45">
      <c r="A23" s="50">
        <v>16</v>
      </c>
      <c r="B23" s="37" t="s">
        <v>83</v>
      </c>
      <c r="C23" s="38" t="s">
        <v>84</v>
      </c>
      <c r="D23" s="39" t="s">
        <v>80</v>
      </c>
      <c r="E23" s="37" t="s">
        <v>52</v>
      </c>
      <c r="F23" s="7" t="s">
        <v>19</v>
      </c>
      <c r="G23" s="7" t="s">
        <v>19</v>
      </c>
      <c r="H23" s="43" t="s">
        <v>22</v>
      </c>
      <c r="I23" s="43" t="s">
        <v>22</v>
      </c>
      <c r="J23" s="43" t="s">
        <v>22</v>
      </c>
      <c r="K23" s="43" t="s">
        <v>22</v>
      </c>
      <c r="L23" s="43" t="s">
        <v>22</v>
      </c>
      <c r="M23" s="7" t="s">
        <v>19</v>
      </c>
      <c r="N23" s="7" t="s">
        <v>19</v>
      </c>
      <c r="O23" s="43" t="s">
        <v>22</v>
      </c>
      <c r="P23" s="43" t="s">
        <v>22</v>
      </c>
      <c r="Q23" s="43" t="s">
        <v>22</v>
      </c>
      <c r="R23" s="43" t="s">
        <v>22</v>
      </c>
      <c r="S23" s="43" t="s">
        <v>22</v>
      </c>
      <c r="T23" s="7" t="s">
        <v>19</v>
      </c>
      <c r="U23" s="7" t="s">
        <v>19</v>
      </c>
      <c r="V23" s="6" t="s">
        <v>19</v>
      </c>
      <c r="W23" s="43" t="s">
        <v>22</v>
      </c>
      <c r="X23" s="43" t="s">
        <v>22</v>
      </c>
      <c r="Y23" s="43" t="s">
        <v>22</v>
      </c>
      <c r="Z23" s="43" t="s">
        <v>22</v>
      </c>
      <c r="AA23" s="7" t="s">
        <v>19</v>
      </c>
      <c r="AB23" s="7" t="s">
        <v>19</v>
      </c>
      <c r="AC23" s="43" t="s">
        <v>22</v>
      </c>
      <c r="AD23" s="6" t="s">
        <v>19</v>
      </c>
      <c r="AE23" s="43" t="s">
        <v>22</v>
      </c>
      <c r="AF23" s="43" t="s">
        <v>22</v>
      </c>
      <c r="AG23" s="43" t="s">
        <v>22</v>
      </c>
      <c r="AH23" s="7" t="s">
        <v>19</v>
      </c>
      <c r="AI23" s="7" t="s">
        <v>19</v>
      </c>
      <c r="AJ23" s="43" t="s">
        <v>22</v>
      </c>
      <c r="AK23" s="22">
        <f t="shared" ref="AK23" si="1">COUNTIF(F23:AJ23, "H") + COUNTIF(F23:AJ23, "TL") + COUNTIF(F23:AJ23, "TAM") + COUNTIF(F23:AJ23, "TAP") + COUNTIF(F23:AJ23, "TPA")</f>
        <v>19</v>
      </c>
    </row>
    <row r="24" spans="1:37" ht="14.65" thickBot="1" x14ac:dyDescent="0.5">
      <c r="C24" s="23" t="s">
        <v>27</v>
      </c>
      <c r="AK24" s="24">
        <f>SUM(AK8:AK23)</f>
        <v>290</v>
      </c>
    </row>
  </sheetData>
  <mergeCells count="10">
    <mergeCell ref="AK6:AK7"/>
    <mergeCell ref="E6:E7"/>
    <mergeCell ref="C6:C7"/>
    <mergeCell ref="A6:A7"/>
    <mergeCell ref="D6:D7"/>
    <mergeCell ref="B6:B7"/>
    <mergeCell ref="T4:X4"/>
    <mergeCell ref="K4:N4"/>
    <mergeCell ref="Y4:AB4"/>
    <mergeCell ref="AC4:AF4"/>
  </mergeCells>
  <conditionalFormatting sqref="H8 H10:H23">
    <cfRule type="containsText" dxfId="55" priority="48" operator="containsText" text="I">
      <formula>NOT(ISERROR(SEARCH("I",H8)))</formula>
    </cfRule>
    <cfRule type="containsText" dxfId="54" priority="49" operator="containsText" text="I">
      <formula>NOT(ISERROR(SEARCH("I",H8)))</formula>
    </cfRule>
  </conditionalFormatting>
  <conditionalFormatting sqref="H9">
    <cfRule type="containsText" dxfId="53" priority="14" operator="containsText" text="TAP">
      <formula>NOT(ISERROR(SEARCH("TAP",H9)))</formula>
    </cfRule>
    <cfRule type="containsText" dxfId="52" priority="15" operator="containsText" text="TAP">
      <formula>NOT(ISERROR(SEARCH("TAP",H9)))</formula>
    </cfRule>
    <cfRule type="containsText" dxfId="51" priority="23" operator="containsText" text="I">
      <formula>NOT(ISERROR(SEARCH("I",H9)))</formula>
    </cfRule>
    <cfRule type="containsText" dxfId="50" priority="24" operator="containsText" text="I">
      <formula>NOT(ISERROR(SEARCH("I",H9)))</formula>
    </cfRule>
  </conditionalFormatting>
  <conditionalFormatting sqref="H9:K9">
    <cfRule type="containsText" dxfId="49" priority="19" operator="containsText" text="A">
      <formula>NOT(ISERROR(SEARCH("A",H9)))</formula>
    </cfRule>
    <cfRule type="containsText" dxfId="48" priority="16" operator="containsText" text="TAM">
      <formula>NOT(ISERROR(SEARCH("TAM",H9)))</formula>
    </cfRule>
    <cfRule type="containsText" dxfId="47" priority="17" operator="containsText" text="TAP">
      <formula>NOT(ISERROR(SEARCH("TAP",H9)))</formula>
    </cfRule>
    <cfRule type="containsText" dxfId="46" priority="18" operator="containsText" text="TL">
      <formula>NOT(ISERROR(SEARCH("TL",H9)))</formula>
    </cfRule>
    <cfRule type="containsText" dxfId="45" priority="20" operator="containsText" text="I">
      <formula>NOT(ISERROR(SEARCH("I",H9)))</formula>
    </cfRule>
    <cfRule type="containsText" dxfId="44" priority="21" operator="containsText" text="A">
      <formula>NOT(ISERROR(SEARCH("A",H9)))</formula>
    </cfRule>
    <cfRule type="containsText" dxfId="43" priority="22" operator="containsText" text="TL">
      <formula>NOT(ISERROR(SEARCH("TL",H9)))</formula>
    </cfRule>
  </conditionalFormatting>
  <conditionalFormatting sqref="H8:L8 H10:L23 I9:K9">
    <cfRule type="containsText" dxfId="42" priority="61" operator="containsText" text="TAP">
      <formula>NOT(ISERROR(SEARCH("TAP",H8)))</formula>
    </cfRule>
  </conditionalFormatting>
  <conditionalFormatting sqref="H8:L8 H10:L23">
    <cfRule type="containsText" dxfId="41" priority="42" operator="containsText" text="TAP">
      <formula>NOT(ISERROR(SEARCH("TAP",H8)))</formula>
    </cfRule>
    <cfRule type="containsText" dxfId="40" priority="47" operator="containsText" text="TL">
      <formula>NOT(ISERROR(SEARCH("TL",H8)))</formula>
    </cfRule>
    <cfRule type="containsText" dxfId="39" priority="46" operator="containsText" text="A">
      <formula>NOT(ISERROR(SEARCH("A",H8)))</formula>
    </cfRule>
    <cfRule type="containsText" dxfId="38" priority="45" operator="containsText" text="I">
      <formula>NOT(ISERROR(SEARCH("I",H8)))</formula>
    </cfRule>
    <cfRule type="containsText" dxfId="37" priority="44" operator="containsText" text="A">
      <formula>NOT(ISERROR(SEARCH("A",H8)))</formula>
    </cfRule>
    <cfRule type="containsText" dxfId="36" priority="43" operator="containsText" text="TL">
      <formula>NOT(ISERROR(SEARCH("TL",H8)))</formula>
    </cfRule>
    <cfRule type="containsText" dxfId="35" priority="41" operator="containsText" text="TAM">
      <formula>NOT(ISERROR(SEARCH("TAM",H8)))</formula>
    </cfRule>
  </conditionalFormatting>
  <conditionalFormatting sqref="H8:L8 I9:K9 H10:L23">
    <cfRule type="containsText" dxfId="34" priority="62" operator="containsText" text="TAP">
      <formula>NOT(ISERROR(SEARCH("TAP",H8)))</formula>
    </cfRule>
  </conditionalFormatting>
  <conditionalFormatting sqref="L9">
    <cfRule type="containsText" dxfId="33" priority="8" operator="containsText" text="TAP">
      <formula>NOT(ISERROR(SEARCH("TAP",L9)))</formula>
    </cfRule>
    <cfRule type="containsText" dxfId="32" priority="9" operator="containsText" text="TL">
      <formula>NOT(ISERROR(SEARCH("TL",L9)))</formula>
    </cfRule>
    <cfRule type="containsText" dxfId="31" priority="10" operator="containsText" text="A">
      <formula>NOT(ISERROR(SEARCH("A",L9)))</formula>
    </cfRule>
    <cfRule type="containsText" dxfId="30" priority="11" operator="containsText" text="I">
      <formula>NOT(ISERROR(SEARCH("I",L9)))</formula>
    </cfRule>
    <cfRule type="containsText" dxfId="29" priority="13" operator="containsText" text="TL">
      <formula>NOT(ISERROR(SEARCH("TL",L9)))</formula>
    </cfRule>
    <cfRule type="containsText" dxfId="28" priority="12" operator="containsText" text="A">
      <formula>NOT(ISERROR(SEARCH("A",L9)))</formula>
    </cfRule>
    <cfRule type="containsText" dxfId="27" priority="5" operator="containsText" text="TAP">
      <formula>NOT(ISERROR(SEARCH("TAP",L9)))</formula>
    </cfRule>
    <cfRule type="containsText" dxfId="26" priority="6" operator="containsText" text="TAP">
      <formula>NOT(ISERROR(SEARCH("TAP",L9)))</formula>
    </cfRule>
    <cfRule type="containsText" dxfId="25" priority="7" operator="containsText" text="TAM">
      <formula>NOT(ISERROR(SEARCH("TAM",L9)))</formula>
    </cfRule>
  </conditionalFormatting>
  <conditionalFormatting sqref="O8:S23">
    <cfRule type="containsText" dxfId="24" priority="36" operator="containsText" text="TL">
      <formula>NOT(ISERROR(SEARCH("TL",O8)))</formula>
    </cfRule>
    <cfRule type="containsText" dxfId="23" priority="37" operator="containsText" text="A">
      <formula>NOT(ISERROR(SEARCH("A",O8)))</formula>
    </cfRule>
    <cfRule type="containsText" dxfId="22" priority="38" operator="containsText" text="I">
      <formula>NOT(ISERROR(SEARCH("I",O8)))</formula>
    </cfRule>
    <cfRule type="containsText" dxfId="21" priority="32" operator="containsText" text="TAP">
      <formula>NOT(ISERROR(SEARCH("TAP",O8)))</formula>
    </cfRule>
    <cfRule type="containsText" dxfId="20" priority="34" operator="containsText" text="TAM">
      <formula>NOT(ISERROR(SEARCH("TAM",O8)))</formula>
    </cfRule>
    <cfRule type="containsText" dxfId="19" priority="33" operator="containsText" text="TAP">
      <formula>NOT(ISERROR(SEARCH("TAP",O8)))</formula>
    </cfRule>
    <cfRule type="containsText" dxfId="18" priority="35" operator="containsText" text="TAP">
      <formula>NOT(ISERROR(SEARCH("TAP",O8)))</formula>
    </cfRule>
  </conditionalFormatting>
  <conditionalFormatting sqref="W8:Z23">
    <cfRule type="containsText" dxfId="17" priority="26" operator="containsText" text="TAP">
      <formula>NOT(ISERROR(SEARCH("TAP",W8)))</formula>
    </cfRule>
    <cfRule type="containsText" dxfId="16" priority="31" operator="containsText" text="I">
      <formula>NOT(ISERROR(SEARCH("I",W8)))</formula>
    </cfRule>
    <cfRule type="containsText" dxfId="15" priority="30" operator="containsText" text="A">
      <formula>NOT(ISERROR(SEARCH("A",W8)))</formula>
    </cfRule>
    <cfRule type="containsText" dxfId="14" priority="29" operator="containsText" text="TL">
      <formula>NOT(ISERROR(SEARCH("TL",W8)))</formula>
    </cfRule>
    <cfRule type="containsText" dxfId="13" priority="28" operator="containsText" text="TAP">
      <formula>NOT(ISERROR(SEARCH("TAP",W8)))</formula>
    </cfRule>
    <cfRule type="containsText" dxfId="12" priority="27" operator="containsText" text="TAM">
      <formula>NOT(ISERROR(SEARCH("TAM",W8)))</formula>
    </cfRule>
    <cfRule type="containsText" dxfId="11" priority="25" operator="containsText" text="TAP">
      <formula>NOT(ISERROR(SEARCH("TAP",W8)))</formula>
    </cfRule>
  </conditionalFormatting>
  <conditionalFormatting sqref="AC8:AC23 AE8:AG23 AJ8:AJ23">
    <cfRule type="containsText" dxfId="10" priority="50" operator="containsText" text="TAP">
      <formula>NOT(ISERROR(SEARCH("TAP",AC8)))</formula>
    </cfRule>
    <cfRule type="containsText" dxfId="9" priority="51" operator="containsText" text="TAP">
      <formula>NOT(ISERROR(SEARCH("TAP",AC8)))</formula>
    </cfRule>
    <cfRule type="containsText" dxfId="8" priority="52" operator="containsText" text="TAM">
      <formula>NOT(ISERROR(SEARCH("TAM",AC8)))</formula>
    </cfRule>
    <cfRule type="containsText" dxfId="7" priority="53" operator="containsText" text="TAP">
      <formula>NOT(ISERROR(SEARCH("TAP",AC8)))</formula>
    </cfRule>
    <cfRule type="containsText" dxfId="6" priority="54" operator="containsText" text="TL">
      <formula>NOT(ISERROR(SEARCH("TL",AC8)))</formula>
    </cfRule>
    <cfRule type="containsText" dxfId="5" priority="56" operator="containsText" text="I">
      <formula>NOT(ISERROR(SEARCH("I",AC8)))</formula>
    </cfRule>
    <cfRule type="containsText" dxfId="4" priority="55" operator="containsText" text="A">
      <formula>NOT(ISERROR(SEARCH("A",AC8)))</formula>
    </cfRule>
  </conditionalFormatting>
  <conditionalFormatting sqref="H8:L23 O8:S23 W8:Z23 AC8:AC23 AE8:AG23 AJ8:AJ23">
    <cfRule type="containsText" dxfId="0" priority="4" operator="containsText" text="C;I;S">
      <formula>NOT(ISERROR(SEARCH("C;I;S",H8)))</formula>
    </cfRule>
    <cfRule type="containsText" dxfId="1" priority="3" operator="containsText" text="C">
      <formula>NOT(ISERROR(SEARCH("C",H8)))</formula>
    </cfRule>
    <cfRule type="containsText" dxfId="2" priority="1" operator="containsText" text="S">
      <formula>NOT(ISERROR(SEARCH("S",H8)))</formula>
    </cfRule>
  </conditionalFormatting>
  <conditionalFormatting sqref="R19">
    <cfRule type="containsText" dxfId="3" priority="2" operator="containsText" text="S">
      <formula>NOT(ISERROR(SEARCH("S",R19)))</formula>
    </cfRule>
  </conditionalFormatting>
  <dataValidations count="2">
    <dataValidation type="list" showInputMessage="1" showErrorMessage="1" sqref="AD8:AD23" xr:uid="{00000000-0002-0000-0100-000001000000}">
      <formula1>"H,A,I,TL,TAM,TAP"</formula1>
    </dataValidation>
    <dataValidation type="list" allowBlank="1" showInputMessage="1" showErrorMessage="1" sqref="H8:L23 O8:S23 W8:Z23 AC8:AC23 AE8:AG23 AJ8:AJ23" xr:uid="{093579B6-365E-45BC-9B4A-F69E5C1BB9D3}">
      <formula1>"H,I,S,C,A,TL,TAP,TAM,TPA"</formula1>
    </dataValidation>
  </dataValidations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5"/>
  <sheetViews>
    <sheetView topLeftCell="A2" zoomScale="70" zoomScaleNormal="70" workbookViewId="0">
      <selection activeCell="D14" sqref="D14"/>
    </sheetView>
  </sheetViews>
  <sheetFormatPr defaultRowHeight="14.25" x14ac:dyDescent="0.45"/>
  <cols>
    <col min="1" max="2" width="11" customWidth="1"/>
    <col min="3" max="3" width="22" customWidth="1"/>
    <col min="4" max="4" width="21.33203125" customWidth="1"/>
    <col min="5" max="5" width="25.33203125" customWidth="1"/>
    <col min="6" max="6" width="22" customWidth="1"/>
    <col min="7" max="7" width="20.9296875" bestFit="1" customWidth="1"/>
    <col min="8" max="8" width="17.06640625" bestFit="1" customWidth="1"/>
    <col min="9" max="9" width="12.265625" bestFit="1" customWidth="1"/>
    <col min="10" max="10" width="21.265625" bestFit="1" customWidth="1"/>
    <col min="11" max="12" width="22" bestFit="1" customWidth="1"/>
    <col min="13" max="14" width="22" customWidth="1"/>
    <col min="15" max="15" width="16" customWidth="1"/>
    <col min="16" max="17" width="20" customWidth="1"/>
  </cols>
  <sheetData>
    <row r="1" spans="1:17" ht="24" customHeight="1" x14ac:dyDescent="0.85">
      <c r="A1" s="1" t="s">
        <v>28</v>
      </c>
    </row>
    <row r="3" spans="1:17" ht="15.4" customHeight="1" x14ac:dyDescent="0.55000000000000004">
      <c r="A3" s="2" t="s">
        <v>29</v>
      </c>
    </row>
    <row r="4" spans="1:17" x14ac:dyDescent="0.45">
      <c r="A4" s="68" t="s">
        <v>30</v>
      </c>
      <c r="B4" s="60"/>
      <c r="C4" s="68" t="s">
        <v>31</v>
      </c>
      <c r="D4" s="60"/>
      <c r="E4" s="68" t="s">
        <v>91</v>
      </c>
      <c r="F4" s="60"/>
      <c r="G4" s="68" t="s">
        <v>32</v>
      </c>
      <c r="H4" s="60"/>
    </row>
    <row r="5" spans="1:17" x14ac:dyDescent="0.45">
      <c r="A5" s="67" t="s">
        <v>33</v>
      </c>
      <c r="B5" s="60"/>
      <c r="C5" s="67" t="s">
        <v>34</v>
      </c>
      <c r="D5" s="60"/>
      <c r="E5" s="67" t="s">
        <v>89</v>
      </c>
      <c r="F5" s="60"/>
      <c r="G5" s="67" t="s">
        <v>90</v>
      </c>
      <c r="H5" s="60"/>
    </row>
    <row r="8" spans="1:17" ht="28.05" customHeight="1" thickBot="1" x14ac:dyDescent="0.5">
      <c r="A8" s="25" t="s">
        <v>9</v>
      </c>
      <c r="B8" s="25" t="s">
        <v>10</v>
      </c>
      <c r="C8" s="25" t="s">
        <v>11</v>
      </c>
      <c r="D8" s="25" t="s">
        <v>12</v>
      </c>
      <c r="E8" s="25" t="s">
        <v>13</v>
      </c>
      <c r="F8" s="25" t="s">
        <v>32</v>
      </c>
      <c r="G8" s="25" t="s">
        <v>35</v>
      </c>
      <c r="H8" s="25" t="s">
        <v>36</v>
      </c>
      <c r="I8" s="25" t="s">
        <v>37</v>
      </c>
      <c r="J8" s="25" t="s">
        <v>38</v>
      </c>
      <c r="K8" s="25" t="s">
        <v>39</v>
      </c>
      <c r="L8" s="25" t="s">
        <v>40</v>
      </c>
      <c r="M8" s="25" t="s">
        <v>41</v>
      </c>
      <c r="N8" s="25" t="s">
        <v>15</v>
      </c>
      <c r="O8" s="25" t="s">
        <v>16</v>
      </c>
      <c r="P8" s="25" t="s">
        <v>17</v>
      </c>
      <c r="Q8" s="25" t="s">
        <v>18</v>
      </c>
    </row>
    <row r="9" spans="1:17" ht="20" customHeight="1" x14ac:dyDescent="0.45">
      <c r="A9" s="30">
        <v>1</v>
      </c>
      <c r="B9" s="35" t="s">
        <v>43</v>
      </c>
      <c r="C9" s="36" t="s">
        <v>44</v>
      </c>
      <c r="D9" s="36" t="s">
        <v>45</v>
      </c>
      <c r="E9" s="35" t="s">
        <v>45</v>
      </c>
      <c r="F9" s="30">
        <v>19</v>
      </c>
      <c r="G9" s="30">
        <f>COUNTIF('Detail Absensi Harian'!F8:AJ8, "H")</f>
        <v>16</v>
      </c>
      <c r="H9" s="30">
        <f>COUNTIF('Detail Absensi Harian'!F8:AJ8, "TL")</f>
        <v>0</v>
      </c>
      <c r="I9" s="30">
        <f>COUNTIF('Detail Absensi Harian'!F8:AJ8, "I")</f>
        <v>0</v>
      </c>
      <c r="J9" s="30">
        <f>COUNTIF('Detail Absensi Harian'!F8:AJ8, "A")</f>
        <v>0</v>
      </c>
      <c r="K9" s="30">
        <f>COUNTIF('Detail Absensi Harian'!F8:AJ8, "TAM")</f>
        <v>1</v>
      </c>
      <c r="L9" s="30">
        <f>COUNTIF('Detail Absensi Harian'!F8:AJ8, "TAP")</f>
        <v>1</v>
      </c>
      <c r="M9" s="30">
        <f>COUNTIF('Detail Absensi Harian'!F8:AJ8, "TPA")</f>
        <v>1</v>
      </c>
      <c r="N9" s="31">
        <f>G9 + (H9*0.75) + (K9*0.5) + (L9*0.5) + (M9*0.25)</f>
        <v>17.25</v>
      </c>
      <c r="O9" s="26">
        <f t="shared" ref="O9:O23" si="0">N9/F9</f>
        <v>0.90789473684210531</v>
      </c>
      <c r="P9" s="26">
        <f t="shared" ref="P9:P23" si="1">IF((G9+H9+K9+L9+M9)&gt;0, G9/(G9+H9+K9+L9+M9), 0)</f>
        <v>0.84210526315789469</v>
      </c>
      <c r="Q9" s="26">
        <f t="shared" ref="Q9:Q23" si="2">AVERAGE(O9, P9)</f>
        <v>0.875</v>
      </c>
    </row>
    <row r="10" spans="1:17" ht="20" customHeight="1" x14ac:dyDescent="0.45">
      <c r="A10" s="32">
        <v>2</v>
      </c>
      <c r="B10" s="35" t="s">
        <v>46</v>
      </c>
      <c r="C10" s="36" t="s">
        <v>47</v>
      </c>
      <c r="D10" s="36" t="s">
        <v>48</v>
      </c>
      <c r="E10" s="35" t="s">
        <v>48</v>
      </c>
      <c r="F10" s="30">
        <v>19</v>
      </c>
      <c r="G10" s="32">
        <f>COUNTIF('Detail Absensi Harian'!F9:AJ9, "H")</f>
        <v>10</v>
      </c>
      <c r="H10" s="32">
        <f>COUNTIF('Detail Absensi Harian'!F9:AJ9, "TL")</f>
        <v>0</v>
      </c>
      <c r="I10" s="32">
        <f>COUNTIF('Detail Absensi Harian'!F9:AJ9, "I")</f>
        <v>0</v>
      </c>
      <c r="J10" s="32">
        <f>COUNTIF('Detail Absensi Harian'!F9:AJ9, "A")</f>
        <v>0</v>
      </c>
      <c r="K10" s="30">
        <f>COUNTIF('Detail Absensi Harian'!F9:AJ9, "TAM")</f>
        <v>3</v>
      </c>
      <c r="L10" s="30">
        <f>COUNTIF('Detail Absensi Harian'!F9:AJ9, "TAP")</f>
        <v>3</v>
      </c>
      <c r="M10" s="30">
        <f>COUNTIF('Detail Absensi Harian'!F9:AJ9, "TPA")</f>
        <v>3</v>
      </c>
      <c r="N10" s="33">
        <f t="shared" ref="N10:N23" si="3">G10 + (H10*0.75) + (K10*0.5) + (L10*0.5) + (M10*0.25)</f>
        <v>13.75</v>
      </c>
      <c r="O10" s="27">
        <f t="shared" si="0"/>
        <v>0.72368421052631582</v>
      </c>
      <c r="P10" s="27">
        <f>IF((G10+H10+K10+L10+M10)&gt;0, G10/(G10+H10+K10+L10+M10), 0)</f>
        <v>0.52631578947368418</v>
      </c>
      <c r="Q10" s="26">
        <f t="shared" si="2"/>
        <v>0.625</v>
      </c>
    </row>
    <row r="11" spans="1:17" ht="20" customHeight="1" x14ac:dyDescent="0.45">
      <c r="A11" s="30">
        <v>3</v>
      </c>
      <c r="B11" s="35" t="s">
        <v>49</v>
      </c>
      <c r="C11" s="36" t="s">
        <v>50</v>
      </c>
      <c r="D11" s="36" t="s">
        <v>51</v>
      </c>
      <c r="E11" s="35" t="s">
        <v>52</v>
      </c>
      <c r="F11" s="30">
        <v>19</v>
      </c>
      <c r="G11" s="30">
        <f>COUNTIF('Detail Absensi Harian'!F10:AJ10, "H")</f>
        <v>19</v>
      </c>
      <c r="H11" s="30">
        <f>COUNTIF('Detail Absensi Harian'!F10:AJ10, "TL")</f>
        <v>0</v>
      </c>
      <c r="I11" s="30">
        <f>COUNTIF('Detail Absensi Harian'!F10:AJ10, "I")</f>
        <v>0</v>
      </c>
      <c r="J11" s="30">
        <f>COUNTIF('Detail Absensi Harian'!F10:AJ10, "A")</f>
        <v>0</v>
      </c>
      <c r="K11" s="30">
        <f>COUNTIF('Detail Absensi Harian'!F10:AJ10, "TAM")</f>
        <v>0</v>
      </c>
      <c r="L11" s="30">
        <f>COUNTIF('Detail Absensi Harian'!F10:AJ10, "TAP")</f>
        <v>0</v>
      </c>
      <c r="M11" s="30">
        <f>COUNTIF('Detail Absensi Harian'!F10:AJ10, "TPA")</f>
        <v>0</v>
      </c>
      <c r="N11" s="31">
        <f t="shared" si="3"/>
        <v>19</v>
      </c>
      <c r="O11" s="26">
        <f t="shared" si="0"/>
        <v>1</v>
      </c>
      <c r="P11" s="26">
        <f t="shared" si="1"/>
        <v>1</v>
      </c>
      <c r="Q11" s="26">
        <f t="shared" si="2"/>
        <v>1</v>
      </c>
    </row>
    <row r="12" spans="1:17" ht="20" customHeight="1" x14ac:dyDescent="0.45">
      <c r="A12" s="32">
        <v>4</v>
      </c>
      <c r="B12" s="35" t="s">
        <v>53</v>
      </c>
      <c r="C12" s="36" t="s">
        <v>54</v>
      </c>
      <c r="D12" s="36" t="s">
        <v>51</v>
      </c>
      <c r="E12" s="35" t="s">
        <v>55</v>
      </c>
      <c r="F12" s="30">
        <v>19</v>
      </c>
      <c r="G12" s="32">
        <f>COUNTIF('Detail Absensi Harian'!F11:AJ11, "H")</f>
        <v>19</v>
      </c>
      <c r="H12" s="32">
        <f>COUNTIF('Detail Absensi Harian'!F11:AJ11, "TL")</f>
        <v>0</v>
      </c>
      <c r="I12" s="32">
        <f>COUNTIF('Detail Absensi Harian'!F11:AJ11, "I")</f>
        <v>0</v>
      </c>
      <c r="J12" s="32">
        <f>COUNTIF('Detail Absensi Harian'!F11:AJ11, "A")</f>
        <v>0</v>
      </c>
      <c r="K12" s="30">
        <f>COUNTIF('Detail Absensi Harian'!F11:AJ11, "TAM")</f>
        <v>0</v>
      </c>
      <c r="L12" s="30">
        <f>COUNTIF('Detail Absensi Harian'!F11:AJ11, "TAP")</f>
        <v>0</v>
      </c>
      <c r="M12" s="30">
        <f>COUNTIF('Detail Absensi Harian'!F11:AJ11, "TPA")</f>
        <v>0</v>
      </c>
      <c r="N12" s="33">
        <f t="shared" si="3"/>
        <v>19</v>
      </c>
      <c r="O12" s="27">
        <f t="shared" si="0"/>
        <v>1</v>
      </c>
      <c r="P12" s="27">
        <f>IF((G12+H12+K12+L12+M12)&gt;0, G12/(G12+H12+K12+L12+M12), 0)</f>
        <v>1</v>
      </c>
      <c r="Q12" s="26">
        <f t="shared" si="2"/>
        <v>1</v>
      </c>
    </row>
    <row r="13" spans="1:17" ht="20" customHeight="1" x14ac:dyDescent="0.45">
      <c r="A13" s="30">
        <v>5</v>
      </c>
      <c r="B13" s="35" t="s">
        <v>56</v>
      </c>
      <c r="C13" s="36" t="s">
        <v>57</v>
      </c>
      <c r="D13" s="36" t="s">
        <v>51</v>
      </c>
      <c r="E13" s="35" t="s">
        <v>58</v>
      </c>
      <c r="F13" s="30">
        <v>19</v>
      </c>
      <c r="G13" s="30">
        <f>COUNTIF('Detail Absensi Harian'!F12:AJ12, "H")</f>
        <v>15</v>
      </c>
      <c r="H13" s="30">
        <f>COUNTIF('Detail Absensi Harian'!F12:AJ12, "TL")</f>
        <v>0</v>
      </c>
      <c r="I13" s="30">
        <f>COUNTIF('Detail Absensi Harian'!F12:AJ12, "I")</f>
        <v>1</v>
      </c>
      <c r="J13" s="30">
        <f>COUNTIF('Detail Absensi Harian'!F12:AJ12, "A")</f>
        <v>0</v>
      </c>
      <c r="K13" s="30">
        <f>COUNTIF('Detail Absensi Harian'!F12:AJ12, "TAM")</f>
        <v>0</v>
      </c>
      <c r="L13" s="30">
        <f>COUNTIF('Detail Absensi Harian'!F12:AJ12, "TAP")</f>
        <v>3</v>
      </c>
      <c r="M13" s="30">
        <f>COUNTIF('Detail Absensi Harian'!F12:AJ12, "TPA")</f>
        <v>0</v>
      </c>
      <c r="N13" s="31">
        <f t="shared" si="3"/>
        <v>16.5</v>
      </c>
      <c r="O13" s="26">
        <f t="shared" si="0"/>
        <v>0.86842105263157898</v>
      </c>
      <c r="P13" s="26">
        <f t="shared" si="1"/>
        <v>0.83333333333333337</v>
      </c>
      <c r="Q13" s="26">
        <f t="shared" si="2"/>
        <v>0.85087719298245612</v>
      </c>
    </row>
    <row r="14" spans="1:17" ht="20" customHeight="1" x14ac:dyDescent="0.45">
      <c r="A14" s="32">
        <v>6</v>
      </c>
      <c r="B14" s="35" t="s">
        <v>59</v>
      </c>
      <c r="C14" s="36" t="s">
        <v>60</v>
      </c>
      <c r="D14" s="36" t="s">
        <v>61</v>
      </c>
      <c r="E14" s="35" t="s">
        <v>55</v>
      </c>
      <c r="F14" s="30">
        <v>19</v>
      </c>
      <c r="G14" s="32">
        <f>COUNTIF('Detail Absensi Harian'!F13:AJ13, "H")</f>
        <v>13</v>
      </c>
      <c r="H14" s="32">
        <f>COUNTIF('Detail Absensi Harian'!F13:AJ13, "TL")</f>
        <v>6</v>
      </c>
      <c r="I14" s="32">
        <f>COUNTIF('Detail Absensi Harian'!F13:AJ13, "I")</f>
        <v>0</v>
      </c>
      <c r="J14" s="32">
        <f>COUNTIF('Detail Absensi Harian'!F13:AJ13, "A")</f>
        <v>0</v>
      </c>
      <c r="K14" s="30">
        <f>COUNTIF('Detail Absensi Harian'!F13:AJ13, "TAM")</f>
        <v>0</v>
      </c>
      <c r="L14" s="30">
        <f>COUNTIF('Detail Absensi Harian'!F13:AJ13, "TAP")</f>
        <v>0</v>
      </c>
      <c r="M14" s="30">
        <f>COUNTIF('Detail Absensi Harian'!F13:AJ13, "TPA")</f>
        <v>0</v>
      </c>
      <c r="N14" s="33">
        <f t="shared" si="3"/>
        <v>17.5</v>
      </c>
      <c r="O14" s="27">
        <f t="shared" si="0"/>
        <v>0.92105263157894735</v>
      </c>
      <c r="P14" s="27">
        <f t="shared" si="1"/>
        <v>0.68421052631578949</v>
      </c>
      <c r="Q14" s="26">
        <f t="shared" si="2"/>
        <v>0.80263157894736836</v>
      </c>
    </row>
    <row r="15" spans="1:17" ht="20" customHeight="1" x14ac:dyDescent="0.45">
      <c r="A15" s="30">
        <v>7</v>
      </c>
      <c r="B15" s="35" t="s">
        <v>62</v>
      </c>
      <c r="C15" s="36" t="s">
        <v>63</v>
      </c>
      <c r="D15" s="36" t="s">
        <v>61</v>
      </c>
      <c r="E15" s="35" t="s">
        <v>52</v>
      </c>
      <c r="F15" s="30">
        <v>19</v>
      </c>
      <c r="G15" s="30">
        <f>COUNTIF('Detail Absensi Harian'!F14:AJ14, "H")</f>
        <v>10</v>
      </c>
      <c r="H15" s="30">
        <f>COUNTIF('Detail Absensi Harian'!F14:AJ14, "TL")</f>
        <v>7</v>
      </c>
      <c r="I15" s="30">
        <f>COUNTIF('Detail Absensi Harian'!F14:AJ14, "I")</f>
        <v>0</v>
      </c>
      <c r="J15" s="30">
        <f>COUNTIF('Detail Absensi Harian'!F14:AJ14, "A")</f>
        <v>0</v>
      </c>
      <c r="K15" s="30">
        <f>COUNTIF('Detail Absensi Harian'!F14:AJ14, "TAM")</f>
        <v>1</v>
      </c>
      <c r="L15" s="30">
        <f>COUNTIF('Detail Absensi Harian'!F14:AJ14, "TAP")</f>
        <v>0</v>
      </c>
      <c r="M15" s="30">
        <f>COUNTIF('Detail Absensi Harian'!F14:AJ14, "TPA")</f>
        <v>1</v>
      </c>
      <c r="N15" s="31">
        <f t="shared" si="3"/>
        <v>16</v>
      </c>
      <c r="O15" s="26">
        <f t="shared" si="0"/>
        <v>0.84210526315789469</v>
      </c>
      <c r="P15" s="26">
        <f t="shared" si="1"/>
        <v>0.52631578947368418</v>
      </c>
      <c r="Q15" s="26">
        <f t="shared" si="2"/>
        <v>0.68421052631578938</v>
      </c>
    </row>
    <row r="16" spans="1:17" ht="20" customHeight="1" x14ac:dyDescent="0.45">
      <c r="A16" s="32">
        <v>8</v>
      </c>
      <c r="B16" s="35" t="s">
        <v>64</v>
      </c>
      <c r="C16" s="36" t="s">
        <v>65</v>
      </c>
      <c r="D16" s="36" t="s">
        <v>66</v>
      </c>
      <c r="E16" s="35" t="s">
        <v>58</v>
      </c>
      <c r="F16" s="30">
        <v>19</v>
      </c>
      <c r="G16" s="32">
        <f>COUNTIF('Detail Absensi Harian'!F15:AJ15, "H")</f>
        <v>17</v>
      </c>
      <c r="H16" s="32">
        <f>COUNTIF('Detail Absensi Harian'!F15:AJ15, "TL")</f>
        <v>0</v>
      </c>
      <c r="I16" s="32">
        <f>COUNTIF('Detail Absensi Harian'!F15:AJ15, "I")</f>
        <v>0</v>
      </c>
      <c r="J16" s="32">
        <f>COUNTIF('Detail Absensi Harian'!F15:AJ15, "A")</f>
        <v>0</v>
      </c>
      <c r="K16" s="30">
        <f>COUNTIF('Detail Absensi Harian'!F15:AJ15, "TAM")</f>
        <v>0</v>
      </c>
      <c r="L16" s="30">
        <f>COUNTIF('Detail Absensi Harian'!F15:AJ15, "TAP")</f>
        <v>0</v>
      </c>
      <c r="M16" s="30">
        <f>COUNTIF('Detail Absensi Harian'!F15:AJ15, "TPA")</f>
        <v>0</v>
      </c>
      <c r="N16" s="33">
        <f t="shared" si="3"/>
        <v>17</v>
      </c>
      <c r="O16" s="27">
        <f t="shared" si="0"/>
        <v>0.89473684210526316</v>
      </c>
      <c r="P16" s="27">
        <f t="shared" si="1"/>
        <v>1</v>
      </c>
      <c r="Q16" s="26">
        <f t="shared" si="2"/>
        <v>0.94736842105263164</v>
      </c>
    </row>
    <row r="17" spans="1:17" ht="20" customHeight="1" x14ac:dyDescent="0.45">
      <c r="A17" s="30">
        <v>9</v>
      </c>
      <c r="B17" s="35" t="s">
        <v>67</v>
      </c>
      <c r="C17" s="36" t="s">
        <v>68</v>
      </c>
      <c r="D17" s="36" t="s">
        <v>66</v>
      </c>
      <c r="E17" s="35" t="s">
        <v>55</v>
      </c>
      <c r="F17" s="30">
        <v>19</v>
      </c>
      <c r="G17" s="30">
        <f>COUNTIF('Detail Absensi Harian'!F16:AJ16, "H")</f>
        <v>14</v>
      </c>
      <c r="H17" s="30">
        <f>COUNTIF('Detail Absensi Harian'!F16:AJ16, "TL")</f>
        <v>4</v>
      </c>
      <c r="I17" s="30">
        <f>COUNTIF('Detail Absensi Harian'!F16:AJ16, "I")</f>
        <v>0</v>
      </c>
      <c r="J17" s="30">
        <f>COUNTIF('Detail Absensi Harian'!F16:AJ16, "A")</f>
        <v>0</v>
      </c>
      <c r="K17" s="30">
        <f>COUNTIF('Detail Absensi Harian'!F16:AJ16, "TAM")</f>
        <v>0</v>
      </c>
      <c r="L17" s="30">
        <f>COUNTIF('Detail Absensi Harian'!F16:AJ16, "TAP")</f>
        <v>1</v>
      </c>
      <c r="M17" s="30">
        <f>COUNTIF('Detail Absensi Harian'!F16:AJ16, "TPA")</f>
        <v>0</v>
      </c>
      <c r="N17" s="31">
        <f t="shared" si="3"/>
        <v>17.5</v>
      </c>
      <c r="O17" s="26">
        <f t="shared" si="0"/>
        <v>0.92105263157894735</v>
      </c>
      <c r="P17" s="26">
        <f>IF((G17+H17+K17+L17+M17)&gt;0, G17/(G17+H17+K17+L17+M17), 0)</f>
        <v>0.73684210526315785</v>
      </c>
      <c r="Q17" s="26">
        <f t="shared" si="2"/>
        <v>0.82894736842105265</v>
      </c>
    </row>
    <row r="18" spans="1:17" ht="20" customHeight="1" x14ac:dyDescent="0.45">
      <c r="A18" s="32">
        <v>10</v>
      </c>
      <c r="B18" s="35" t="s">
        <v>69</v>
      </c>
      <c r="C18" s="36" t="s">
        <v>70</v>
      </c>
      <c r="D18" s="36" t="s">
        <v>66</v>
      </c>
      <c r="E18" s="35" t="s">
        <v>55</v>
      </c>
      <c r="F18" s="30">
        <v>19</v>
      </c>
      <c r="G18" s="32">
        <f>COUNTIF('Detail Absensi Harian'!F17:AJ17, "H")</f>
        <v>19</v>
      </c>
      <c r="H18" s="32">
        <f>COUNTIF('Detail Absensi Harian'!F17:AJ17, "TL")</f>
        <v>0</v>
      </c>
      <c r="I18" s="32">
        <f>COUNTIF('Detail Absensi Harian'!F17:AJ17, "I")</f>
        <v>0</v>
      </c>
      <c r="J18" s="32">
        <f>COUNTIF('Detail Absensi Harian'!F17:AJ17, "A")</f>
        <v>0</v>
      </c>
      <c r="K18" s="30">
        <f>COUNTIF('Detail Absensi Harian'!F17:AJ17, "TAM")</f>
        <v>0</v>
      </c>
      <c r="L18" s="30">
        <f>COUNTIF('Detail Absensi Harian'!F17:AJ17, "TAP")</f>
        <v>0</v>
      </c>
      <c r="M18" s="30">
        <f>COUNTIF('Detail Absensi Harian'!F17:AJ17, "TPA")</f>
        <v>0</v>
      </c>
      <c r="N18" s="33">
        <f t="shared" si="3"/>
        <v>19</v>
      </c>
      <c r="O18" s="27">
        <f t="shared" si="0"/>
        <v>1</v>
      </c>
      <c r="P18" s="27">
        <f t="shared" si="1"/>
        <v>1</v>
      </c>
      <c r="Q18" s="26">
        <f t="shared" si="2"/>
        <v>1</v>
      </c>
    </row>
    <row r="19" spans="1:17" ht="20" customHeight="1" x14ac:dyDescent="0.45">
      <c r="A19" s="30">
        <v>11</v>
      </c>
      <c r="B19" s="35" t="s">
        <v>71</v>
      </c>
      <c r="C19" s="36" t="s">
        <v>72</v>
      </c>
      <c r="D19" s="36" t="s">
        <v>66</v>
      </c>
      <c r="E19" s="35" t="s">
        <v>55</v>
      </c>
      <c r="F19" s="30">
        <v>19</v>
      </c>
      <c r="G19" s="30">
        <f>COUNTIF('Detail Absensi Harian'!F18:AJ18, "H")</f>
        <v>19</v>
      </c>
      <c r="H19" s="30">
        <f>COUNTIF('Detail Absensi Harian'!F18:AJ18, "TL")</f>
        <v>0</v>
      </c>
      <c r="I19" s="30">
        <f>COUNTIF('Detail Absensi Harian'!F18:AJ18, "I")</f>
        <v>0</v>
      </c>
      <c r="J19" s="30">
        <f>COUNTIF('Detail Absensi Harian'!F18:AJ18, "A")</f>
        <v>0</v>
      </c>
      <c r="K19" s="30">
        <f>COUNTIF('Detail Absensi Harian'!F18:AJ18, "TAM")</f>
        <v>0</v>
      </c>
      <c r="L19" s="30">
        <f>COUNTIF('Detail Absensi Harian'!F18:AJ18, "TAP")</f>
        <v>0</v>
      </c>
      <c r="M19" s="30">
        <f>COUNTIF('Detail Absensi Harian'!F18:AJ18, "TPA")</f>
        <v>0</v>
      </c>
      <c r="N19" s="31">
        <f t="shared" si="3"/>
        <v>19</v>
      </c>
      <c r="O19" s="26">
        <f t="shared" si="0"/>
        <v>1</v>
      </c>
      <c r="P19" s="26">
        <f t="shared" si="1"/>
        <v>1</v>
      </c>
      <c r="Q19" s="26">
        <f t="shared" si="2"/>
        <v>1</v>
      </c>
    </row>
    <row r="20" spans="1:17" ht="20" customHeight="1" x14ac:dyDescent="0.45">
      <c r="A20" s="32">
        <v>12</v>
      </c>
      <c r="B20" s="35" t="s">
        <v>73</v>
      </c>
      <c r="C20" s="36" t="s">
        <v>74</v>
      </c>
      <c r="D20" s="36" t="s">
        <v>66</v>
      </c>
      <c r="E20" s="35" t="s">
        <v>52</v>
      </c>
      <c r="F20" s="30">
        <v>19</v>
      </c>
      <c r="G20" s="32">
        <f>COUNTIF('Detail Absensi Harian'!F19:AJ19, "H")</f>
        <v>9</v>
      </c>
      <c r="H20" s="32">
        <f>COUNTIF('Detail Absensi Harian'!F19:AJ19, "TL")</f>
        <v>0</v>
      </c>
      <c r="I20" s="32">
        <f>COUNTIF('Detail Absensi Harian'!F19:AJ19, "I")</f>
        <v>0</v>
      </c>
      <c r="J20" s="32">
        <f>COUNTIF('Detail Absensi Harian'!F19:AJ19, "A")</f>
        <v>0</v>
      </c>
      <c r="K20" s="30">
        <f>COUNTIF('Detail Absensi Harian'!F19:AJ19, "TAM")</f>
        <v>0</v>
      </c>
      <c r="L20" s="30">
        <f>COUNTIF('Detail Absensi Harian'!F19:AJ19, "TAP")</f>
        <v>0</v>
      </c>
      <c r="M20" s="30">
        <f>COUNTIF('Detail Absensi Harian'!F19:AJ19, "TPA")</f>
        <v>0</v>
      </c>
      <c r="N20" s="33">
        <f t="shared" si="3"/>
        <v>9</v>
      </c>
      <c r="O20" s="27">
        <f t="shared" si="0"/>
        <v>0.47368421052631576</v>
      </c>
      <c r="P20" s="27">
        <f t="shared" si="1"/>
        <v>1</v>
      </c>
      <c r="Q20" s="26">
        <f>AVERAGE(O20, P20)</f>
        <v>0.73684210526315785</v>
      </c>
    </row>
    <row r="21" spans="1:17" ht="20" customHeight="1" x14ac:dyDescent="0.45">
      <c r="A21" s="30">
        <v>13</v>
      </c>
      <c r="B21" s="35" t="s">
        <v>75</v>
      </c>
      <c r="C21" s="36" t="s">
        <v>76</v>
      </c>
      <c r="D21" s="36" t="s">
        <v>77</v>
      </c>
      <c r="E21" s="35" t="s">
        <v>58</v>
      </c>
      <c r="F21" s="30">
        <v>19</v>
      </c>
      <c r="G21" s="30">
        <f>COUNTIF('Detail Absensi Harian'!F20:AJ20, "H")</f>
        <v>8</v>
      </c>
      <c r="H21" s="30">
        <f>COUNTIF('Detail Absensi Harian'!F20:AJ20, "TL")</f>
        <v>10</v>
      </c>
      <c r="I21" s="30">
        <f>COUNTIF('Detail Absensi Harian'!F20:AJ20, "I")</f>
        <v>0</v>
      </c>
      <c r="J21" s="30">
        <f>COUNTIF('Detail Absensi Harian'!F20:AJ20, "A")</f>
        <v>0</v>
      </c>
      <c r="K21" s="30">
        <f>COUNTIF('Detail Absensi Harian'!F20:AJ20, "TAM")</f>
        <v>0</v>
      </c>
      <c r="L21" s="30">
        <f>COUNTIF('Detail Absensi Harian'!F20:AJ20, "TAP")</f>
        <v>1</v>
      </c>
      <c r="M21" s="30">
        <f>COUNTIF('Detail Absensi Harian'!F20:AJ20, "TPA")</f>
        <v>0</v>
      </c>
      <c r="N21" s="31">
        <f t="shared" si="3"/>
        <v>16</v>
      </c>
      <c r="O21" s="26">
        <f t="shared" si="0"/>
        <v>0.84210526315789469</v>
      </c>
      <c r="P21" s="26">
        <f t="shared" si="1"/>
        <v>0.42105263157894735</v>
      </c>
      <c r="Q21" s="26">
        <f t="shared" si="2"/>
        <v>0.63157894736842102</v>
      </c>
    </row>
    <row r="22" spans="1:17" ht="20" customHeight="1" x14ac:dyDescent="0.45">
      <c r="A22" s="32">
        <v>14</v>
      </c>
      <c r="B22" s="35" t="s">
        <v>78</v>
      </c>
      <c r="C22" s="36" t="s">
        <v>79</v>
      </c>
      <c r="D22" s="36" t="s">
        <v>80</v>
      </c>
      <c r="E22" s="35" t="s">
        <v>52</v>
      </c>
      <c r="F22" s="30">
        <v>19</v>
      </c>
      <c r="G22" s="32">
        <f>COUNTIF('Detail Absensi Harian'!F21:AJ21, "H")</f>
        <v>18</v>
      </c>
      <c r="H22" s="32">
        <f>COUNTIF('Detail Absensi Harian'!F21:AJ21, "TL")</f>
        <v>0</v>
      </c>
      <c r="I22" s="32">
        <f>COUNTIF('Detail Absensi Harian'!F21:AJ21, "I")</f>
        <v>0</v>
      </c>
      <c r="J22" s="32">
        <f>COUNTIF('Detail Absensi Harian'!F21:AJ21, "A")</f>
        <v>0</v>
      </c>
      <c r="K22" s="30">
        <f>COUNTIF('Detail Absensi Harian'!F21:AJ21, "TAM")</f>
        <v>0</v>
      </c>
      <c r="L22" s="30">
        <f>COUNTIF('Detail Absensi Harian'!F21:AJ21, "TAP")</f>
        <v>0</v>
      </c>
      <c r="M22" s="30">
        <f>COUNTIF('Detail Absensi Harian'!F21:AJ21, "TPA")</f>
        <v>0</v>
      </c>
      <c r="N22" s="33">
        <f t="shared" si="3"/>
        <v>18</v>
      </c>
      <c r="O22" s="27">
        <f t="shared" si="0"/>
        <v>0.94736842105263153</v>
      </c>
      <c r="P22" s="27">
        <f t="shared" si="1"/>
        <v>1</v>
      </c>
      <c r="Q22" s="26">
        <f t="shared" si="2"/>
        <v>0.97368421052631571</v>
      </c>
    </row>
    <row r="23" spans="1:17" ht="20" customHeight="1" x14ac:dyDescent="0.45">
      <c r="A23" s="30">
        <v>15</v>
      </c>
      <c r="B23" s="35" t="s">
        <v>81</v>
      </c>
      <c r="C23" s="36" t="s">
        <v>82</v>
      </c>
      <c r="D23" s="36" t="s">
        <v>80</v>
      </c>
      <c r="E23" s="35" t="s">
        <v>52</v>
      </c>
      <c r="F23" s="30">
        <v>19</v>
      </c>
      <c r="G23" s="30">
        <f>COUNTIF('Detail Absensi Harian'!F22:AJ22, "H")</f>
        <v>17</v>
      </c>
      <c r="H23" s="30">
        <f>COUNTIF('Detail Absensi Harian'!F22:AJ22, "TL")</f>
        <v>0</v>
      </c>
      <c r="I23" s="30">
        <f>COUNTIF('Detail Absensi Harian'!F22:AJ22, "I")</f>
        <v>0</v>
      </c>
      <c r="J23" s="30">
        <f>COUNTIF('Detail Absensi Harian'!F22:AJ22, "A")</f>
        <v>0</v>
      </c>
      <c r="K23" s="30">
        <f>COUNTIF('Detail Absensi Harian'!F22:AJ22, "TAM")</f>
        <v>1</v>
      </c>
      <c r="L23" s="30">
        <f>COUNTIF('Detail Absensi Harian'!F22:AJ22, "TAP")</f>
        <v>0</v>
      </c>
      <c r="M23" s="30">
        <f>COUNTIF('Detail Absensi Harian'!F22:AJ22, "TPA")</f>
        <v>1</v>
      </c>
      <c r="N23" s="31">
        <f t="shared" si="3"/>
        <v>17.75</v>
      </c>
      <c r="O23" s="26">
        <f t="shared" si="0"/>
        <v>0.93421052631578949</v>
      </c>
      <c r="P23" s="26">
        <f t="shared" si="1"/>
        <v>0.89473684210526316</v>
      </c>
      <c r="Q23" s="26">
        <f t="shared" si="2"/>
        <v>0.91447368421052633</v>
      </c>
    </row>
    <row r="24" spans="1:17" ht="20" customHeight="1" x14ac:dyDescent="0.45">
      <c r="A24" s="32">
        <v>16</v>
      </c>
      <c r="B24" s="37" t="s">
        <v>83</v>
      </c>
      <c r="C24" s="38" t="s">
        <v>84</v>
      </c>
      <c r="D24" s="39" t="s">
        <v>80</v>
      </c>
      <c r="E24" s="37" t="s">
        <v>52</v>
      </c>
      <c r="F24" s="30">
        <v>19</v>
      </c>
      <c r="G24" s="30">
        <f>COUNTIF('Detail Absensi Harian'!F23:AJ23, "H")</f>
        <v>19</v>
      </c>
      <c r="H24" s="30">
        <f>COUNTIF('Detail Absensi Harian'!F23:AJ23, "TL")</f>
        <v>0</v>
      </c>
      <c r="I24" s="30">
        <f>COUNTIF('Detail Absensi Harian'!F23:AJ23, "I")</f>
        <v>0</v>
      </c>
      <c r="J24" s="30">
        <f>COUNTIF('Detail Absensi Harian'!F23:AJ23, "A")</f>
        <v>0</v>
      </c>
      <c r="K24" s="30">
        <f>COUNTIF('Detail Absensi Harian'!F23:AJ23, "TAM")</f>
        <v>0</v>
      </c>
      <c r="L24" s="30">
        <f>COUNTIF('Detail Absensi Harian'!F23:AJ23, "TAP")</f>
        <v>0</v>
      </c>
      <c r="M24" s="30">
        <f>COUNTIF('Detail Absensi Harian'!F23:AJ23, "TPA")</f>
        <v>0</v>
      </c>
      <c r="N24" s="31">
        <f t="shared" ref="N24" si="4">G24 + (H24*0.75) + (K24*0.5) + (L24*0.5) + (M24*0.25)</f>
        <v>19</v>
      </c>
      <c r="O24" s="26">
        <f t="shared" ref="O24" si="5">N24/F24</f>
        <v>1</v>
      </c>
      <c r="P24" s="26">
        <f t="shared" ref="P24" si="6">IF((G24+H24+K24+L24+M24)&gt;0, G24/(G24+H24+K24+L24+M24), 0)</f>
        <v>1</v>
      </c>
      <c r="Q24" s="26">
        <f t="shared" ref="Q24" si="7">AVERAGE(O24, P24)</f>
        <v>1</v>
      </c>
    </row>
    <row r="25" spans="1:17" ht="22.05" customHeight="1" thickBot="1" x14ac:dyDescent="0.5">
      <c r="A25" s="29"/>
      <c r="B25" s="29"/>
      <c r="C25" s="29" t="s">
        <v>42</v>
      </c>
      <c r="D25" s="29"/>
      <c r="E25" s="29"/>
      <c r="F25" s="29">
        <v>20</v>
      </c>
      <c r="G25" s="40">
        <f>SUM(G9:G24)</f>
        <v>242</v>
      </c>
      <c r="H25" s="40">
        <f t="shared" ref="H25:M25" si="8">SUM(H9:H24)</f>
        <v>27</v>
      </c>
      <c r="I25" s="40">
        <f t="shared" si="8"/>
        <v>1</v>
      </c>
      <c r="J25" s="40">
        <f t="shared" si="8"/>
        <v>0</v>
      </c>
      <c r="K25" s="40">
        <f t="shared" si="8"/>
        <v>6</v>
      </c>
      <c r="L25" s="40">
        <f t="shared" si="8"/>
        <v>9</v>
      </c>
      <c r="M25" s="40">
        <f t="shared" si="8"/>
        <v>6</v>
      </c>
      <c r="N25" s="34">
        <f>SUM(N9:N24)</f>
        <v>271.25</v>
      </c>
      <c r="O25" s="28">
        <f>AVERAGE(O9:O24)</f>
        <v>0.89226973684210509</v>
      </c>
      <c r="P25" s="28">
        <f>AVERAGE(P9:P24)</f>
        <v>0.84155701754385959</v>
      </c>
      <c r="Q25" s="28">
        <f>AVERAGE(Q9:Q24)</f>
        <v>0.86691337719298234</v>
      </c>
    </row>
  </sheetData>
  <mergeCells count="8">
    <mergeCell ref="E5:F5"/>
    <mergeCell ref="C5:D5"/>
    <mergeCell ref="C4:D4"/>
    <mergeCell ref="A4:B4"/>
    <mergeCell ref="G4:H4"/>
    <mergeCell ref="E4:F4"/>
    <mergeCell ref="G5:H5"/>
    <mergeCell ref="A5:B5"/>
  </mergeCells>
  <conditionalFormatting sqref="N9:N24">
    <cfRule type="cellIs" dxfId="56" priority="1" stopIfTrue="1" operator="lessThan">
      <formula>0.9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 Absensi Harian</vt:lpstr>
      <vt:lpstr>Rekap Absensi Agustus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Kiki Ramadhani Suyono</cp:lastModifiedBy>
  <cp:lastPrinted>2026-09-10T06:58:51Z</cp:lastPrinted>
  <dcterms:created xsi:type="dcterms:W3CDTF">2026-09-07T02:22:59Z</dcterms:created>
  <dcterms:modified xsi:type="dcterms:W3CDTF">2026-09-10T11:05:20Z</dcterms:modified>
</cp:coreProperties>
</file>