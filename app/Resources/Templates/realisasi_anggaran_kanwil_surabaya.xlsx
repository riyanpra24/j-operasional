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mkrindo365-my.sharepoint.com/personal/ridhotul_islami_jamkrindo_co_id/Documents/KHAFSHOH NEW/AKUNTANSI/LAPORAN/DEVIASI/2026/YTD/"/>
    </mc:Choice>
  </mc:AlternateContent>
  <xr:revisionPtr revIDLastSave="3981" documentId="13_ncr:1_{E7692913-8962-4A26-8B60-D4466D23F6E4}" xr6:coauthVersionLast="47" xr6:coauthVersionMax="47" xr10:uidLastSave="{4690EE4B-B6EA-4ED4-8271-AC4D83119228}"/>
  <bookViews>
    <workbookView xWindow="-120" yWindow="-120" windowWidth="29040" windowHeight="15720" activeTab="1" xr2:uid="{F3F6D0B9-8D74-4561-9406-CE70F6BC3CCE}"/>
  </bookViews>
  <sheets>
    <sheet name="KORPORAT KANWIL" sheetId="1" r:id="rId1"/>
    <sheet name="KANWIL" sheetId="2" r:id="rId2"/>
    <sheet name="SURABAYA" sheetId="3" r:id="rId3"/>
    <sheet name="KEDIRI" sheetId="4" r:id="rId4"/>
    <sheet name="MALANG" sheetId="5" r:id="rId5"/>
    <sheet name="MADIUN" sheetId="6" r:id="rId6"/>
    <sheet name="BANYUWANGI" sheetId="7" r:id="rId7"/>
  </sheets>
  <definedNames>
    <definedName name="_xlnm.Print_Titles" localSheetId="6">BANYUWANGI!$D:$E</definedName>
    <definedName name="_xlnm.Print_Titles" localSheetId="1">KANWIL!$D:$E</definedName>
    <definedName name="_xlnm.Print_Titles" localSheetId="3">KEDIRI!$D:$E</definedName>
    <definedName name="_xlnm.Print_Titles" localSheetId="0">'KORPORAT KANWIL'!$D:$E</definedName>
    <definedName name="_xlnm.Print_Titles" localSheetId="5">MADIUN!$D:$E</definedName>
    <definedName name="_xlnm.Print_Titles" localSheetId="4">MALANG!$D:$E</definedName>
    <definedName name="_xlnm.Print_Titles" localSheetId="2">SURABAYA!$D:$E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4" i="1" l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17" i="1"/>
  <c r="N18" i="1"/>
  <c r="N19" i="1"/>
  <c r="N20" i="1"/>
  <c r="N11" i="1"/>
  <c r="N12" i="1"/>
  <c r="N13" i="1"/>
  <c r="N8" i="1"/>
  <c r="O164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0" i="7"/>
  <c r="O19" i="7"/>
  <c r="O18" i="7"/>
  <c r="O17" i="7"/>
  <c r="O13" i="7"/>
  <c r="O12" i="7"/>
  <c r="O11" i="7"/>
  <c r="O8" i="7"/>
  <c r="O164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0" i="6" l="1"/>
  <c r="O19" i="6"/>
  <c r="O18" i="6"/>
  <c r="O17" i="6"/>
  <c r="O13" i="6"/>
  <c r="O12" i="6"/>
  <c r="O11" i="6"/>
  <c r="O8" i="6"/>
  <c r="O164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0" i="5"/>
  <c r="O19" i="5"/>
  <c r="O18" i="5"/>
  <c r="O17" i="5"/>
  <c r="O13" i="5"/>
  <c r="O12" i="5"/>
  <c r="O11" i="5"/>
  <c r="O8" i="5"/>
  <c r="O164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0" i="4"/>
  <c r="O19" i="4"/>
  <c r="O18" i="4"/>
  <c r="O17" i="4"/>
  <c r="O13" i="4"/>
  <c r="O12" i="4"/>
  <c r="O11" i="4"/>
  <c r="O8" i="4"/>
  <c r="O164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0" i="3"/>
  <c r="O19" i="3"/>
  <c r="O18" i="3"/>
  <c r="O17" i="3"/>
  <c r="O13" i="3"/>
  <c r="O12" i="3"/>
  <c r="O11" i="3"/>
  <c r="O8" i="3"/>
  <c r="O164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55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9" i="2"/>
  <c r="O160" i="3"/>
  <c r="N160" i="7"/>
  <c r="N162" i="7"/>
  <c r="N14" i="7"/>
  <c r="N142" i="7"/>
  <c r="N52" i="7"/>
  <c r="N160" i="6"/>
  <c r="N142" i="6"/>
  <c r="N52" i="6"/>
  <c r="N21" i="6"/>
  <c r="N14" i="6"/>
  <c r="N14" i="5"/>
  <c r="N14" i="4"/>
  <c r="O52" i="6" l="1"/>
  <c r="N21" i="5"/>
  <c r="N160" i="5"/>
  <c r="N52" i="5"/>
  <c r="N142" i="5"/>
  <c r="N142" i="4"/>
  <c r="N21" i="4"/>
  <c r="N52" i="4"/>
  <c r="N160" i="4"/>
  <c r="N21" i="7"/>
  <c r="N23" i="7" s="1"/>
  <c r="N166" i="7" s="1"/>
  <c r="N162" i="6"/>
  <c r="N23" i="6"/>
  <c r="N162" i="5"/>
  <c r="N23" i="5"/>
  <c r="N23" i="4"/>
  <c r="K128" i="2"/>
  <c r="N166" i="5" l="1"/>
  <c r="N162" i="4"/>
  <c r="N166" i="4" s="1"/>
  <c r="N166" i="6"/>
  <c r="M52" i="6"/>
  <c r="L52" i="6"/>
  <c r="L52" i="4" l="1"/>
  <c r="M52" i="4"/>
  <c r="M164" i="1" l="1"/>
  <c r="L164" i="1"/>
  <c r="L14" i="6"/>
  <c r="L21" i="6"/>
  <c r="M21" i="6"/>
  <c r="M14" i="6"/>
  <c r="M21" i="4"/>
  <c r="L21" i="4"/>
  <c r="L21" i="3"/>
  <c r="O164" i="1" l="1"/>
  <c r="L23" i="6"/>
  <c r="L160" i="2"/>
  <c r="M160" i="2"/>
  <c r="N160" i="2"/>
  <c r="L142" i="2"/>
  <c r="M142" i="2"/>
  <c r="N142" i="2"/>
  <c r="L52" i="2"/>
  <c r="M52" i="2"/>
  <c r="N52" i="2"/>
  <c r="P146" i="2"/>
  <c r="O20" i="2"/>
  <c r="O19" i="2"/>
  <c r="O18" i="2"/>
  <c r="O17" i="2"/>
  <c r="O13" i="2"/>
  <c r="O12" i="2"/>
  <c r="O11" i="2"/>
  <c r="O8" i="2"/>
  <c r="M21" i="3"/>
  <c r="N21" i="3"/>
  <c r="L52" i="3"/>
  <c r="M52" i="3"/>
  <c r="N52" i="3"/>
  <c r="L142" i="3"/>
  <c r="M142" i="3"/>
  <c r="N142" i="3"/>
  <c r="L160" i="3"/>
  <c r="M160" i="3"/>
  <c r="N160" i="3"/>
  <c r="L14" i="3"/>
  <c r="M14" i="3"/>
  <c r="N14" i="3"/>
  <c r="L160" i="5"/>
  <c r="M160" i="5"/>
  <c r="L142" i="5"/>
  <c r="M142" i="5"/>
  <c r="L52" i="5"/>
  <c r="M52" i="5"/>
  <c r="L14" i="5"/>
  <c r="M14" i="5"/>
  <c r="L21" i="5"/>
  <c r="M21" i="5"/>
  <c r="M23" i="6"/>
  <c r="L142" i="6"/>
  <c r="M142" i="6"/>
  <c r="L160" i="6"/>
  <c r="M160" i="6"/>
  <c r="L160" i="7"/>
  <c r="M160" i="7"/>
  <c r="L142" i="7"/>
  <c r="M142" i="7"/>
  <c r="L14" i="7"/>
  <c r="M14" i="7"/>
  <c r="L21" i="7"/>
  <c r="M21" i="7"/>
  <c r="L52" i="7"/>
  <c r="M52" i="7"/>
  <c r="L14" i="4"/>
  <c r="L23" i="4" s="1"/>
  <c r="M14" i="4"/>
  <c r="M23" i="4" s="1"/>
  <c r="L160" i="4"/>
  <c r="M160" i="4"/>
  <c r="L142" i="4"/>
  <c r="M142" i="4"/>
  <c r="P63" i="4"/>
  <c r="P151" i="6"/>
  <c r="P150" i="6"/>
  <c r="O14" i="6"/>
  <c r="K8" i="7"/>
  <c r="M159" i="1"/>
  <c r="L159" i="1"/>
  <c r="O159" i="1" s="1"/>
  <c r="M158" i="1"/>
  <c r="L158" i="1"/>
  <c r="O158" i="1" s="1"/>
  <c r="M157" i="1"/>
  <c r="L157" i="1"/>
  <c r="O157" i="1" s="1"/>
  <c r="M156" i="1"/>
  <c r="L156" i="1"/>
  <c r="O156" i="1" s="1"/>
  <c r="M155" i="1"/>
  <c r="L155" i="1"/>
  <c r="O155" i="1" s="1"/>
  <c r="M154" i="1"/>
  <c r="L154" i="1"/>
  <c r="O154" i="1" s="1"/>
  <c r="M153" i="1"/>
  <c r="L153" i="1"/>
  <c r="O153" i="1" s="1"/>
  <c r="M152" i="1"/>
  <c r="L152" i="1"/>
  <c r="M151" i="1"/>
  <c r="L151" i="1"/>
  <c r="O151" i="1" s="1"/>
  <c r="M150" i="1"/>
  <c r="L150" i="1"/>
  <c r="O150" i="1" s="1"/>
  <c r="M149" i="1"/>
  <c r="L149" i="1"/>
  <c r="O149" i="1" s="1"/>
  <c r="M148" i="1"/>
  <c r="L148" i="1"/>
  <c r="M147" i="1"/>
  <c r="L147" i="1"/>
  <c r="O147" i="1" s="1"/>
  <c r="M146" i="1"/>
  <c r="L146" i="1"/>
  <c r="O146" i="1" s="1"/>
  <c r="M145" i="1"/>
  <c r="L145" i="1"/>
  <c r="O145" i="1" s="1"/>
  <c r="M141" i="1"/>
  <c r="L141" i="1"/>
  <c r="O141" i="1" s="1"/>
  <c r="M140" i="1"/>
  <c r="L140" i="1"/>
  <c r="O140" i="1" s="1"/>
  <c r="M139" i="1"/>
  <c r="L139" i="1"/>
  <c r="O139" i="1" s="1"/>
  <c r="M138" i="1"/>
  <c r="L138" i="1"/>
  <c r="O138" i="1" s="1"/>
  <c r="M137" i="1"/>
  <c r="L137" i="1"/>
  <c r="O137" i="1" s="1"/>
  <c r="M136" i="1"/>
  <c r="L136" i="1"/>
  <c r="O136" i="1" s="1"/>
  <c r="M135" i="1"/>
  <c r="L135" i="1"/>
  <c r="O135" i="1" s="1"/>
  <c r="M134" i="1"/>
  <c r="L134" i="1"/>
  <c r="O134" i="1" s="1"/>
  <c r="M133" i="1"/>
  <c r="L133" i="1"/>
  <c r="O133" i="1" s="1"/>
  <c r="M132" i="1"/>
  <c r="L132" i="1"/>
  <c r="O132" i="1" s="1"/>
  <c r="M131" i="1"/>
  <c r="L131" i="1"/>
  <c r="M130" i="1"/>
  <c r="L130" i="1"/>
  <c r="O130" i="1" s="1"/>
  <c r="M129" i="1"/>
  <c r="L129" i="1"/>
  <c r="O129" i="1" s="1"/>
  <c r="M128" i="1"/>
  <c r="L128" i="1"/>
  <c r="O128" i="1" s="1"/>
  <c r="M127" i="1"/>
  <c r="L127" i="1"/>
  <c r="O127" i="1" s="1"/>
  <c r="M126" i="1"/>
  <c r="L126" i="1"/>
  <c r="O126" i="1" s="1"/>
  <c r="M125" i="1"/>
  <c r="L125" i="1"/>
  <c r="O125" i="1" s="1"/>
  <c r="M124" i="1"/>
  <c r="L124" i="1"/>
  <c r="O124" i="1" s="1"/>
  <c r="M123" i="1"/>
  <c r="L123" i="1"/>
  <c r="O123" i="1" s="1"/>
  <c r="M122" i="1"/>
  <c r="L122" i="1"/>
  <c r="O122" i="1" s="1"/>
  <c r="M121" i="1"/>
  <c r="L121" i="1"/>
  <c r="O121" i="1" s="1"/>
  <c r="M120" i="1"/>
  <c r="L120" i="1"/>
  <c r="O120" i="1" s="1"/>
  <c r="M119" i="1"/>
  <c r="L119" i="1"/>
  <c r="O119" i="1" s="1"/>
  <c r="M118" i="1"/>
  <c r="L118" i="1"/>
  <c r="O118" i="1" s="1"/>
  <c r="M117" i="1"/>
  <c r="L117" i="1"/>
  <c r="M116" i="1"/>
  <c r="L116" i="1"/>
  <c r="O116" i="1" s="1"/>
  <c r="M115" i="1"/>
  <c r="L115" i="1"/>
  <c r="O115" i="1" s="1"/>
  <c r="M114" i="1"/>
  <c r="L114" i="1"/>
  <c r="O114" i="1" s="1"/>
  <c r="M113" i="1"/>
  <c r="L113" i="1"/>
  <c r="O113" i="1" s="1"/>
  <c r="M112" i="1"/>
  <c r="L112" i="1"/>
  <c r="O112" i="1" s="1"/>
  <c r="M111" i="1"/>
  <c r="L111" i="1"/>
  <c r="O111" i="1" s="1"/>
  <c r="M110" i="1"/>
  <c r="L110" i="1"/>
  <c r="O110" i="1" s="1"/>
  <c r="M109" i="1"/>
  <c r="L109" i="1"/>
  <c r="O109" i="1" s="1"/>
  <c r="M108" i="1"/>
  <c r="L108" i="1"/>
  <c r="O108" i="1" s="1"/>
  <c r="M107" i="1"/>
  <c r="L107" i="1"/>
  <c r="O107" i="1" s="1"/>
  <c r="M106" i="1"/>
  <c r="L106" i="1"/>
  <c r="O106" i="1" s="1"/>
  <c r="M105" i="1"/>
  <c r="L105" i="1"/>
  <c r="O105" i="1" s="1"/>
  <c r="M104" i="1"/>
  <c r="L104" i="1"/>
  <c r="O104" i="1" s="1"/>
  <c r="M103" i="1"/>
  <c r="L103" i="1"/>
  <c r="M102" i="1"/>
  <c r="L102" i="1"/>
  <c r="O102" i="1" s="1"/>
  <c r="M101" i="1"/>
  <c r="L101" i="1"/>
  <c r="O101" i="1" s="1"/>
  <c r="M100" i="1"/>
  <c r="L100" i="1"/>
  <c r="O100" i="1" s="1"/>
  <c r="M99" i="1"/>
  <c r="L99" i="1"/>
  <c r="O99" i="1" s="1"/>
  <c r="M98" i="1"/>
  <c r="L98" i="1"/>
  <c r="O98" i="1" s="1"/>
  <c r="M97" i="1"/>
  <c r="L97" i="1"/>
  <c r="O97" i="1" s="1"/>
  <c r="M96" i="1"/>
  <c r="L96" i="1"/>
  <c r="O96" i="1" s="1"/>
  <c r="M95" i="1"/>
  <c r="L95" i="1"/>
  <c r="O95" i="1" s="1"/>
  <c r="M94" i="1"/>
  <c r="L94" i="1"/>
  <c r="O94" i="1" s="1"/>
  <c r="M93" i="1"/>
  <c r="L93" i="1"/>
  <c r="O93" i="1" s="1"/>
  <c r="M92" i="1"/>
  <c r="L92" i="1"/>
  <c r="O92" i="1" s="1"/>
  <c r="M91" i="1"/>
  <c r="L91" i="1"/>
  <c r="O91" i="1" s="1"/>
  <c r="M90" i="1"/>
  <c r="L90" i="1"/>
  <c r="O90" i="1" s="1"/>
  <c r="M89" i="1"/>
  <c r="L89" i="1"/>
  <c r="M88" i="1"/>
  <c r="L88" i="1"/>
  <c r="O88" i="1" s="1"/>
  <c r="M87" i="1"/>
  <c r="L87" i="1"/>
  <c r="O87" i="1" s="1"/>
  <c r="M86" i="1"/>
  <c r="L86" i="1"/>
  <c r="O86" i="1" s="1"/>
  <c r="M85" i="1"/>
  <c r="L85" i="1"/>
  <c r="O85" i="1" s="1"/>
  <c r="M84" i="1"/>
  <c r="L84" i="1"/>
  <c r="O84" i="1" s="1"/>
  <c r="M83" i="1"/>
  <c r="L83" i="1"/>
  <c r="O83" i="1" s="1"/>
  <c r="M82" i="1"/>
  <c r="L82" i="1"/>
  <c r="O82" i="1" s="1"/>
  <c r="M81" i="1"/>
  <c r="L81" i="1"/>
  <c r="O81" i="1" s="1"/>
  <c r="M80" i="1"/>
  <c r="L80" i="1"/>
  <c r="O80" i="1" s="1"/>
  <c r="M79" i="1"/>
  <c r="L79" i="1"/>
  <c r="O79" i="1" s="1"/>
  <c r="M78" i="1"/>
  <c r="L78" i="1"/>
  <c r="O78" i="1" s="1"/>
  <c r="M77" i="1"/>
  <c r="L77" i="1"/>
  <c r="O77" i="1" s="1"/>
  <c r="M76" i="1"/>
  <c r="L76" i="1"/>
  <c r="O76" i="1" s="1"/>
  <c r="M75" i="1"/>
  <c r="L75" i="1"/>
  <c r="M74" i="1"/>
  <c r="L74" i="1"/>
  <c r="O74" i="1" s="1"/>
  <c r="M73" i="1"/>
  <c r="L73" i="1"/>
  <c r="O73" i="1" s="1"/>
  <c r="M72" i="1"/>
  <c r="L72" i="1"/>
  <c r="O72" i="1" s="1"/>
  <c r="M71" i="1"/>
  <c r="L71" i="1"/>
  <c r="O71" i="1" s="1"/>
  <c r="M70" i="1"/>
  <c r="L70" i="1"/>
  <c r="O70" i="1" s="1"/>
  <c r="M69" i="1"/>
  <c r="L69" i="1"/>
  <c r="O69" i="1" s="1"/>
  <c r="M68" i="1"/>
  <c r="L68" i="1"/>
  <c r="O68" i="1" s="1"/>
  <c r="M67" i="1"/>
  <c r="L67" i="1"/>
  <c r="O67" i="1" s="1"/>
  <c r="M66" i="1"/>
  <c r="L66" i="1"/>
  <c r="O66" i="1" s="1"/>
  <c r="M65" i="1"/>
  <c r="L65" i="1"/>
  <c r="O65" i="1" s="1"/>
  <c r="M64" i="1"/>
  <c r="L64" i="1"/>
  <c r="O64" i="1" s="1"/>
  <c r="M63" i="1"/>
  <c r="L63" i="1"/>
  <c r="O63" i="1" s="1"/>
  <c r="M62" i="1"/>
  <c r="L62" i="1"/>
  <c r="O62" i="1" s="1"/>
  <c r="M61" i="1"/>
  <c r="L61" i="1"/>
  <c r="M60" i="1"/>
  <c r="L60" i="1"/>
  <c r="O60" i="1" s="1"/>
  <c r="M59" i="1"/>
  <c r="L59" i="1"/>
  <c r="O59" i="1" s="1"/>
  <c r="M58" i="1"/>
  <c r="L58" i="1"/>
  <c r="O58" i="1" s="1"/>
  <c r="M57" i="1"/>
  <c r="L57" i="1"/>
  <c r="O57" i="1" s="1"/>
  <c r="M56" i="1"/>
  <c r="L56" i="1"/>
  <c r="O56" i="1" s="1"/>
  <c r="M55" i="1"/>
  <c r="L55" i="1"/>
  <c r="O55" i="1" s="1"/>
  <c r="M51" i="1"/>
  <c r="L51" i="1"/>
  <c r="O51" i="1" s="1"/>
  <c r="M50" i="1"/>
  <c r="L50" i="1"/>
  <c r="O50" i="1" s="1"/>
  <c r="M49" i="1"/>
  <c r="L49" i="1"/>
  <c r="O49" i="1" s="1"/>
  <c r="M48" i="1"/>
  <c r="L48" i="1"/>
  <c r="O48" i="1" s="1"/>
  <c r="M47" i="1"/>
  <c r="L47" i="1"/>
  <c r="O47" i="1" s="1"/>
  <c r="M46" i="1"/>
  <c r="L46" i="1"/>
  <c r="O46" i="1" s="1"/>
  <c r="M45" i="1"/>
  <c r="L45" i="1"/>
  <c r="O45" i="1" s="1"/>
  <c r="M44" i="1"/>
  <c r="L44" i="1"/>
  <c r="M43" i="1"/>
  <c r="L43" i="1"/>
  <c r="O43" i="1" s="1"/>
  <c r="M42" i="1"/>
  <c r="L42" i="1"/>
  <c r="O42" i="1" s="1"/>
  <c r="M41" i="1"/>
  <c r="L41" i="1"/>
  <c r="O41" i="1" s="1"/>
  <c r="M40" i="1"/>
  <c r="L40" i="1"/>
  <c r="O40" i="1" s="1"/>
  <c r="M39" i="1"/>
  <c r="L39" i="1"/>
  <c r="O39" i="1" s="1"/>
  <c r="M38" i="1"/>
  <c r="L38" i="1"/>
  <c r="O38" i="1" s="1"/>
  <c r="M37" i="1"/>
  <c r="L37" i="1"/>
  <c r="O37" i="1" s="1"/>
  <c r="M36" i="1"/>
  <c r="L36" i="1"/>
  <c r="O36" i="1" s="1"/>
  <c r="M35" i="1"/>
  <c r="L35" i="1"/>
  <c r="O35" i="1" s="1"/>
  <c r="M34" i="1"/>
  <c r="L34" i="1"/>
  <c r="O34" i="1" s="1"/>
  <c r="M33" i="1"/>
  <c r="L33" i="1"/>
  <c r="O33" i="1" s="1"/>
  <c r="M32" i="1"/>
  <c r="L32" i="1"/>
  <c r="O32" i="1" s="1"/>
  <c r="M31" i="1"/>
  <c r="L31" i="1"/>
  <c r="O31" i="1" s="1"/>
  <c r="M30" i="1"/>
  <c r="L30" i="1"/>
  <c r="O30" i="1" s="1"/>
  <c r="M29" i="1"/>
  <c r="L29" i="1"/>
  <c r="O29" i="1" s="1"/>
  <c r="M20" i="1"/>
  <c r="L20" i="1"/>
  <c r="O20" i="1" s="1"/>
  <c r="M19" i="1"/>
  <c r="L19" i="1"/>
  <c r="O19" i="1" s="1"/>
  <c r="M18" i="1"/>
  <c r="L18" i="1"/>
  <c r="O18" i="1" s="1"/>
  <c r="M17" i="1"/>
  <c r="L17" i="1"/>
  <c r="O17" i="1" s="1"/>
  <c r="M11" i="1"/>
  <c r="M12" i="1"/>
  <c r="M13" i="1"/>
  <c r="L13" i="1"/>
  <c r="O13" i="1" s="1"/>
  <c r="L12" i="1"/>
  <c r="O12" i="1" s="1"/>
  <c r="L11" i="1"/>
  <c r="O11" i="1" s="1"/>
  <c r="M8" i="1"/>
  <c r="L8" i="1"/>
  <c r="O8" i="1" s="1"/>
  <c r="J159" i="1"/>
  <c r="I159" i="1"/>
  <c r="H159" i="1"/>
  <c r="G159" i="1"/>
  <c r="F159" i="1"/>
  <c r="J158" i="1"/>
  <c r="I158" i="1"/>
  <c r="H158" i="1"/>
  <c r="G158" i="1"/>
  <c r="F158" i="1"/>
  <c r="J157" i="1"/>
  <c r="I157" i="1"/>
  <c r="H157" i="1"/>
  <c r="G157" i="1"/>
  <c r="F157" i="1"/>
  <c r="J156" i="1"/>
  <c r="I156" i="1"/>
  <c r="H156" i="1"/>
  <c r="G156" i="1"/>
  <c r="F156" i="1"/>
  <c r="J155" i="1"/>
  <c r="I155" i="1"/>
  <c r="H155" i="1"/>
  <c r="G155" i="1"/>
  <c r="F155" i="1"/>
  <c r="J154" i="1"/>
  <c r="I154" i="1"/>
  <c r="H154" i="1"/>
  <c r="G154" i="1"/>
  <c r="F154" i="1"/>
  <c r="J153" i="1"/>
  <c r="I153" i="1"/>
  <c r="H153" i="1"/>
  <c r="G153" i="1"/>
  <c r="F153" i="1"/>
  <c r="J152" i="1"/>
  <c r="I152" i="1"/>
  <c r="H152" i="1"/>
  <c r="G152" i="1"/>
  <c r="F152" i="1"/>
  <c r="J151" i="1"/>
  <c r="I151" i="1"/>
  <c r="H151" i="1"/>
  <c r="G151" i="1"/>
  <c r="F151" i="1"/>
  <c r="J150" i="1"/>
  <c r="I150" i="1"/>
  <c r="H150" i="1"/>
  <c r="G150" i="1"/>
  <c r="F150" i="1"/>
  <c r="J149" i="1"/>
  <c r="I149" i="1"/>
  <c r="H149" i="1"/>
  <c r="G149" i="1"/>
  <c r="F149" i="1"/>
  <c r="J148" i="1"/>
  <c r="I148" i="1"/>
  <c r="H148" i="1"/>
  <c r="G148" i="1"/>
  <c r="F148" i="1"/>
  <c r="J147" i="1"/>
  <c r="I147" i="1"/>
  <c r="H147" i="1"/>
  <c r="G147" i="1"/>
  <c r="F147" i="1"/>
  <c r="J146" i="1"/>
  <c r="I146" i="1"/>
  <c r="H146" i="1"/>
  <c r="G146" i="1"/>
  <c r="F146" i="1"/>
  <c r="J145" i="1"/>
  <c r="I145" i="1"/>
  <c r="H145" i="1"/>
  <c r="G145" i="1"/>
  <c r="F145" i="1"/>
  <c r="J141" i="1"/>
  <c r="I141" i="1"/>
  <c r="H141" i="1"/>
  <c r="G141" i="1"/>
  <c r="F141" i="1"/>
  <c r="J140" i="1"/>
  <c r="I140" i="1"/>
  <c r="H140" i="1"/>
  <c r="G140" i="1"/>
  <c r="F140" i="1"/>
  <c r="J139" i="1"/>
  <c r="I139" i="1"/>
  <c r="H139" i="1"/>
  <c r="G139" i="1"/>
  <c r="F139" i="1"/>
  <c r="J138" i="1"/>
  <c r="I138" i="1"/>
  <c r="H138" i="1"/>
  <c r="G138" i="1"/>
  <c r="F138" i="1"/>
  <c r="J137" i="1"/>
  <c r="I137" i="1"/>
  <c r="H137" i="1"/>
  <c r="G137" i="1"/>
  <c r="F137" i="1"/>
  <c r="J136" i="1"/>
  <c r="I136" i="1"/>
  <c r="H136" i="1"/>
  <c r="G136" i="1"/>
  <c r="F136" i="1"/>
  <c r="J135" i="1"/>
  <c r="I135" i="1"/>
  <c r="H135" i="1"/>
  <c r="G135" i="1"/>
  <c r="F135" i="1"/>
  <c r="J134" i="1"/>
  <c r="I134" i="1"/>
  <c r="H134" i="1"/>
  <c r="G134" i="1"/>
  <c r="F134" i="1"/>
  <c r="J133" i="1"/>
  <c r="I133" i="1"/>
  <c r="H133" i="1"/>
  <c r="G133" i="1"/>
  <c r="F133" i="1"/>
  <c r="J132" i="1"/>
  <c r="I132" i="1"/>
  <c r="H132" i="1"/>
  <c r="G132" i="1"/>
  <c r="F132" i="1"/>
  <c r="J131" i="1"/>
  <c r="I131" i="1"/>
  <c r="H131" i="1"/>
  <c r="G131" i="1"/>
  <c r="F131" i="1"/>
  <c r="J130" i="1"/>
  <c r="I130" i="1"/>
  <c r="H130" i="1"/>
  <c r="G130" i="1"/>
  <c r="F130" i="1"/>
  <c r="J129" i="1"/>
  <c r="I129" i="1"/>
  <c r="H129" i="1"/>
  <c r="G129" i="1"/>
  <c r="F129" i="1"/>
  <c r="J128" i="1"/>
  <c r="I128" i="1"/>
  <c r="H128" i="1"/>
  <c r="G128" i="1"/>
  <c r="F128" i="1"/>
  <c r="J127" i="1"/>
  <c r="I127" i="1"/>
  <c r="H127" i="1"/>
  <c r="G127" i="1"/>
  <c r="F127" i="1"/>
  <c r="J126" i="1"/>
  <c r="I126" i="1"/>
  <c r="H126" i="1"/>
  <c r="G126" i="1"/>
  <c r="F126" i="1"/>
  <c r="J125" i="1"/>
  <c r="I125" i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J122" i="1"/>
  <c r="I122" i="1"/>
  <c r="H122" i="1"/>
  <c r="G122" i="1"/>
  <c r="F122" i="1"/>
  <c r="J121" i="1"/>
  <c r="I121" i="1"/>
  <c r="H121" i="1"/>
  <c r="G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G117" i="1"/>
  <c r="F117" i="1"/>
  <c r="J116" i="1"/>
  <c r="I116" i="1"/>
  <c r="H116" i="1"/>
  <c r="G116" i="1"/>
  <c r="F116" i="1"/>
  <c r="J115" i="1"/>
  <c r="I115" i="1"/>
  <c r="H115" i="1"/>
  <c r="G115" i="1"/>
  <c r="F115" i="1"/>
  <c r="J114" i="1"/>
  <c r="I114" i="1"/>
  <c r="H114" i="1"/>
  <c r="G114" i="1"/>
  <c r="F114" i="1"/>
  <c r="J113" i="1"/>
  <c r="I113" i="1"/>
  <c r="H113" i="1"/>
  <c r="G113" i="1"/>
  <c r="F113" i="1"/>
  <c r="J112" i="1"/>
  <c r="I112" i="1"/>
  <c r="H112" i="1"/>
  <c r="G112" i="1"/>
  <c r="F112" i="1"/>
  <c r="J111" i="1"/>
  <c r="I111" i="1"/>
  <c r="H111" i="1"/>
  <c r="G111" i="1"/>
  <c r="F111" i="1"/>
  <c r="J110" i="1"/>
  <c r="I110" i="1"/>
  <c r="H110" i="1"/>
  <c r="G110" i="1"/>
  <c r="F110" i="1"/>
  <c r="J109" i="1"/>
  <c r="I109" i="1"/>
  <c r="H109" i="1"/>
  <c r="G109" i="1"/>
  <c r="F109" i="1"/>
  <c r="J108" i="1"/>
  <c r="I108" i="1"/>
  <c r="H108" i="1"/>
  <c r="G108" i="1"/>
  <c r="F108" i="1"/>
  <c r="J107" i="1"/>
  <c r="I107" i="1"/>
  <c r="H107" i="1"/>
  <c r="G107" i="1"/>
  <c r="F107" i="1"/>
  <c r="J106" i="1"/>
  <c r="I106" i="1"/>
  <c r="H106" i="1"/>
  <c r="G106" i="1"/>
  <c r="F106" i="1"/>
  <c r="J105" i="1"/>
  <c r="I105" i="1"/>
  <c r="H105" i="1"/>
  <c r="G105" i="1"/>
  <c r="F105" i="1"/>
  <c r="J104" i="1"/>
  <c r="I104" i="1"/>
  <c r="H104" i="1"/>
  <c r="G104" i="1"/>
  <c r="F104" i="1"/>
  <c r="J103" i="1"/>
  <c r="I103" i="1"/>
  <c r="H103" i="1"/>
  <c r="G103" i="1"/>
  <c r="F103" i="1"/>
  <c r="J102" i="1"/>
  <c r="I102" i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F99" i="1"/>
  <c r="J98" i="1"/>
  <c r="I98" i="1"/>
  <c r="H98" i="1"/>
  <c r="G98" i="1"/>
  <c r="F98" i="1"/>
  <c r="J97" i="1"/>
  <c r="I97" i="1"/>
  <c r="H97" i="1"/>
  <c r="G97" i="1"/>
  <c r="F97" i="1"/>
  <c r="J96" i="1"/>
  <c r="I96" i="1"/>
  <c r="H96" i="1"/>
  <c r="G96" i="1"/>
  <c r="F96" i="1"/>
  <c r="J95" i="1"/>
  <c r="I95" i="1"/>
  <c r="H95" i="1"/>
  <c r="G95" i="1"/>
  <c r="F95" i="1"/>
  <c r="J94" i="1"/>
  <c r="I94" i="1"/>
  <c r="H94" i="1"/>
  <c r="G94" i="1"/>
  <c r="F94" i="1"/>
  <c r="J93" i="1"/>
  <c r="I93" i="1"/>
  <c r="H93" i="1"/>
  <c r="G93" i="1"/>
  <c r="F93" i="1"/>
  <c r="J92" i="1"/>
  <c r="I92" i="1"/>
  <c r="H92" i="1"/>
  <c r="G92" i="1"/>
  <c r="F92" i="1"/>
  <c r="J91" i="1"/>
  <c r="I91" i="1"/>
  <c r="H91" i="1"/>
  <c r="G91" i="1"/>
  <c r="F91" i="1"/>
  <c r="J90" i="1"/>
  <c r="I90" i="1"/>
  <c r="H90" i="1"/>
  <c r="G90" i="1"/>
  <c r="F90" i="1"/>
  <c r="J89" i="1"/>
  <c r="I89" i="1"/>
  <c r="H89" i="1"/>
  <c r="G89" i="1"/>
  <c r="F89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G85" i="1"/>
  <c r="F85" i="1"/>
  <c r="J84" i="1"/>
  <c r="I84" i="1"/>
  <c r="H84" i="1"/>
  <c r="G84" i="1"/>
  <c r="F84" i="1"/>
  <c r="J83" i="1"/>
  <c r="I83" i="1"/>
  <c r="H83" i="1"/>
  <c r="G83" i="1"/>
  <c r="F83" i="1"/>
  <c r="J82" i="1"/>
  <c r="I82" i="1"/>
  <c r="H82" i="1"/>
  <c r="G82" i="1"/>
  <c r="F82" i="1"/>
  <c r="J81" i="1"/>
  <c r="I81" i="1"/>
  <c r="H81" i="1"/>
  <c r="G81" i="1"/>
  <c r="F81" i="1"/>
  <c r="J80" i="1"/>
  <c r="I80" i="1"/>
  <c r="H80" i="1"/>
  <c r="G80" i="1"/>
  <c r="F80" i="1"/>
  <c r="J79" i="1"/>
  <c r="I79" i="1"/>
  <c r="H79" i="1"/>
  <c r="G79" i="1"/>
  <c r="F79" i="1"/>
  <c r="J78" i="1"/>
  <c r="I78" i="1"/>
  <c r="H78" i="1"/>
  <c r="G78" i="1"/>
  <c r="F78" i="1"/>
  <c r="J77" i="1"/>
  <c r="I77" i="1"/>
  <c r="H77" i="1"/>
  <c r="G77" i="1"/>
  <c r="F77" i="1"/>
  <c r="J76" i="1"/>
  <c r="I76" i="1"/>
  <c r="H76" i="1"/>
  <c r="G76" i="1"/>
  <c r="F76" i="1"/>
  <c r="J75" i="1"/>
  <c r="I75" i="1"/>
  <c r="H75" i="1"/>
  <c r="G75" i="1"/>
  <c r="F75" i="1"/>
  <c r="J74" i="1"/>
  <c r="I74" i="1"/>
  <c r="H74" i="1"/>
  <c r="G74" i="1"/>
  <c r="F74" i="1"/>
  <c r="J73" i="1"/>
  <c r="I73" i="1"/>
  <c r="H73" i="1"/>
  <c r="G73" i="1"/>
  <c r="F73" i="1"/>
  <c r="J72" i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G69" i="1"/>
  <c r="F69" i="1"/>
  <c r="J68" i="1"/>
  <c r="I68" i="1"/>
  <c r="H68" i="1"/>
  <c r="G68" i="1"/>
  <c r="F68" i="1"/>
  <c r="J67" i="1"/>
  <c r="I67" i="1"/>
  <c r="H67" i="1"/>
  <c r="G67" i="1"/>
  <c r="F67" i="1"/>
  <c r="J66" i="1"/>
  <c r="I66" i="1"/>
  <c r="H66" i="1"/>
  <c r="G66" i="1"/>
  <c r="F66" i="1"/>
  <c r="J65" i="1"/>
  <c r="I65" i="1"/>
  <c r="H65" i="1"/>
  <c r="G65" i="1"/>
  <c r="F65" i="1"/>
  <c r="J64" i="1"/>
  <c r="I64" i="1"/>
  <c r="H64" i="1"/>
  <c r="G64" i="1"/>
  <c r="F64" i="1"/>
  <c r="J63" i="1"/>
  <c r="I63" i="1"/>
  <c r="H63" i="1"/>
  <c r="G63" i="1"/>
  <c r="F63" i="1"/>
  <c r="J62" i="1"/>
  <c r="I62" i="1"/>
  <c r="H62" i="1"/>
  <c r="G62" i="1"/>
  <c r="F62" i="1"/>
  <c r="J61" i="1"/>
  <c r="I61" i="1"/>
  <c r="H61" i="1"/>
  <c r="G61" i="1"/>
  <c r="F61" i="1"/>
  <c r="J60" i="1"/>
  <c r="I60" i="1"/>
  <c r="H60" i="1"/>
  <c r="G60" i="1"/>
  <c r="F60" i="1"/>
  <c r="J59" i="1"/>
  <c r="I59" i="1"/>
  <c r="H59" i="1"/>
  <c r="G59" i="1"/>
  <c r="F59" i="1"/>
  <c r="J58" i="1"/>
  <c r="I58" i="1"/>
  <c r="H58" i="1"/>
  <c r="G58" i="1"/>
  <c r="F58" i="1"/>
  <c r="J57" i="1"/>
  <c r="I57" i="1"/>
  <c r="H57" i="1"/>
  <c r="G57" i="1"/>
  <c r="F57" i="1"/>
  <c r="J56" i="1"/>
  <c r="I56" i="1"/>
  <c r="H56" i="1"/>
  <c r="G56" i="1"/>
  <c r="F56" i="1"/>
  <c r="J55" i="1"/>
  <c r="I55" i="1"/>
  <c r="H55" i="1"/>
  <c r="G55" i="1"/>
  <c r="F55" i="1"/>
  <c r="J51" i="1"/>
  <c r="I51" i="1"/>
  <c r="H51" i="1"/>
  <c r="G51" i="1"/>
  <c r="F51" i="1"/>
  <c r="J50" i="1"/>
  <c r="I50" i="1"/>
  <c r="H50" i="1"/>
  <c r="G50" i="1"/>
  <c r="F50" i="1"/>
  <c r="J49" i="1"/>
  <c r="I49" i="1"/>
  <c r="H49" i="1"/>
  <c r="G49" i="1"/>
  <c r="F49" i="1"/>
  <c r="J48" i="1"/>
  <c r="I48" i="1"/>
  <c r="H48" i="1"/>
  <c r="G48" i="1"/>
  <c r="F48" i="1"/>
  <c r="J47" i="1"/>
  <c r="I47" i="1"/>
  <c r="H47" i="1"/>
  <c r="G47" i="1"/>
  <c r="F47" i="1"/>
  <c r="J46" i="1"/>
  <c r="I46" i="1"/>
  <c r="H46" i="1"/>
  <c r="G46" i="1"/>
  <c r="F46" i="1"/>
  <c r="J45" i="1"/>
  <c r="I45" i="1"/>
  <c r="H45" i="1"/>
  <c r="G45" i="1"/>
  <c r="F45" i="1"/>
  <c r="J44" i="1"/>
  <c r="I44" i="1"/>
  <c r="H44" i="1"/>
  <c r="G44" i="1"/>
  <c r="F44" i="1"/>
  <c r="J43" i="1"/>
  <c r="I43" i="1"/>
  <c r="H43" i="1"/>
  <c r="G43" i="1"/>
  <c r="F43" i="1"/>
  <c r="J42" i="1"/>
  <c r="I42" i="1"/>
  <c r="H42" i="1"/>
  <c r="G42" i="1"/>
  <c r="F42" i="1"/>
  <c r="J41" i="1"/>
  <c r="I41" i="1"/>
  <c r="H41" i="1"/>
  <c r="G41" i="1"/>
  <c r="F41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G37" i="1"/>
  <c r="F37" i="1"/>
  <c r="J36" i="1"/>
  <c r="I36" i="1"/>
  <c r="H36" i="1"/>
  <c r="G36" i="1"/>
  <c r="F36" i="1"/>
  <c r="J35" i="1"/>
  <c r="I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0" i="1"/>
  <c r="I20" i="1"/>
  <c r="H20" i="1"/>
  <c r="G20" i="1"/>
  <c r="F20" i="1"/>
  <c r="J19" i="1"/>
  <c r="I19" i="1"/>
  <c r="H19" i="1"/>
  <c r="G19" i="1"/>
  <c r="F19" i="1"/>
  <c r="J18" i="1"/>
  <c r="I18" i="1"/>
  <c r="H18" i="1"/>
  <c r="G18" i="1"/>
  <c r="F18" i="1"/>
  <c r="J17" i="1"/>
  <c r="I17" i="1"/>
  <c r="H17" i="1"/>
  <c r="G17" i="1"/>
  <c r="F17" i="1"/>
  <c r="J13" i="1"/>
  <c r="I13" i="1"/>
  <c r="H13" i="1"/>
  <c r="G13" i="1"/>
  <c r="J12" i="1"/>
  <c r="I12" i="1"/>
  <c r="H12" i="1"/>
  <c r="G12" i="1"/>
  <c r="J11" i="1"/>
  <c r="I11" i="1"/>
  <c r="H11" i="1"/>
  <c r="G11" i="1"/>
  <c r="F13" i="1"/>
  <c r="F12" i="1"/>
  <c r="F11" i="1"/>
  <c r="G8" i="1"/>
  <c r="H8" i="1"/>
  <c r="I8" i="1"/>
  <c r="J8" i="1"/>
  <c r="F8" i="1"/>
  <c r="J52" i="2"/>
  <c r="I52" i="2"/>
  <c r="H52" i="2"/>
  <c r="G52" i="2"/>
  <c r="F52" i="2"/>
  <c r="J142" i="2"/>
  <c r="I142" i="2"/>
  <c r="H142" i="2"/>
  <c r="G142" i="2"/>
  <c r="F142" i="2"/>
  <c r="J160" i="2"/>
  <c r="I160" i="2"/>
  <c r="H160" i="2"/>
  <c r="G160" i="2"/>
  <c r="F160" i="2"/>
  <c r="K159" i="2"/>
  <c r="K158" i="2"/>
  <c r="K157" i="2"/>
  <c r="K156" i="2"/>
  <c r="K155" i="2"/>
  <c r="K154" i="2"/>
  <c r="K153" i="2"/>
  <c r="K152" i="2"/>
  <c r="P152" i="2" s="1"/>
  <c r="K151" i="2"/>
  <c r="K150" i="2"/>
  <c r="K149" i="2"/>
  <c r="K148" i="2"/>
  <c r="P148" i="2" s="1"/>
  <c r="K147" i="2"/>
  <c r="K146" i="2"/>
  <c r="K145" i="2"/>
  <c r="K141" i="2"/>
  <c r="K140" i="2"/>
  <c r="K139" i="2"/>
  <c r="P139" i="2" s="1"/>
  <c r="K138" i="2"/>
  <c r="P138" i="2" s="1"/>
  <c r="K137" i="2"/>
  <c r="P137" i="2" s="1"/>
  <c r="K136" i="2"/>
  <c r="P136" i="2" s="1"/>
  <c r="K135" i="2"/>
  <c r="K134" i="2"/>
  <c r="K133" i="2"/>
  <c r="K132" i="2"/>
  <c r="K131" i="2"/>
  <c r="K130" i="2"/>
  <c r="K129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P116" i="2" s="1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P90" i="2" s="1"/>
  <c r="K89" i="2"/>
  <c r="K88" i="2"/>
  <c r="P88" i="2" s="1"/>
  <c r="K87" i="2"/>
  <c r="K86" i="2"/>
  <c r="P86" i="2" s="1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P62" i="2" s="1"/>
  <c r="K61" i="2"/>
  <c r="K60" i="2"/>
  <c r="P60" i="2" s="1"/>
  <c r="K59" i="2"/>
  <c r="K58" i="2"/>
  <c r="K57" i="2"/>
  <c r="K56" i="2"/>
  <c r="K55" i="2"/>
  <c r="K51" i="2"/>
  <c r="K50" i="2"/>
  <c r="K49" i="2"/>
  <c r="P49" i="2" s="1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P32" i="2" s="1"/>
  <c r="K31" i="2"/>
  <c r="K30" i="2"/>
  <c r="K29" i="2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1" i="3"/>
  <c r="K140" i="3"/>
  <c r="K139" i="3"/>
  <c r="K138" i="3"/>
  <c r="P138" i="3" s="1"/>
  <c r="K137" i="3"/>
  <c r="P137" i="3" s="1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P110" i="3" s="1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0" i="3"/>
  <c r="K19" i="3"/>
  <c r="K18" i="3"/>
  <c r="K17" i="3"/>
  <c r="K21" i="3" s="1"/>
  <c r="K13" i="3"/>
  <c r="K12" i="3"/>
  <c r="K11" i="3"/>
  <c r="K8" i="3"/>
  <c r="J14" i="3"/>
  <c r="I14" i="3"/>
  <c r="H14" i="3"/>
  <c r="G14" i="3"/>
  <c r="F14" i="3"/>
  <c r="J21" i="3"/>
  <c r="I21" i="3"/>
  <c r="H21" i="3"/>
  <c r="H23" i="3" s="1"/>
  <c r="G21" i="3"/>
  <c r="F21" i="3"/>
  <c r="F23" i="3" s="1"/>
  <c r="J52" i="3"/>
  <c r="I52" i="3"/>
  <c r="H52" i="3"/>
  <c r="G52" i="3"/>
  <c r="F52" i="3"/>
  <c r="J142" i="3"/>
  <c r="I142" i="3"/>
  <c r="H142" i="3"/>
  <c r="G142" i="3"/>
  <c r="F142" i="3"/>
  <c r="J160" i="3"/>
  <c r="I160" i="3"/>
  <c r="H160" i="3"/>
  <c r="G160" i="3"/>
  <c r="F160" i="3"/>
  <c r="J14" i="4"/>
  <c r="I14" i="4"/>
  <c r="H14" i="4"/>
  <c r="G14" i="4"/>
  <c r="F14" i="4"/>
  <c r="J21" i="4"/>
  <c r="I21" i="4"/>
  <c r="H21" i="4"/>
  <c r="G21" i="4"/>
  <c r="F21" i="4"/>
  <c r="J52" i="4"/>
  <c r="I52" i="4"/>
  <c r="H52" i="4"/>
  <c r="G52" i="4"/>
  <c r="F52" i="4"/>
  <c r="J142" i="4"/>
  <c r="I142" i="4"/>
  <c r="H142" i="4"/>
  <c r="G142" i="4"/>
  <c r="F142" i="4"/>
  <c r="J160" i="4"/>
  <c r="I160" i="4"/>
  <c r="H160" i="4"/>
  <c r="G160" i="4"/>
  <c r="F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0" i="4"/>
  <c r="K19" i="4"/>
  <c r="K18" i="4"/>
  <c r="K17" i="4"/>
  <c r="K13" i="4"/>
  <c r="K12" i="4"/>
  <c r="P12" i="4" s="1"/>
  <c r="K11" i="4"/>
  <c r="K8" i="4"/>
  <c r="J14" i="5"/>
  <c r="I14" i="5"/>
  <c r="H14" i="5"/>
  <c r="G14" i="5"/>
  <c r="F14" i="5"/>
  <c r="J21" i="5"/>
  <c r="I21" i="5"/>
  <c r="H21" i="5"/>
  <c r="G21" i="5"/>
  <c r="F21" i="5"/>
  <c r="J52" i="5"/>
  <c r="I52" i="5"/>
  <c r="H52" i="5"/>
  <c r="G52" i="5"/>
  <c r="F52" i="5"/>
  <c r="J142" i="5"/>
  <c r="I142" i="5"/>
  <c r="H142" i="5"/>
  <c r="G142" i="5"/>
  <c r="F142" i="5"/>
  <c r="G160" i="5"/>
  <c r="H160" i="5"/>
  <c r="I160" i="5"/>
  <c r="J160" i="5"/>
  <c r="F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1" i="5"/>
  <c r="K140" i="5"/>
  <c r="K139" i="5"/>
  <c r="K138" i="5"/>
  <c r="K137" i="5"/>
  <c r="P137" i="5" s="1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0" i="5"/>
  <c r="K19" i="5"/>
  <c r="K18" i="5"/>
  <c r="K17" i="5"/>
  <c r="K13" i="5"/>
  <c r="K12" i="5"/>
  <c r="K11" i="5"/>
  <c r="K8" i="5"/>
  <c r="G14" i="6"/>
  <c r="H14" i="6"/>
  <c r="I14" i="6"/>
  <c r="J14" i="6"/>
  <c r="G21" i="6"/>
  <c r="H21" i="6"/>
  <c r="I21" i="6"/>
  <c r="J21" i="6"/>
  <c r="F14" i="6"/>
  <c r="F21" i="6"/>
  <c r="J52" i="6"/>
  <c r="I52" i="6"/>
  <c r="H52" i="6"/>
  <c r="G52" i="6"/>
  <c r="F52" i="6"/>
  <c r="J142" i="6"/>
  <c r="I142" i="6"/>
  <c r="H142" i="6"/>
  <c r="G142" i="6"/>
  <c r="F142" i="6"/>
  <c r="J160" i="6"/>
  <c r="I160" i="6"/>
  <c r="H160" i="6"/>
  <c r="G160" i="6"/>
  <c r="F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0" i="6"/>
  <c r="P20" i="6" s="1"/>
  <c r="K19" i="6"/>
  <c r="K18" i="6"/>
  <c r="K17" i="6"/>
  <c r="P17" i="6" s="1"/>
  <c r="K13" i="6"/>
  <c r="P13" i="6" s="1"/>
  <c r="K12" i="6"/>
  <c r="K11" i="6"/>
  <c r="K8" i="6"/>
  <c r="G14" i="7"/>
  <c r="H14" i="7"/>
  <c r="I14" i="7"/>
  <c r="J14" i="7"/>
  <c r="F14" i="7"/>
  <c r="G21" i="7"/>
  <c r="H21" i="7"/>
  <c r="I21" i="7"/>
  <c r="J21" i="7"/>
  <c r="F21" i="7"/>
  <c r="J52" i="7"/>
  <c r="I52" i="7"/>
  <c r="H52" i="7"/>
  <c r="G52" i="7"/>
  <c r="F52" i="7"/>
  <c r="J142" i="7"/>
  <c r="I142" i="7"/>
  <c r="H142" i="7"/>
  <c r="G142" i="7"/>
  <c r="F142" i="7"/>
  <c r="J160" i="7"/>
  <c r="I160" i="7"/>
  <c r="H160" i="7"/>
  <c r="G160" i="7"/>
  <c r="F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P116" i="7" s="1"/>
  <c r="K115" i="7"/>
  <c r="K114" i="7"/>
  <c r="K113" i="7"/>
  <c r="P113" i="7" s="1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0" i="7"/>
  <c r="K19" i="7"/>
  <c r="K18" i="7"/>
  <c r="K17" i="7"/>
  <c r="K13" i="7"/>
  <c r="K12" i="7"/>
  <c r="K11" i="7"/>
  <c r="O4" i="7"/>
  <c r="O4" i="6"/>
  <c r="O4" i="5"/>
  <c r="O4" i="4"/>
  <c r="O4" i="3"/>
  <c r="O4" i="2"/>
  <c r="O44" i="1" l="1"/>
  <c r="O61" i="1"/>
  <c r="O75" i="1"/>
  <c r="O89" i="1"/>
  <c r="O103" i="1"/>
  <c r="O117" i="1"/>
  <c r="O131" i="1"/>
  <c r="O148" i="1"/>
  <c r="O152" i="1"/>
  <c r="K14" i="6"/>
  <c r="J23" i="6"/>
  <c r="L21" i="1"/>
  <c r="K14" i="7"/>
  <c r="M23" i="7"/>
  <c r="P77" i="7"/>
  <c r="P133" i="7"/>
  <c r="P47" i="7"/>
  <c r="P138" i="7"/>
  <c r="P79" i="7"/>
  <c r="K14" i="5"/>
  <c r="H23" i="5"/>
  <c r="P112" i="5"/>
  <c r="P102" i="5"/>
  <c r="P139" i="4"/>
  <c r="P56" i="4"/>
  <c r="P84" i="4"/>
  <c r="P112" i="4"/>
  <c r="P30" i="4"/>
  <c r="P148" i="4"/>
  <c r="P57" i="4"/>
  <c r="P31" i="4"/>
  <c r="P137" i="4"/>
  <c r="K14" i="4"/>
  <c r="P50" i="4"/>
  <c r="P138" i="4"/>
  <c r="P68" i="4"/>
  <c r="P57" i="2"/>
  <c r="P122" i="3"/>
  <c r="P31" i="3"/>
  <c r="P32" i="3"/>
  <c r="P33" i="3"/>
  <c r="P34" i="3"/>
  <c r="P124" i="3"/>
  <c r="P30" i="2"/>
  <c r="P61" i="2"/>
  <c r="P117" i="2"/>
  <c r="P124" i="2"/>
  <c r="P55" i="2"/>
  <c r="P56" i="2"/>
  <c r="O14" i="2"/>
  <c r="O23" i="2" s="1"/>
  <c r="O21" i="7"/>
  <c r="P21" i="7" s="1"/>
  <c r="P81" i="4"/>
  <c r="P109" i="4"/>
  <c r="M162" i="6"/>
  <c r="M166" i="6" s="1"/>
  <c r="P46" i="5"/>
  <c r="P82" i="4"/>
  <c r="P83" i="4"/>
  <c r="P51" i="3"/>
  <c r="P139" i="3"/>
  <c r="P33" i="2"/>
  <c r="P122" i="7"/>
  <c r="G23" i="6"/>
  <c r="F23" i="6"/>
  <c r="H23" i="6"/>
  <c r="P124" i="4"/>
  <c r="P109" i="3"/>
  <c r="P70" i="3"/>
  <c r="P137" i="6"/>
  <c r="P139" i="5"/>
  <c r="P138" i="5"/>
  <c r="P113" i="2"/>
  <c r="P122" i="2"/>
  <c r="P114" i="7"/>
  <c r="P76" i="5"/>
  <c r="P122" i="5"/>
  <c r="P17" i="5"/>
  <c r="P85" i="4"/>
  <c r="P113" i="4"/>
  <c r="P75" i="4"/>
  <c r="P43" i="3"/>
  <c r="P97" i="3"/>
  <c r="P49" i="3"/>
  <c r="P145" i="2"/>
  <c r="P78" i="2"/>
  <c r="M162" i="2"/>
  <c r="M166" i="2" s="1"/>
  <c r="G162" i="7"/>
  <c r="I162" i="7"/>
  <c r="I23" i="7"/>
  <c r="F23" i="7"/>
  <c r="K21" i="7"/>
  <c r="K23" i="7" s="1"/>
  <c r="I162" i="6"/>
  <c r="P77" i="6"/>
  <c r="P133" i="6"/>
  <c r="P78" i="6"/>
  <c r="P79" i="6"/>
  <c r="P135" i="6"/>
  <c r="P80" i="6"/>
  <c r="P111" i="6"/>
  <c r="P139" i="6"/>
  <c r="P112" i="6"/>
  <c r="P113" i="6"/>
  <c r="P47" i="6"/>
  <c r="P49" i="6"/>
  <c r="P48" i="6"/>
  <c r="P151" i="5"/>
  <c r="P152" i="5"/>
  <c r="P113" i="5"/>
  <c r="P114" i="5"/>
  <c r="P124" i="5"/>
  <c r="P77" i="5"/>
  <c r="P78" i="5"/>
  <c r="P70" i="5"/>
  <c r="P79" i="5"/>
  <c r="P80" i="5"/>
  <c r="P109" i="5"/>
  <c r="P110" i="5"/>
  <c r="P51" i="5"/>
  <c r="P47" i="5"/>
  <c r="P48" i="5"/>
  <c r="G23" i="5"/>
  <c r="I23" i="5"/>
  <c r="J23" i="5"/>
  <c r="F23" i="5"/>
  <c r="P18" i="5"/>
  <c r="P19" i="5"/>
  <c r="P61" i="4"/>
  <c r="P89" i="4"/>
  <c r="P117" i="4"/>
  <c r="P62" i="4"/>
  <c r="P90" i="4"/>
  <c r="G162" i="4"/>
  <c r="J162" i="4"/>
  <c r="P74" i="4"/>
  <c r="P102" i="4"/>
  <c r="P130" i="4"/>
  <c r="P32" i="4"/>
  <c r="K21" i="4"/>
  <c r="I23" i="4"/>
  <c r="J23" i="4"/>
  <c r="J166" i="4" s="1"/>
  <c r="K111" i="1"/>
  <c r="K139" i="1"/>
  <c r="K68" i="1"/>
  <c r="K96" i="1"/>
  <c r="P77" i="3"/>
  <c r="P133" i="3"/>
  <c r="F162" i="3"/>
  <c r="F166" i="3" s="1"/>
  <c r="P31" i="2"/>
  <c r="P34" i="2"/>
  <c r="K37" i="1"/>
  <c r="P8" i="3"/>
  <c r="P152" i="7"/>
  <c r="L23" i="7"/>
  <c r="P148" i="7"/>
  <c r="P150" i="7"/>
  <c r="P151" i="7"/>
  <c r="P154" i="7"/>
  <c r="P137" i="7"/>
  <c r="P139" i="7"/>
  <c r="P140" i="7"/>
  <c r="P109" i="7"/>
  <c r="P80" i="7"/>
  <c r="M162" i="7"/>
  <c r="M166" i="7" s="1"/>
  <c r="P49" i="7"/>
  <c r="P34" i="7"/>
  <c r="P71" i="6"/>
  <c r="P31" i="6"/>
  <c r="P32" i="6"/>
  <c r="P33" i="6"/>
  <c r="P99" i="6"/>
  <c r="P102" i="6"/>
  <c r="P110" i="6"/>
  <c r="P138" i="6"/>
  <c r="P156" i="5"/>
  <c r="M162" i="5"/>
  <c r="L162" i="5"/>
  <c r="P39" i="5"/>
  <c r="P43" i="4"/>
  <c r="M162" i="4"/>
  <c r="M166" i="4" s="1"/>
  <c r="P45" i="4"/>
  <c r="P150" i="3"/>
  <c r="P113" i="3"/>
  <c r="P89" i="3"/>
  <c r="P62" i="3"/>
  <c r="O14" i="3"/>
  <c r="M162" i="3"/>
  <c r="M14" i="1"/>
  <c r="M142" i="1"/>
  <c r="P47" i="2"/>
  <c r="M52" i="1"/>
  <c r="F162" i="4"/>
  <c r="G162" i="3"/>
  <c r="P18" i="6"/>
  <c r="P8" i="5"/>
  <c r="P8" i="4"/>
  <c r="P71" i="5"/>
  <c r="P99" i="5"/>
  <c r="K100" i="1"/>
  <c r="P45" i="5"/>
  <c r="K52" i="6"/>
  <c r="I23" i="6"/>
  <c r="K52" i="7"/>
  <c r="K142" i="4"/>
  <c r="P11" i="6"/>
  <c r="P51" i="6"/>
  <c r="P133" i="5"/>
  <c r="P44" i="5"/>
  <c r="P49" i="5"/>
  <c r="H162" i="7"/>
  <c r="K160" i="7"/>
  <c r="P151" i="3"/>
  <c r="H162" i="3"/>
  <c r="H166" i="3" s="1"/>
  <c r="P78" i="7"/>
  <c r="O21" i="6"/>
  <c r="P135" i="5"/>
  <c r="P37" i="2"/>
  <c r="K142" i="7"/>
  <c r="P43" i="5"/>
  <c r="K160" i="4"/>
  <c r="P48" i="7"/>
  <c r="P135" i="7"/>
  <c r="P41" i="5"/>
  <c r="I162" i="4"/>
  <c r="F162" i="5"/>
  <c r="F166" i="5" s="1"/>
  <c r="I162" i="3"/>
  <c r="J162" i="3"/>
  <c r="J162" i="2"/>
  <c r="J166" i="2" s="1"/>
  <c r="P8" i="7"/>
  <c r="P19" i="6"/>
  <c r="O160" i="6"/>
  <c r="P11" i="7"/>
  <c r="P51" i="7"/>
  <c r="P110" i="7"/>
  <c r="P60" i="6"/>
  <c r="P88" i="6"/>
  <c r="P111" i="5"/>
  <c r="J23" i="7"/>
  <c r="P76" i="6"/>
  <c r="P104" i="6"/>
  <c r="K21" i="5"/>
  <c r="K23" i="5" s="1"/>
  <c r="G162" i="5"/>
  <c r="G166" i="5" s="1"/>
  <c r="P13" i="7"/>
  <c r="P111" i="7"/>
  <c r="P30" i="6"/>
  <c r="P61" i="6"/>
  <c r="P89" i="6"/>
  <c r="P117" i="6"/>
  <c r="P148" i="6"/>
  <c r="P20" i="5"/>
  <c r="P44" i="4"/>
  <c r="P47" i="3"/>
  <c r="P78" i="3"/>
  <c r="I162" i="2"/>
  <c r="I166" i="2" s="1"/>
  <c r="P17" i="7"/>
  <c r="P62" i="6"/>
  <c r="P90" i="6"/>
  <c r="P11" i="5"/>
  <c r="P76" i="4"/>
  <c r="P155" i="3"/>
  <c r="I166" i="7"/>
  <c r="P125" i="7"/>
  <c r="H23" i="7"/>
  <c r="F162" i="6"/>
  <c r="F166" i="6" s="1"/>
  <c r="I162" i="5"/>
  <c r="P33" i="4"/>
  <c r="P64" i="4"/>
  <c r="P18" i="7"/>
  <c r="P46" i="4"/>
  <c r="P77" i="4"/>
  <c r="P133" i="4"/>
  <c r="P65" i="4"/>
  <c r="F23" i="4"/>
  <c r="P19" i="7"/>
  <c r="P13" i="5"/>
  <c r="P47" i="4"/>
  <c r="P78" i="4"/>
  <c r="K160" i="6"/>
  <c r="K142" i="5"/>
  <c r="H162" i="5"/>
  <c r="H166" i="5" s="1"/>
  <c r="I166" i="4"/>
  <c r="P38" i="7"/>
  <c r="P39" i="7"/>
  <c r="P70" i="7"/>
  <c r="G23" i="7"/>
  <c r="P40" i="7"/>
  <c r="P8" i="6"/>
  <c r="H162" i="6"/>
  <c r="K52" i="5"/>
  <c r="P66" i="4"/>
  <c r="P122" i="4"/>
  <c r="G23" i="4"/>
  <c r="P20" i="7"/>
  <c r="P87" i="7"/>
  <c r="P115" i="7"/>
  <c r="P34" i="6"/>
  <c r="P48" i="4"/>
  <c r="P79" i="4"/>
  <c r="P135" i="4"/>
  <c r="P77" i="2"/>
  <c r="J162" i="5"/>
  <c r="J166" i="5" s="1"/>
  <c r="H23" i="4"/>
  <c r="P60" i="7"/>
  <c r="P88" i="7"/>
  <c r="P49" i="4"/>
  <c r="P80" i="4"/>
  <c r="N23" i="3"/>
  <c r="K88" i="1"/>
  <c r="P37" i="7"/>
  <c r="P109" i="6"/>
  <c r="P30" i="7"/>
  <c r="P61" i="7"/>
  <c r="P117" i="7"/>
  <c r="P33" i="5"/>
  <c r="M23" i="3"/>
  <c r="P48" i="2"/>
  <c r="P79" i="2"/>
  <c r="P135" i="2"/>
  <c r="P124" i="7"/>
  <c r="P41" i="7"/>
  <c r="P102" i="7"/>
  <c r="K142" i="6"/>
  <c r="P46" i="3"/>
  <c r="P31" i="7"/>
  <c r="P62" i="7"/>
  <c r="P90" i="7"/>
  <c r="P34" i="5"/>
  <c r="P80" i="2"/>
  <c r="K21" i="6"/>
  <c r="K23" i="6" s="1"/>
  <c r="G162" i="6"/>
  <c r="G166" i="6" s="1"/>
  <c r="P32" i="7"/>
  <c r="P86" i="3"/>
  <c r="P109" i="2"/>
  <c r="P33" i="7"/>
  <c r="O21" i="4"/>
  <c r="P21" i="4" s="1"/>
  <c r="P20" i="3"/>
  <c r="P51" i="2"/>
  <c r="J162" i="6"/>
  <c r="J166" i="6" s="1"/>
  <c r="K13" i="1"/>
  <c r="K20" i="1"/>
  <c r="K59" i="1"/>
  <c r="K87" i="1"/>
  <c r="K115" i="1"/>
  <c r="P37" i="5"/>
  <c r="P60" i="3"/>
  <c r="P88" i="3"/>
  <c r="H162" i="4"/>
  <c r="P46" i="7"/>
  <c r="J162" i="7"/>
  <c r="F162" i="7"/>
  <c r="F166" i="7" s="1"/>
  <c r="K14" i="3"/>
  <c r="G14" i="1"/>
  <c r="K45" i="1"/>
  <c r="K76" i="1"/>
  <c r="K104" i="1"/>
  <c r="K132" i="1"/>
  <c r="P38" i="5"/>
  <c r="M23" i="5"/>
  <c r="P30" i="3"/>
  <c r="P61" i="3"/>
  <c r="P117" i="3"/>
  <c r="P148" i="3"/>
  <c r="O142" i="6"/>
  <c r="K34" i="1"/>
  <c r="K65" i="1"/>
  <c r="K93" i="1"/>
  <c r="P90" i="3"/>
  <c r="O21" i="2"/>
  <c r="P40" i="5"/>
  <c r="P60" i="4"/>
  <c r="P88" i="4"/>
  <c r="L162" i="4"/>
  <c r="L166" i="4" s="1"/>
  <c r="P155" i="7"/>
  <c r="P156" i="7"/>
  <c r="O160" i="7"/>
  <c r="P131" i="7"/>
  <c r="P99" i="7"/>
  <c r="P97" i="7"/>
  <c r="P130" i="7"/>
  <c r="P128" i="7"/>
  <c r="P129" i="7"/>
  <c r="P101" i="7"/>
  <c r="P76" i="7"/>
  <c r="P72" i="7"/>
  <c r="L162" i="7"/>
  <c r="O52" i="7"/>
  <c r="P43" i="7"/>
  <c r="P45" i="7"/>
  <c r="P42" i="7"/>
  <c r="P44" i="7"/>
  <c r="O14" i="7"/>
  <c r="P156" i="6"/>
  <c r="P131" i="6"/>
  <c r="P130" i="6"/>
  <c r="P128" i="6"/>
  <c r="P129" i="6"/>
  <c r="P101" i="6"/>
  <c r="P72" i="6"/>
  <c r="L162" i="6"/>
  <c r="L166" i="6" s="1"/>
  <c r="P29" i="6"/>
  <c r="L14" i="1"/>
  <c r="P145" i="5"/>
  <c r="P155" i="5"/>
  <c r="P148" i="5"/>
  <c r="O160" i="5"/>
  <c r="P130" i="5"/>
  <c r="P131" i="5"/>
  <c r="O142" i="5"/>
  <c r="P42" i="5"/>
  <c r="O52" i="5"/>
  <c r="O21" i="5"/>
  <c r="O14" i="5"/>
  <c r="P14" i="5" s="1"/>
  <c r="L23" i="5"/>
  <c r="P156" i="4"/>
  <c r="P110" i="4"/>
  <c r="P155" i="4"/>
  <c r="O160" i="4"/>
  <c r="P131" i="4"/>
  <c r="O142" i="4"/>
  <c r="P111" i="4"/>
  <c r="O52" i="4"/>
  <c r="P51" i="4"/>
  <c r="P20" i="4"/>
  <c r="P19" i="4"/>
  <c r="P18" i="4"/>
  <c r="P13" i="4"/>
  <c r="O14" i="4"/>
  <c r="P156" i="3"/>
  <c r="P154" i="3"/>
  <c r="P152" i="3"/>
  <c r="P125" i="3"/>
  <c r="P80" i="3"/>
  <c r="P79" i="3"/>
  <c r="N162" i="3"/>
  <c r="P13" i="3"/>
  <c r="M21" i="1"/>
  <c r="P17" i="3"/>
  <c r="P135" i="3"/>
  <c r="P111" i="3"/>
  <c r="P76" i="3"/>
  <c r="O142" i="3"/>
  <c r="O162" i="3" s="1"/>
  <c r="L162" i="3"/>
  <c r="P48" i="3"/>
  <c r="P44" i="3"/>
  <c r="P45" i="3"/>
  <c r="O52" i="3"/>
  <c r="P19" i="3"/>
  <c r="P18" i="3"/>
  <c r="O21" i="3"/>
  <c r="L23" i="3"/>
  <c r="P156" i="2"/>
  <c r="P110" i="2"/>
  <c r="N162" i="2"/>
  <c r="N166" i="2" s="1"/>
  <c r="L162" i="2"/>
  <c r="L166" i="2" s="1"/>
  <c r="O160" i="2"/>
  <c r="P111" i="2"/>
  <c r="L142" i="1"/>
  <c r="O142" i="2"/>
  <c r="L52" i="1"/>
  <c r="P114" i="2"/>
  <c r="P59" i="2"/>
  <c r="P87" i="2"/>
  <c r="P115" i="2"/>
  <c r="P125" i="2"/>
  <c r="P70" i="2"/>
  <c r="P71" i="2"/>
  <c r="P99" i="2"/>
  <c r="P72" i="2"/>
  <c r="P128" i="2"/>
  <c r="P101" i="2"/>
  <c r="P129" i="2"/>
  <c r="P130" i="2"/>
  <c r="P131" i="2"/>
  <c r="P76" i="2"/>
  <c r="O52" i="2"/>
  <c r="P29" i="2"/>
  <c r="P38" i="2"/>
  <c r="P39" i="2"/>
  <c r="P40" i="2"/>
  <c r="P41" i="2"/>
  <c r="P42" i="2"/>
  <c r="P43" i="2"/>
  <c r="P44" i="2"/>
  <c r="P45" i="2"/>
  <c r="P46" i="2"/>
  <c r="P114" i="3"/>
  <c r="P87" i="3"/>
  <c r="P115" i="3"/>
  <c r="P71" i="3"/>
  <c r="P72" i="3"/>
  <c r="P128" i="3"/>
  <c r="P101" i="3"/>
  <c r="P102" i="3"/>
  <c r="P130" i="3"/>
  <c r="P99" i="3"/>
  <c r="P129" i="3"/>
  <c r="P131" i="3"/>
  <c r="P37" i="3"/>
  <c r="P40" i="3"/>
  <c r="P38" i="3"/>
  <c r="P39" i="3"/>
  <c r="P41" i="3"/>
  <c r="P42" i="3"/>
  <c r="P151" i="4"/>
  <c r="P152" i="4"/>
  <c r="P69" i="4"/>
  <c r="P97" i="4"/>
  <c r="P125" i="4"/>
  <c r="P70" i="4"/>
  <c r="P71" i="4"/>
  <c r="P99" i="4"/>
  <c r="P72" i="4"/>
  <c r="P128" i="4"/>
  <c r="P73" i="4"/>
  <c r="P101" i="4"/>
  <c r="P129" i="4"/>
  <c r="P58" i="4"/>
  <c r="P86" i="4"/>
  <c r="P114" i="4"/>
  <c r="P59" i="4"/>
  <c r="P87" i="4"/>
  <c r="P115" i="4"/>
  <c r="P67" i="4"/>
  <c r="P95" i="4"/>
  <c r="P35" i="4"/>
  <c r="P38" i="4"/>
  <c r="P29" i="4"/>
  <c r="P34" i="4"/>
  <c r="P36" i="4"/>
  <c r="P39" i="4"/>
  <c r="P40" i="4"/>
  <c r="P37" i="4"/>
  <c r="P41" i="4"/>
  <c r="P42" i="4"/>
  <c r="P30" i="5"/>
  <c r="P31" i="5"/>
  <c r="P32" i="5"/>
  <c r="P29" i="5"/>
  <c r="P97" i="5"/>
  <c r="P125" i="5"/>
  <c r="P72" i="5"/>
  <c r="P128" i="5"/>
  <c r="P101" i="5"/>
  <c r="P129" i="5"/>
  <c r="P87" i="5"/>
  <c r="P115" i="5"/>
  <c r="P60" i="5"/>
  <c r="P88" i="5"/>
  <c r="P61" i="5"/>
  <c r="P89" i="5"/>
  <c r="P117" i="5"/>
  <c r="P62" i="5"/>
  <c r="P90" i="5"/>
  <c r="P152" i="6"/>
  <c r="P154" i="6"/>
  <c r="P155" i="6"/>
  <c r="P115" i="6"/>
  <c r="P122" i="6"/>
  <c r="P114" i="6"/>
  <c r="P87" i="6"/>
  <c r="P124" i="6"/>
  <c r="P97" i="6"/>
  <c r="P125" i="6"/>
  <c r="P70" i="6"/>
  <c r="P40" i="6"/>
  <c r="P44" i="6"/>
  <c r="P45" i="6"/>
  <c r="P39" i="6"/>
  <c r="P41" i="6"/>
  <c r="P42" i="6"/>
  <c r="P43" i="6"/>
  <c r="P46" i="6"/>
  <c r="P37" i="6"/>
  <c r="P38" i="6"/>
  <c r="P71" i="7"/>
  <c r="O142" i="7"/>
  <c r="P29" i="7"/>
  <c r="K121" i="1"/>
  <c r="K152" i="1"/>
  <c r="K51" i="1"/>
  <c r="K82" i="1"/>
  <c r="P145" i="7"/>
  <c r="K32" i="1"/>
  <c r="K63" i="1"/>
  <c r="K91" i="1"/>
  <c r="K119" i="1"/>
  <c r="K150" i="1"/>
  <c r="K124" i="1"/>
  <c r="K155" i="1"/>
  <c r="K18" i="1"/>
  <c r="K85" i="1"/>
  <c r="K113" i="1"/>
  <c r="K141" i="1"/>
  <c r="K43" i="1"/>
  <c r="K74" i="1"/>
  <c r="K102" i="1"/>
  <c r="K130" i="1"/>
  <c r="K8" i="1"/>
  <c r="K110" i="1"/>
  <c r="K138" i="1"/>
  <c r="K40" i="1"/>
  <c r="K71" i="1"/>
  <c r="K41" i="1"/>
  <c r="K72" i="1"/>
  <c r="K128" i="1"/>
  <c r="K159" i="1"/>
  <c r="I166" i="5"/>
  <c r="K99" i="1"/>
  <c r="K127" i="1"/>
  <c r="K158" i="1"/>
  <c r="K29" i="1"/>
  <c r="K60" i="1"/>
  <c r="K160" i="5"/>
  <c r="K112" i="1"/>
  <c r="K140" i="1"/>
  <c r="K84" i="1"/>
  <c r="P55" i="4"/>
  <c r="K52" i="4"/>
  <c r="K50" i="1"/>
  <c r="K81" i="1"/>
  <c r="K109" i="1"/>
  <c r="K137" i="1"/>
  <c r="I160" i="1"/>
  <c r="K12" i="1"/>
  <c r="K39" i="1"/>
  <c r="K70" i="1"/>
  <c r="K98" i="1"/>
  <c r="K126" i="1"/>
  <c r="K157" i="1"/>
  <c r="P145" i="4"/>
  <c r="P17" i="4"/>
  <c r="P11" i="4"/>
  <c r="K66" i="1"/>
  <c r="K35" i="1"/>
  <c r="K47" i="1"/>
  <c r="K78" i="1"/>
  <c r="K106" i="1"/>
  <c r="K134" i="1"/>
  <c r="K55" i="1"/>
  <c r="K83" i="1"/>
  <c r="K94" i="1"/>
  <c r="K116" i="1"/>
  <c r="K122" i="1"/>
  <c r="K153" i="1"/>
  <c r="K17" i="1"/>
  <c r="K56" i="1"/>
  <c r="K42" i="1"/>
  <c r="K73" i="1"/>
  <c r="K101" i="1"/>
  <c r="K129" i="1"/>
  <c r="K31" i="1"/>
  <c r="K62" i="1"/>
  <c r="K90" i="1"/>
  <c r="K118" i="1"/>
  <c r="K149" i="1"/>
  <c r="K48" i="1"/>
  <c r="K79" i="1"/>
  <c r="K107" i="1"/>
  <c r="K135" i="1"/>
  <c r="G160" i="1"/>
  <c r="H14" i="1"/>
  <c r="I14" i="1"/>
  <c r="J14" i="1"/>
  <c r="K147" i="1"/>
  <c r="K142" i="3"/>
  <c r="K160" i="3"/>
  <c r="K67" i="1"/>
  <c r="J160" i="1"/>
  <c r="K61" i="1"/>
  <c r="K117" i="1"/>
  <c r="K148" i="1"/>
  <c r="K36" i="1"/>
  <c r="K89" i="1"/>
  <c r="K123" i="1"/>
  <c r="F21" i="1"/>
  <c r="J23" i="3"/>
  <c r="H52" i="1"/>
  <c r="F142" i="1"/>
  <c r="K57" i="1"/>
  <c r="I52" i="1"/>
  <c r="F160" i="1"/>
  <c r="G23" i="3"/>
  <c r="J52" i="1"/>
  <c r="G142" i="1"/>
  <c r="K95" i="1"/>
  <c r="K154" i="1"/>
  <c r="I23" i="3"/>
  <c r="G52" i="1"/>
  <c r="P11" i="3"/>
  <c r="K52" i="3"/>
  <c r="K46" i="1"/>
  <c r="K77" i="1"/>
  <c r="K105" i="1"/>
  <c r="K133" i="1"/>
  <c r="P29" i="3"/>
  <c r="K19" i="1"/>
  <c r="K33" i="1"/>
  <c r="K38" i="1"/>
  <c r="K58" i="1"/>
  <c r="K64" i="1"/>
  <c r="K69" i="1"/>
  <c r="K86" i="1"/>
  <c r="K92" i="1"/>
  <c r="K97" i="1"/>
  <c r="K114" i="1"/>
  <c r="K120" i="1"/>
  <c r="K125" i="1"/>
  <c r="H160" i="1"/>
  <c r="K151" i="1"/>
  <c r="K156" i="1"/>
  <c r="K11" i="1"/>
  <c r="F14" i="1"/>
  <c r="K145" i="1"/>
  <c r="K146" i="1"/>
  <c r="K30" i="1"/>
  <c r="F52" i="1"/>
  <c r="F162" i="2"/>
  <c r="F166" i="2" s="1"/>
  <c r="H162" i="2"/>
  <c r="H166" i="2" s="1"/>
  <c r="K52" i="2"/>
  <c r="H21" i="1"/>
  <c r="H142" i="1"/>
  <c r="I21" i="1"/>
  <c r="J142" i="1"/>
  <c r="K49" i="1"/>
  <c r="K80" i="1"/>
  <c r="K108" i="1"/>
  <c r="K136" i="1"/>
  <c r="K142" i="2"/>
  <c r="G162" i="2"/>
  <c r="G166" i="2" s="1"/>
  <c r="G21" i="1"/>
  <c r="I142" i="1"/>
  <c r="J21" i="1"/>
  <c r="L160" i="1"/>
  <c r="M160" i="1"/>
  <c r="K44" i="1"/>
  <c r="K75" i="1"/>
  <c r="K103" i="1"/>
  <c r="K131" i="1"/>
  <c r="K160" i="2"/>
  <c r="J166" i="7" l="1"/>
  <c r="I166" i="6"/>
  <c r="P142" i="5"/>
  <c r="K23" i="4"/>
  <c r="I166" i="3"/>
  <c r="P21" i="3"/>
  <c r="O23" i="3"/>
  <c r="O166" i="3" s="1"/>
  <c r="O162" i="2"/>
  <c r="O166" i="2" s="1"/>
  <c r="G166" i="7"/>
  <c r="H166" i="6"/>
  <c r="P160" i="6"/>
  <c r="N14" i="1"/>
  <c r="G166" i="4"/>
  <c r="P14" i="4"/>
  <c r="N142" i="1"/>
  <c r="F166" i="4"/>
  <c r="N52" i="1"/>
  <c r="N160" i="1"/>
  <c r="N162" i="1"/>
  <c r="N21" i="1"/>
  <c r="N23" i="1" s="1"/>
  <c r="P59" i="1"/>
  <c r="P37" i="1"/>
  <c r="O160" i="1"/>
  <c r="P72" i="1"/>
  <c r="P20" i="1"/>
  <c r="P14" i="7"/>
  <c r="O23" i="7"/>
  <c r="P23" i="7" s="1"/>
  <c r="P29" i="1"/>
  <c r="P160" i="3"/>
  <c r="L166" i="3"/>
  <c r="L166" i="7"/>
  <c r="P130" i="1"/>
  <c r="M166" i="5"/>
  <c r="L166" i="5"/>
  <c r="P39" i="1"/>
  <c r="K162" i="7"/>
  <c r="K169" i="7" s="1"/>
  <c r="P52" i="7"/>
  <c r="P142" i="6"/>
  <c r="K162" i="6"/>
  <c r="K169" i="6" s="1"/>
  <c r="P52" i="6"/>
  <c r="P21" i="6"/>
  <c r="P115" i="1"/>
  <c r="K162" i="5"/>
  <c r="K169" i="5" s="1"/>
  <c r="P52" i="5"/>
  <c r="P8" i="1"/>
  <c r="P152" i="1"/>
  <c r="P139" i="1"/>
  <c r="P111" i="1"/>
  <c r="P88" i="1"/>
  <c r="P34" i="1"/>
  <c r="K162" i="3"/>
  <c r="K169" i="3" s="1"/>
  <c r="G166" i="3"/>
  <c r="P19" i="1"/>
  <c r="P104" i="1"/>
  <c r="P77" i="1"/>
  <c r="P45" i="1"/>
  <c r="P46" i="1"/>
  <c r="P90" i="1"/>
  <c r="P102" i="1"/>
  <c r="M23" i="1"/>
  <c r="P43" i="1"/>
  <c r="N166" i="3"/>
  <c r="N167" i="1" s="1"/>
  <c r="P117" i="1"/>
  <c r="M162" i="1"/>
  <c r="M166" i="3"/>
  <c r="P14" i="3"/>
  <c r="H166" i="7"/>
  <c r="I167" i="1"/>
  <c r="P142" i="4"/>
  <c r="J166" i="3"/>
  <c r="J167" i="1" s="1"/>
  <c r="P13" i="1"/>
  <c r="P41" i="1"/>
  <c r="P160" i="4"/>
  <c r="P160" i="7"/>
  <c r="P31" i="1"/>
  <c r="P21" i="5"/>
  <c r="P76" i="1"/>
  <c r="K23" i="3"/>
  <c r="F167" i="1"/>
  <c r="P113" i="1"/>
  <c r="P18" i="1"/>
  <c r="P160" i="5"/>
  <c r="P146" i="1"/>
  <c r="P60" i="1"/>
  <c r="P142" i="7"/>
  <c r="O162" i="6"/>
  <c r="P51" i="1"/>
  <c r="P87" i="1"/>
  <c r="G23" i="1"/>
  <c r="P122" i="1"/>
  <c r="P128" i="1"/>
  <c r="H166" i="4"/>
  <c r="P129" i="1"/>
  <c r="P133" i="1"/>
  <c r="P42" i="1"/>
  <c r="O23" i="6"/>
  <c r="L23" i="1"/>
  <c r="P14" i="6"/>
  <c r="P101" i="1"/>
  <c r="P30" i="1"/>
  <c r="O162" i="5"/>
  <c r="O23" i="5"/>
  <c r="O23" i="4"/>
  <c r="P23" i="4" s="1"/>
  <c r="O162" i="4"/>
  <c r="P61" i="1"/>
  <c r="P148" i="1"/>
  <c r="P78" i="1"/>
  <c r="P70" i="1"/>
  <c r="P52" i="3"/>
  <c r="P17" i="1"/>
  <c r="P142" i="3"/>
  <c r="P62" i="1"/>
  <c r="P160" i="2"/>
  <c r="P142" i="2"/>
  <c r="L162" i="1"/>
  <c r="O162" i="7"/>
  <c r="I23" i="1"/>
  <c r="P137" i="1"/>
  <c r="P33" i="1"/>
  <c r="P150" i="1"/>
  <c r="P32" i="1"/>
  <c r="J23" i="1"/>
  <c r="P154" i="1"/>
  <c r="P138" i="1"/>
  <c r="I162" i="1"/>
  <c r="P124" i="1"/>
  <c r="P47" i="1"/>
  <c r="H162" i="1"/>
  <c r="P95" i="1"/>
  <c r="P155" i="1"/>
  <c r="P99" i="1"/>
  <c r="P56" i="1"/>
  <c r="P71" i="1"/>
  <c r="P116" i="1"/>
  <c r="P140" i="1"/>
  <c r="P80" i="1"/>
  <c r="P110" i="1"/>
  <c r="P40" i="1"/>
  <c r="F23" i="1"/>
  <c r="K14" i="1"/>
  <c r="P151" i="1"/>
  <c r="P112" i="1"/>
  <c r="P131" i="1"/>
  <c r="P156" i="1"/>
  <c r="P114" i="1"/>
  <c r="H23" i="1"/>
  <c r="P109" i="1"/>
  <c r="P135" i="1"/>
  <c r="P55" i="1"/>
  <c r="K162" i="4"/>
  <c r="K169" i="4" s="1"/>
  <c r="P52" i="4"/>
  <c r="P49" i="1"/>
  <c r="P48" i="1"/>
  <c r="P57" i="1"/>
  <c r="K21" i="1"/>
  <c r="P79" i="1"/>
  <c r="J162" i="1"/>
  <c r="G162" i="1"/>
  <c r="K166" i="4"/>
  <c r="P136" i="1"/>
  <c r="P44" i="1"/>
  <c r="K142" i="1"/>
  <c r="P38" i="1"/>
  <c r="K52" i="1"/>
  <c r="P125" i="1"/>
  <c r="P97" i="1"/>
  <c r="F162" i="1"/>
  <c r="K162" i="2"/>
  <c r="K166" i="2" s="1"/>
  <c r="P52" i="2"/>
  <c r="K160" i="1"/>
  <c r="P145" i="1"/>
  <c r="P11" i="1"/>
  <c r="N166" i="1" l="1"/>
  <c r="N168" i="1" s="1"/>
  <c r="K166" i="5"/>
  <c r="G167" i="1"/>
  <c r="K166" i="7"/>
  <c r="H167" i="1"/>
  <c r="K166" i="3"/>
  <c r="P166" i="3" s="1"/>
  <c r="O166" i="6"/>
  <c r="L167" i="1"/>
  <c r="M167" i="1"/>
  <c r="K166" i="6"/>
  <c r="G166" i="1"/>
  <c r="I166" i="1"/>
  <c r="I168" i="1" s="1"/>
  <c r="M166" i="1"/>
  <c r="H166" i="1"/>
  <c r="H168" i="1" s="1"/>
  <c r="P23" i="3"/>
  <c r="P162" i="4"/>
  <c r="O169" i="4"/>
  <c r="P169" i="4" s="1"/>
  <c r="O169" i="6"/>
  <c r="P169" i="6" s="1"/>
  <c r="P162" i="3"/>
  <c r="O169" i="3"/>
  <c r="P169" i="3" s="1"/>
  <c r="P162" i="6"/>
  <c r="P162" i="5"/>
  <c r="O169" i="5"/>
  <c r="P169" i="5" s="1"/>
  <c r="P162" i="7"/>
  <c r="O169" i="7"/>
  <c r="P169" i="7" s="1"/>
  <c r="P23" i="6"/>
  <c r="L166" i="1"/>
  <c r="O166" i="5"/>
  <c r="P23" i="5"/>
  <c r="O166" i="4"/>
  <c r="P166" i="4" s="1"/>
  <c r="P166" i="2"/>
  <c r="O166" i="7"/>
  <c r="J166" i="1"/>
  <c r="J168" i="1" s="1"/>
  <c r="K23" i="1"/>
  <c r="F166" i="1"/>
  <c r="F168" i="1" s="1"/>
  <c r="K162" i="1"/>
  <c r="P162" i="2"/>
  <c r="O4" i="1"/>
  <c r="P166" i="5" l="1"/>
  <c r="G168" i="1"/>
  <c r="K169" i="1"/>
  <c r="K167" i="1"/>
  <c r="P166" i="7"/>
  <c r="P166" i="6"/>
  <c r="L168" i="1"/>
  <c r="M168" i="1"/>
  <c r="O167" i="1"/>
  <c r="K166" i="1"/>
  <c r="K168" i="1" s="1"/>
  <c r="P160" i="1"/>
  <c r="O52" i="1"/>
  <c r="P52" i="1" s="1"/>
  <c r="O21" i="1"/>
  <c r="P21" i="1" s="1"/>
  <c r="O14" i="1"/>
  <c r="O142" i="1"/>
  <c r="P142" i="1" s="1"/>
  <c r="P14" i="1" l="1"/>
  <c r="O162" i="1"/>
  <c r="O23" i="1"/>
  <c r="O169" i="1" l="1"/>
  <c r="P169" i="1" s="1"/>
  <c r="P23" i="1"/>
  <c r="O166" i="1"/>
  <c r="P166" i="1" s="1"/>
  <c r="P162" i="1"/>
  <c r="O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08B043E8-93D9-4B7C-B3F8-4DD2929F95C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02414DD9-E869-4DE8-B043-D820C10BE406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F3F04C4E-4F73-4A50-AB41-C925C336A16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020B06BF-2468-4411-8F41-C489FB36EAE0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30F94787-319E-4DE0-9586-3685D540238F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A889FA1B-F791-4E45-A56C-F486E2A0A9D6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E62" authorId="0" shapeId="0" xr:uid="{62AA9A91-DD22-4528-93CC-58D6AE6BC115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sharedStrings.xml><?xml version="1.0" encoding="utf-8"?>
<sst xmlns="http://schemas.openxmlformats.org/spreadsheetml/2006/main" count="1315" uniqueCount="180">
  <si>
    <t>PT JAMKRINDO KANWIL SURABAYA</t>
  </si>
  <si>
    <t>LABA RUGI RKA TAHUN 2026</t>
  </si>
  <si>
    <t>URAIAN</t>
  </si>
  <si>
    <t>KORPORAT WILAYAH SURABAYA</t>
  </si>
  <si>
    <t>REALISASI KORPORAT KANWIL SURABAYA</t>
  </si>
  <si>
    <t>%</t>
  </si>
  <si>
    <t>KUR</t>
  </si>
  <si>
    <t>PEN</t>
  </si>
  <si>
    <t>KBG/SURETYSHIP</t>
  </si>
  <si>
    <t>KONSUMTIF</t>
  </si>
  <si>
    <t>PRODUKTIF</t>
  </si>
  <si>
    <t>TOTAL</t>
  </si>
  <si>
    <t>NON KUR</t>
  </si>
  <si>
    <t>X1</t>
  </si>
  <si>
    <t>VOLUME</t>
  </si>
  <si>
    <t>X2</t>
  </si>
  <si>
    <t>PENDAPATAN PENJAMINAN</t>
  </si>
  <si>
    <t>Imbal Jasa Penjaminan Bruto</t>
  </si>
  <si>
    <t>Restitusi penjaminan kredit</t>
  </si>
  <si>
    <t>Premi Penjaminan Ulang</t>
  </si>
  <si>
    <t>Y2</t>
  </si>
  <si>
    <t>IMBAL JASA PENJAMINAN BERSIH</t>
  </si>
  <si>
    <t/>
  </si>
  <si>
    <t>BEBAN KLAIM</t>
  </si>
  <si>
    <t>Beban Klaim</t>
  </si>
  <si>
    <t>Kenaikan (Penurunan) Cadangan Klaim</t>
  </si>
  <si>
    <t>Pendapatan Subrogasi</t>
  </si>
  <si>
    <t>Beban Komisi Netto</t>
  </si>
  <si>
    <t>JUMLAH BEBAN KLAIM</t>
  </si>
  <si>
    <t>PENJAMINAN BERSIH</t>
  </si>
  <si>
    <t>PENDAPATAN INVESTASI BERSIH</t>
  </si>
  <si>
    <t>BEBAN USAHA</t>
  </si>
  <si>
    <t>BEBAN KARYAWAN</t>
  </si>
  <si>
    <t>Beban gaji karyawan</t>
  </si>
  <si>
    <t>Beban lembur karyawan</t>
  </si>
  <si>
    <t>Beban asuransi kesehatan karyawan</t>
  </si>
  <si>
    <t>Beban asuransi jiwa karyawan</t>
  </si>
  <si>
    <t>Beban dana pensiun</t>
  </si>
  <si>
    <t>Beban kompensasi kinerja karyawan</t>
  </si>
  <si>
    <t>Biaya jasa kini karyawan</t>
  </si>
  <si>
    <t>Biaya jasa lalu karyawan</t>
  </si>
  <si>
    <t>Bunga atas imbalan pasca kerja karyawan</t>
  </si>
  <si>
    <t>Beban BPJS kesehatan karyawan</t>
  </si>
  <si>
    <t>Beban BPJS jaminan hari tua karyawan</t>
  </si>
  <si>
    <t>Beban BPJS jaminan kecelakaan kerja dan jaminan kematian karyawan</t>
  </si>
  <si>
    <t>Beban BPJS jaminan pensiun karyawan</t>
  </si>
  <si>
    <t>Beban tunjangan hari raya karyawan</t>
  </si>
  <si>
    <t>Beban tunjangan PPh 21 karyawan</t>
  </si>
  <si>
    <t>Beban tunjangan transportasi karyawan</t>
  </si>
  <si>
    <t>Beban tunjangan jabatan</t>
  </si>
  <si>
    <t>Beban tunjangan cuti besar</t>
  </si>
  <si>
    <t>Beban tunjangan cuti tahunan</t>
  </si>
  <si>
    <t>Beban tunjangan makan</t>
  </si>
  <si>
    <t>Beban Tunjangan Pakaian Kerja</t>
  </si>
  <si>
    <t>Beban kompensasi PKWT/PKWTT</t>
  </si>
  <si>
    <t>Beban tunjangan lainnya</t>
  </si>
  <si>
    <t>Total Beban Karyawan</t>
  </si>
  <si>
    <t>BEBAN ADMINISTRASI &amp; UMUM</t>
  </si>
  <si>
    <t>Imbal jasa profesional - akuntan publik</t>
  </si>
  <si>
    <t>Imbal jasa profesional - konsultan hukum</t>
  </si>
  <si>
    <t>Imbal jasa profesional - konsultan manajemen (SDM, SOP, Akuntansi dll)</t>
  </si>
  <si>
    <t>Beban imbal jasa profesional IT</t>
  </si>
  <si>
    <t>Imbal jasa profesional - lainnya</t>
  </si>
  <si>
    <t>Air, listrik dan utilitas - gedung</t>
  </si>
  <si>
    <t>Air, listrik dan utilitas - rumah dinas</t>
  </si>
  <si>
    <t>Pemasaran</t>
  </si>
  <si>
    <t>Beban pelatihan manajemen</t>
  </si>
  <si>
    <t>Beban pelatihan karyawan - insidentil</t>
  </si>
  <si>
    <t>Beban pelatihan karyawan - leadership</t>
  </si>
  <si>
    <t>Beban pelatihan karyawan - TNA</t>
  </si>
  <si>
    <t>Beban sertifikasi</t>
  </si>
  <si>
    <t>Beban perekrutan karyawan</t>
  </si>
  <si>
    <t>Beban uang saku magang</t>
  </si>
  <si>
    <t>Akomodasi dinas dalam negeri</t>
  </si>
  <si>
    <t>Tranportasi dinas dalam negeri</t>
  </si>
  <si>
    <t>Tunjangan perjalanan dinas dalam negeri</t>
  </si>
  <si>
    <t>Akomodasi dinas luar negeri</t>
  </si>
  <si>
    <t>Tranportasi dinas luar negeri</t>
  </si>
  <si>
    <t>Tunjangan perjalanan dinas luar negeri</t>
  </si>
  <si>
    <t>Percetakan dan inventaris kantor</t>
  </si>
  <si>
    <t>Telepon, fax dan komunikasi - gedung</t>
  </si>
  <si>
    <t>Telepon, fax dan komunikasi - rumah dinas</t>
  </si>
  <si>
    <t>Bensin dan parkir</t>
  </si>
  <si>
    <t>Beban pemeliharaan kendaraan</t>
  </si>
  <si>
    <t>Beban penggunaan Data Center</t>
  </si>
  <si>
    <t>Beban jaringan dan konektivitas</t>
  </si>
  <si>
    <t>Beban penyewaan peralatan IT</t>
  </si>
  <si>
    <t>Beban pemeliharaan peralatan IT</t>
  </si>
  <si>
    <t>Beban pemeliharaan perangkat lunak IT</t>
  </si>
  <si>
    <t>Beban pemeliharaan gedung</t>
  </si>
  <si>
    <t>Beban pemeliharaan rumah dinas</t>
  </si>
  <si>
    <t>Beban pemeliharaan mesin dan peralatan</t>
  </si>
  <si>
    <t>Beban pemeliharaan renovasi dan instalasi</t>
  </si>
  <si>
    <t>Beban aset bernilai rendah</t>
  </si>
  <si>
    <t>Beban pemeliharaan lainnya</t>
  </si>
  <si>
    <t>Beban pemeliharaan gedung sewa</t>
  </si>
  <si>
    <t>Beban pemeliharaan gudang sewa</t>
  </si>
  <si>
    <t>Beban pemeliharaan rumah dinas sewa</t>
  </si>
  <si>
    <t>Beban pemeliharaan peralatan sewa</t>
  </si>
  <si>
    <t>Beban pemeliharaan aset sewa lainnya</t>
  </si>
  <si>
    <t>Sewa kantor</t>
  </si>
  <si>
    <t>Sewa gudang</t>
  </si>
  <si>
    <t>Sewa kendaraan</t>
  </si>
  <si>
    <t>Beban pemeliharaan kendaraan sewa</t>
  </si>
  <si>
    <t>Sewa peralatan</t>
  </si>
  <si>
    <t>Sewa rumah dinas</t>
  </si>
  <si>
    <t>Biaya service charge</t>
  </si>
  <si>
    <t>Sewa lainnya</t>
  </si>
  <si>
    <t>Beban CKPN</t>
  </si>
  <si>
    <t>Beban pengumpulan informasi dan pengelolaan data</t>
  </si>
  <si>
    <t>Beban pengelolaan dana dan investasi</t>
  </si>
  <si>
    <t>Beban penelitian dan pengembangan</t>
  </si>
  <si>
    <t>Beban sosialisasi dan rekonsiliasi</t>
  </si>
  <si>
    <t>Beban eksploitasi</t>
  </si>
  <si>
    <t>Beban asuransi</t>
  </si>
  <si>
    <t>Beban iuran keanggotaan</t>
  </si>
  <si>
    <t>Beban pajak lainnya</t>
  </si>
  <si>
    <t>Denda pajak</t>
  </si>
  <si>
    <t>PPN masukan yang dibebankan</t>
  </si>
  <si>
    <t>Pungutan OJK</t>
  </si>
  <si>
    <t>Pajak bumi dan bangunan</t>
  </si>
  <si>
    <t>Beban TJSL - Pilar Sosial</t>
  </si>
  <si>
    <t>Beban TJSL - Pilar Lingkungan</t>
  </si>
  <si>
    <t>Beban TJSL - Pilar Ekonomi</t>
  </si>
  <si>
    <t>Beban TJSL - Pilar Hukum dan Tata Kelola</t>
  </si>
  <si>
    <t>Beban sponsorship event</t>
  </si>
  <si>
    <t>Beban sumbangan</t>
  </si>
  <si>
    <t>Beban akomodasi rapat</t>
  </si>
  <si>
    <t>Beban konsumsi rapat</t>
  </si>
  <si>
    <t>Beban honorarium peserta rapat</t>
  </si>
  <si>
    <t>Beban jasa pelaksanaan rapat</t>
  </si>
  <si>
    <t>Beban representasi manajemen</t>
  </si>
  <si>
    <t>Beban representasi perusahaan lainnya</t>
  </si>
  <si>
    <t>Biaya admin bank</t>
  </si>
  <si>
    <t>Biaya transfer</t>
  </si>
  <si>
    <t>Retribusi keamanan</t>
  </si>
  <si>
    <t>Retribusi kebersihan</t>
  </si>
  <si>
    <t>Beban pajak dan retribusi daerah</t>
  </si>
  <si>
    <t>Beban umum dan administrasi lainnya</t>
  </si>
  <si>
    <t>Beban lainnya</t>
  </si>
  <si>
    <t>Biaya kegiatan internal</t>
  </si>
  <si>
    <t>Biaya komunitas</t>
  </si>
  <si>
    <t>Biaya komunikasi dan kampanye</t>
  </si>
  <si>
    <t>Selisih biaya invoice</t>
  </si>
  <si>
    <t>Beban retribusi dan kontribusi lainnya</t>
  </si>
  <si>
    <t>Total Beban Administrasi &amp; Umum</t>
  </si>
  <si>
    <t>BEBAN PENYUSUTAN &amp; AMORTISASI</t>
  </si>
  <si>
    <t>Beban penyusutan aset tetap - gedung</t>
  </si>
  <si>
    <t>Beban penyusutan aset tetap - rumah dinas</t>
  </si>
  <si>
    <t>Beban penyusutan aset tetap - kendaraan</t>
  </si>
  <si>
    <t>Beban penyusutan aset tetap - mesin dan peralatan</t>
  </si>
  <si>
    <t>Beban penyusutan aset tetap - renovasi dan instalasi</t>
  </si>
  <si>
    <t>Beban bunga liabilitas sewa - gedung</t>
  </si>
  <si>
    <t>Beban bunga liabilitas sewa - rumah dinas</t>
  </si>
  <si>
    <t>Beban bunga liabilitas sewa - kendaraan</t>
  </si>
  <si>
    <t>Beban bunga liabilitas sewa - peralatan</t>
  </si>
  <si>
    <t>Beban penyusutan hak guna sewa - gedung</t>
  </si>
  <si>
    <t>Beban penyusutan hak guna sewa - rumah dinas</t>
  </si>
  <si>
    <t>Beban penyusutan hak guna sewa - kendaraan</t>
  </si>
  <si>
    <t>Beban penyusutan hak guna sewa - peralatan</t>
  </si>
  <si>
    <t>Beban penyusutan hak guna sewa - gudang</t>
  </si>
  <si>
    <t>Beban amortisasi aset tidak berwujud - perangkat lunak</t>
  </si>
  <si>
    <t>Total Beban Penyusutan &amp; Amortisasi</t>
  </si>
  <si>
    <t>TOTAL BEBAN USAHA</t>
  </si>
  <si>
    <t>PENDAPATAN (BEBAN) LAIN-LAIN BERSIH</t>
  </si>
  <si>
    <t>LABA SEBELUM PAJAK</t>
  </si>
  <si>
    <t>control</t>
  </si>
  <si>
    <t>BOPO</t>
  </si>
  <si>
    <t>KANWIL SURABAYA</t>
  </si>
  <si>
    <t>REALISASI KANWIL SURABAYA</t>
  </si>
  <si>
    <t>KANCA SURABAYA</t>
  </si>
  <si>
    <t>REALISASI KANCA SURABAYA</t>
  </si>
  <si>
    <t>KANCA KEDIRI</t>
  </si>
  <si>
    <t>REALISASI KANCA KEDIRI</t>
  </si>
  <si>
    <t>KANCA MALANG</t>
  </si>
  <si>
    <t>REALISASI KANCA MALANG</t>
  </si>
  <si>
    <t>KANCA MADIUN</t>
  </si>
  <si>
    <t>REALISASI KANCA MADIUN</t>
  </si>
  <si>
    <t>KANCA BANYUWANGI</t>
  </si>
  <si>
    <t>REALISASI KANCA 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</si>
</sst>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\ #,##0_-;[Red]\-\ #,##0_-;_-\ &quot;-&quot;??_-;_-@_-"/>
    <numFmt numFmtId="167" formatCode="_-\ #,##0_-;[Red]\-\ #,##0_-;_-\ &quot;-&quot;_-;_-@_-"/>
    <numFmt numFmtId="168" formatCode="_(* #,##0.0000000000_);_(* \(#,##0.000000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sz val="9"/>
      <color indexed="81"/>
      <name val="Tahoma"/>
      <family val="2"/>
    </font>
    <font>
      <sz val="11"/>
      <name val="Cascadia Code"/>
      <family val="3"/>
    </font>
    <font>
      <b/>
      <sz val="11"/>
      <name val="Cascadia Code"/>
      <family val="3"/>
    </font>
    <font>
      <b/>
      <sz val="11"/>
      <color rgb="FFDEEBEE"/>
      <name val="Cascadia Code"/>
      <family val="3"/>
    </font>
    <font>
      <sz val="9"/>
      <name val="Cascadia Code"/>
      <family val="3"/>
    </font>
    <font>
      <i/>
      <sz val="9"/>
      <color theme="1"/>
      <name val="Cascadia Code"/>
      <family val="3"/>
    </font>
    <font>
      <b/>
      <sz val="11"/>
      <color theme="1"/>
      <name val="Cascadia Code"/>
      <family val="3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9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447D88"/>
        <bgColor indexed="64"/>
      </patternFill>
    </fill>
    <fill>
      <patternFill patternType="solid">
        <fgColor rgb="FF549CAA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DEEAE8"/>
      </left>
      <right style="thin">
        <color rgb="FFDEEAE8"/>
      </right>
      <top style="thin">
        <color rgb="FFDEEAE8"/>
      </top>
      <bottom style="thin">
        <color rgb="FFDEEAE8"/>
      </bottom>
      <diagonal/>
    </border>
    <border>
      <left style="thin">
        <color rgb="FFDEEAE8"/>
      </left>
      <right style="thin">
        <color rgb="FFDEEAE8"/>
      </right>
      <top style="thin">
        <color rgb="FFDEEAE8"/>
      </top>
      <bottom/>
      <diagonal/>
    </border>
    <border>
      <left style="thin">
        <color rgb="FFB4D0CB"/>
      </left>
      <right style="thin">
        <color rgb="FFB4D0CB"/>
      </right>
      <top style="thin">
        <color rgb="FFB4D0CB"/>
      </top>
      <bottom/>
      <diagonal/>
    </border>
    <border>
      <left style="thin">
        <color rgb="FFB4D0CB"/>
      </left>
      <right style="thin">
        <color rgb="FFB4D0CB"/>
      </right>
      <top/>
      <bottom/>
      <diagonal/>
    </border>
    <border>
      <left style="thin">
        <color rgb="FFB4D0CB"/>
      </left>
      <right style="thin">
        <color rgb="FFB4D0CB"/>
      </right>
      <top/>
      <bottom style="thin">
        <color rgb="FFB4D0CB"/>
      </bottom>
      <diagonal/>
    </border>
    <border>
      <left style="thin">
        <color rgb="FFB4D0CB"/>
      </left>
      <right/>
      <top style="thin">
        <color rgb="FFB4D0CB"/>
      </top>
      <bottom/>
      <diagonal/>
    </border>
    <border>
      <left/>
      <right style="thin">
        <color rgb="FFB4D0CB"/>
      </right>
      <top style="thin">
        <color rgb="FFB4D0CB"/>
      </top>
      <bottom/>
      <diagonal/>
    </border>
    <border>
      <left style="thin">
        <color rgb="FFB4D0CB"/>
      </left>
      <right/>
      <top/>
      <bottom/>
      <diagonal/>
    </border>
    <border>
      <left/>
      <right style="thin">
        <color rgb="FFB4D0CB"/>
      </right>
      <top/>
      <bottom/>
      <diagonal/>
    </border>
    <border>
      <left style="thin">
        <color rgb="FFB4D0CB"/>
      </left>
      <right/>
      <top/>
      <bottom style="thin">
        <color rgb="FFB4D0CB"/>
      </bottom>
      <diagonal/>
    </border>
    <border>
      <left/>
      <right style="thin">
        <color rgb="FFB4D0CB"/>
      </right>
      <top/>
      <bottom style="thin">
        <color rgb="FFB4D0CB"/>
      </bottom>
      <diagonal/>
    </border>
    <border>
      <left style="thin">
        <color rgb="FFDEEAE8"/>
      </left>
      <right/>
      <top style="thin">
        <color rgb="FFDEEAE8"/>
      </top>
      <bottom style="thin">
        <color rgb="FFDEEAE8"/>
      </bottom>
      <diagonal/>
    </border>
    <border>
      <left/>
      <right/>
      <top style="thin">
        <color rgb="FFDEEAE8"/>
      </top>
      <bottom style="thin">
        <color rgb="FFDEEAE8"/>
      </bottom>
      <diagonal/>
    </border>
    <border>
      <left/>
      <right style="thin">
        <color rgb="FFDEEAE8"/>
      </right>
      <top style="thin">
        <color rgb="FFDEEAE8"/>
      </top>
      <bottom style="thin">
        <color rgb="FFDEEAE8"/>
      </bottom>
      <diagonal/>
    </border>
    <border>
      <left/>
      <right style="thin">
        <color theme="0"/>
      </right>
      <top style="thin">
        <color rgb="FFDEEAE8"/>
      </top>
      <bottom style="thin">
        <color rgb="FFDEEAE8"/>
      </bottom>
      <diagonal/>
    </border>
    <border>
      <left style="thin">
        <color theme="0"/>
      </left>
      <right/>
      <top style="thin">
        <color rgb="FFDEEAE8"/>
      </top>
      <bottom style="thin">
        <color rgb="FFDEEAE8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4" borderId="6" xfId="0" applyFont="1" applyFill="1" applyBorder="1"/>
    <xf numFmtId="0" fontId="4" fillId="4" borderId="7" xfId="0" applyFont="1" applyFill="1" applyBorder="1"/>
    <xf numFmtId="165" fontId="4" fillId="4" borderId="3" xfId="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4" borderId="8" xfId="1" applyFont="1" applyFill="1" applyBorder="1"/>
    <xf numFmtId="164" fontId="5" fillId="4" borderId="9" xfId="1" applyFont="1" applyFill="1" applyBorder="1"/>
    <xf numFmtId="166" fontId="5" fillId="4" borderId="4" xfId="1" applyNumberFormat="1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166" fontId="4" fillId="4" borderId="4" xfId="1" applyNumberFormat="1" applyFont="1" applyFill="1" applyBorder="1"/>
    <xf numFmtId="167" fontId="4" fillId="0" borderId="0" xfId="1" applyNumberFormat="1" applyFont="1"/>
    <xf numFmtId="164" fontId="4" fillId="4" borderId="8" xfId="1" applyFont="1" applyFill="1" applyBorder="1"/>
    <xf numFmtId="164" fontId="4" fillId="4" borderId="9" xfId="1" applyFont="1" applyFill="1" applyBorder="1"/>
    <xf numFmtId="167" fontId="5" fillId="0" borderId="0" xfId="1" applyNumberFormat="1" applyFont="1"/>
    <xf numFmtId="164" fontId="4" fillId="4" borderId="9" xfId="1" applyFont="1" applyFill="1" applyBorder="1" applyAlignment="1">
      <alignment horizontal="left" indent="2"/>
    </xf>
    <xf numFmtId="0" fontId="4" fillId="4" borderId="10" xfId="0" applyFont="1" applyFill="1" applyBorder="1"/>
    <xf numFmtId="0" fontId="4" fillId="4" borderId="11" xfId="0" applyFont="1" applyFill="1" applyBorder="1"/>
    <xf numFmtId="168" fontId="4" fillId="4" borderId="5" xfId="1" applyNumberFormat="1" applyFont="1" applyFill="1" applyBorder="1"/>
    <xf numFmtId="167" fontId="4" fillId="0" borderId="0" xfId="1" applyNumberFormat="1" applyFont="1" applyFill="1"/>
    <xf numFmtId="0" fontId="6" fillId="3" borderId="2" xfId="0" applyFont="1" applyFill="1" applyBorder="1" applyAlignment="1">
      <alignment horizontal="center" vertical="center"/>
    </xf>
    <xf numFmtId="165" fontId="6" fillId="2" borderId="14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left" indent="2"/>
    </xf>
    <xf numFmtId="165" fontId="5" fillId="4" borderId="9" xfId="1" applyNumberFormat="1" applyFont="1" applyFill="1" applyBorder="1"/>
    <xf numFmtId="165" fontId="4" fillId="4" borderId="9" xfId="1" applyNumberFormat="1" applyFont="1" applyFill="1" applyBorder="1"/>
    <xf numFmtId="165" fontId="2" fillId="0" borderId="0" xfId="0" applyNumberFormat="1" applyFont="1"/>
    <xf numFmtId="165" fontId="7" fillId="4" borderId="9" xfId="1" applyNumberFormat="1" applyFont="1" applyFill="1" applyBorder="1"/>
    <xf numFmtId="0" fontId="2" fillId="0" borderId="0" xfId="0" applyFont="1" applyAlignment="1">
      <alignment horizontal="right"/>
    </xf>
    <xf numFmtId="9" fontId="5" fillId="4" borderId="4" xfId="2" applyFont="1" applyFill="1" applyBorder="1"/>
    <xf numFmtId="0" fontId="8" fillId="0" borderId="0" xfId="0" applyFont="1"/>
    <xf numFmtId="165" fontId="6" fillId="2" borderId="14" xfId="1" applyNumberFormat="1" applyFont="1" applyFill="1" applyBorder="1" applyAlignment="1">
      <alignment horizontal="right" vertical="center"/>
    </xf>
    <xf numFmtId="165" fontId="4" fillId="4" borderId="3" xfId="1" applyNumberFormat="1" applyFont="1" applyFill="1" applyBorder="1" applyAlignment="1">
      <alignment horizontal="right"/>
    </xf>
    <xf numFmtId="9" fontId="5" fillId="4" borderId="4" xfId="2" applyFont="1" applyFill="1" applyBorder="1" applyAlignment="1">
      <alignment horizontal="right"/>
    </xf>
    <xf numFmtId="166" fontId="4" fillId="4" borderId="4" xfId="1" applyNumberFormat="1" applyFont="1" applyFill="1" applyBorder="1" applyAlignment="1">
      <alignment horizontal="right"/>
    </xf>
    <xf numFmtId="166" fontId="5" fillId="4" borderId="4" xfId="1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9" fontId="5" fillId="0" borderId="0" xfId="2" applyFont="1"/>
    <xf numFmtId="43" fontId="2" fillId="0" borderId="0" xfId="0" applyNumberFormat="1" applyFont="1"/>
    <xf numFmtId="165" fontId="4" fillId="4" borderId="4" xfId="1" applyNumberFormat="1" applyFont="1" applyFill="1" applyBorder="1"/>
    <xf numFmtId="9" fontId="4" fillId="0" borderId="0" xfId="2" applyFont="1"/>
    <xf numFmtId="164" fontId="4" fillId="0" borderId="0" xfId="1" applyFont="1"/>
    <xf numFmtId="9" fontId="2" fillId="0" borderId="0" xfId="2" applyFont="1"/>
    <xf numFmtId="43" fontId="5" fillId="0" borderId="0" xfId="0" applyNumberFormat="1" applyFont="1"/>
    <xf numFmtId="0" fontId="10" fillId="0" borderId="0" xfId="0" applyFont="1"/>
    <xf numFmtId="9" fontId="2" fillId="0" borderId="0" xfId="2" applyFont="1" applyFill="1"/>
    <xf numFmtId="10" fontId="4" fillId="0" borderId="0" xfId="2" applyNumberFormat="1" applyFont="1"/>
    <xf numFmtId="0" fontId="4" fillId="0" borderId="0" xfId="2" applyNumberFormat="1" applyFont="1"/>
    <xf numFmtId="164" fontId="11" fillId="0" borderId="0" xfId="1" applyFont="1" applyProtection="1">
      <protection locked="0"/>
    </xf>
    <xf numFmtId="164" fontId="4" fillId="0" borderId="8" xfId="1" applyFont="1" applyFill="1" applyBorder="1"/>
    <xf numFmtId="164" fontId="4" fillId="0" borderId="9" xfId="1" applyFont="1" applyFill="1" applyBorder="1" applyAlignment="1">
      <alignment horizontal="left" indent="2"/>
    </xf>
    <xf numFmtId="165" fontId="4" fillId="0" borderId="9" xfId="1" applyNumberFormat="1" applyFont="1" applyFill="1" applyBorder="1" applyAlignment="1">
      <alignment horizontal="left" indent="2"/>
    </xf>
    <xf numFmtId="166" fontId="4" fillId="0" borderId="4" xfId="1" applyNumberFormat="1" applyFont="1" applyFill="1" applyBorder="1"/>
    <xf numFmtId="9" fontId="5" fillId="0" borderId="4" xfId="2" applyFont="1" applyFill="1" applyBorder="1" applyAlignment="1">
      <alignment horizontal="right"/>
    </xf>
    <xf numFmtId="165" fontId="4" fillId="0" borderId="9" xfId="1" applyNumberFormat="1" applyFont="1" applyFill="1" applyBorder="1"/>
    <xf numFmtId="9" fontId="5" fillId="0" borderId="4" xfId="2" applyFont="1" applyFill="1" applyBorder="1"/>
    <xf numFmtId="10" fontId="12" fillId="0" borderId="0" xfId="2" applyNumberFormat="1" applyFont="1" applyAlignment="1">
      <alignment horizontal="left"/>
    </xf>
    <xf numFmtId="165" fontId="4" fillId="0" borderId="0" xfId="1" applyNumberFormat="1" applyFont="1"/>
    <xf numFmtId="167" fontId="4" fillId="0" borderId="0" xfId="1" applyNumberFormat="1" applyFont="1" applyBorder="1"/>
    <xf numFmtId="10" fontId="4" fillId="0" borderId="0" xfId="2" applyNumberFormat="1" applyFont="1" applyBorder="1"/>
    <xf numFmtId="165" fontId="4" fillId="0" borderId="0" xfId="1" applyNumberFormat="1" applyFont="1" applyBorder="1"/>
    <xf numFmtId="167" fontId="5" fillId="0" borderId="0" xfId="1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center" vertical="center"/>
    </xf>
    <xf numFmtId="165" fontId="6" fillId="2" borderId="13" xfId="1" applyNumberFormat="1" applyFont="1" applyFill="1" applyBorder="1" applyAlignment="1">
      <alignment horizontal="center" vertical="center"/>
    </xf>
    <xf numFmtId="165" fontId="6" fillId="2" borderId="15" xfId="1" applyNumberFormat="1" applyFont="1" applyFill="1" applyBorder="1" applyAlignment="1">
      <alignment horizontal="center" vertical="center"/>
    </xf>
    <xf numFmtId="165" fontId="6" fillId="2" borderId="14" xfId="1" applyNumberFormat="1" applyFont="1" applyFill="1" applyBorder="1" applyAlignment="1">
      <alignment horizontal="center" vertical="center"/>
    </xf>
    <xf numFmtId="165" fontId="6" fillId="2" borderId="16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81"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ont>
        <color rgb="FFFF0000"/>
      </font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FF0000"/>
      </font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D0CB"/>
      <color rgb="FF447D88"/>
      <color rgb="FF81B1A9"/>
      <color rgb="FFDEEAE8"/>
      <color rgb="FFC1D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732F-3011-4AB3-8B20-B2623B626957}">
  <sheetPr>
    <tabColor rgb="FF80ABAC"/>
    <pageSetUpPr fitToPage="1"/>
  </sheetPr>
  <dimension ref="A1:V175"/>
  <sheetViews>
    <sheetView showGridLines="0" zoomScale="80" zoomScaleNormal="80" workbookViewId="0">
      <pane xSplit="5" ySplit="6" topLeftCell="J7" activePane="bottomRight" state="frozen"/>
      <selection pane="topRight" activeCell="BA157" sqref="BA157"/>
      <selection pane="bottomLeft" activeCell="BA157" sqref="BA157"/>
      <selection pane="bottomRight" activeCell="O169" sqref="O169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66.140625" style="1" customWidth="1"/>
    <col min="6" max="6" width="27.5703125" style="1" bestFit="1" customWidth="1"/>
    <col min="7" max="7" width="23.5703125" style="1" bestFit="1" customWidth="1"/>
    <col min="8" max="10" width="26.28515625" style="1" bestFit="1" customWidth="1"/>
    <col min="11" max="11" width="27.5703125" style="1" bestFit="1" customWidth="1"/>
    <col min="12" max="12" width="26.28515625" style="1" bestFit="1" customWidth="1"/>
    <col min="13" max="13" width="22.28515625" style="1" bestFit="1" customWidth="1"/>
    <col min="14" max="14" width="26.28515625" style="1" customWidth="1"/>
    <col min="15" max="15" width="28.85546875" style="3" bestFit="1" customWidth="1"/>
    <col min="16" max="16" width="10.28515625" style="1" bestFit="1" customWidth="1"/>
    <col min="17" max="17" width="31.5703125" style="1" bestFit="1" customWidth="1"/>
    <col min="18" max="18" width="31.5703125" style="1" customWidth="1"/>
    <col min="19" max="19" width="23.5703125" style="1" bestFit="1" customWidth="1"/>
    <col min="20" max="20" width="12.85546875" style="1" customWidth="1"/>
    <col min="21" max="21" width="15.5703125" style="1" bestFit="1" customWidth="1"/>
    <col min="22" max="16384" width="8.85546875" style="1"/>
  </cols>
  <sheetData>
    <row r="1" spans="1:22" x14ac:dyDescent="0.3">
      <c r="D1" s="1" t="s">
        <v>0</v>
      </c>
    </row>
    <row r="2" spans="1:22" x14ac:dyDescent="0.3">
      <c r="D2" s="1" t="s">
        <v>1</v>
      </c>
    </row>
    <row r="4" spans="1:22" s="2" customFormat="1" ht="16.5" hidden="1" customHeight="1" x14ac:dyDescent="0.3">
      <c r="O4" s="4" t="e">
        <f>#REF!</f>
        <v>#REF!</v>
      </c>
    </row>
    <row r="5" spans="1:22" s="5" customFormat="1" ht="33" customHeight="1" x14ac:dyDescent="0.25">
      <c r="C5" s="6"/>
      <c r="D5" s="72" t="s">
        <v>2</v>
      </c>
      <c r="E5" s="72"/>
      <c r="F5" s="74" t="s">
        <v>3</v>
      </c>
      <c r="G5" s="75"/>
      <c r="H5" s="75"/>
      <c r="I5" s="75"/>
      <c r="J5" s="75"/>
      <c r="K5" s="76"/>
      <c r="L5" s="75" t="s">
        <v>4</v>
      </c>
      <c r="M5" s="75"/>
      <c r="N5" s="75"/>
      <c r="O5" s="77"/>
      <c r="P5" s="30" t="s">
        <v>5</v>
      </c>
    </row>
    <row r="6" spans="1:22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22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</row>
    <row r="8" spans="1:22" s="12" customFormat="1" x14ac:dyDescent="0.3">
      <c r="C8" s="13" t="s">
        <v>13</v>
      </c>
      <c r="D8" s="14" t="s">
        <v>14</v>
      </c>
      <c r="E8" s="15"/>
      <c r="F8" s="32">
        <f>KANWIL!F8+SURABAYA!F8+KEDIRI!F8+MALANG!F8+MADIUN!F8+BANYUWANGI!F8</f>
        <v>29155734228583</v>
      </c>
      <c r="G8" s="32">
        <f>KANWIL!G8+SURABAYA!G8+KEDIRI!G8+MALANG!G8+MADIUN!G8+BANYUWANGI!G8</f>
        <v>0</v>
      </c>
      <c r="H8" s="32">
        <f>KANWIL!H8+SURABAYA!H8+KEDIRI!H8+MALANG!H8+MADIUN!H8+BANYUWANGI!H8</f>
        <v>6633105465239</v>
      </c>
      <c r="I8" s="32">
        <f>KANWIL!I8+SURABAYA!I8+KEDIRI!I8+MALANG!I8+MADIUN!I8+BANYUWANGI!I8</f>
        <v>2866310409375</v>
      </c>
      <c r="J8" s="32">
        <f>KANWIL!J8+SURABAYA!J8+KEDIRI!J8+MALANG!J8+MADIUN!J8+BANYUWANGI!J8</f>
        <v>5889752816264</v>
      </c>
      <c r="K8" s="32">
        <f>SUM(F8:J8)</f>
        <v>44544902919461</v>
      </c>
      <c r="L8" s="32">
        <f>KANWIL!L8+SURABAYA!L8+KEDIRI!L8+MALANG!L8+MADIUN!L8+BANYUWANGI!L8</f>
        <v>21418334516041.199</v>
      </c>
      <c r="M8" s="32">
        <f>KANWIL!M8+SURABAYA!M8+KEDIRI!M8+MALANG!M8+MADIUN!M8+BANYUWANGI!M8</f>
        <v>0</v>
      </c>
      <c r="N8" s="32">
        <f>KANWIL!N8+SURABAYA!N8+KEDIRI!N8+MALANG!N8+MADIUN!N8+BANYUWANGI!N8</f>
        <v>5392517607120.6504</v>
      </c>
      <c r="O8" s="16">
        <f>SUM(L8:N8)</f>
        <v>26810852123161.852</v>
      </c>
      <c r="P8" s="37">
        <f>O8/K8</f>
        <v>0.60188372554401937</v>
      </c>
      <c r="Q8" s="53"/>
      <c r="R8" s="53"/>
    </row>
    <row r="9" spans="1:22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9"/>
    </row>
    <row r="10" spans="1:22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</row>
    <row r="11" spans="1:22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33">
        <f>KANWIL!F11+SURABAYA!F11+KEDIRI!F11+MALANG!F11+MADIUN!F11+BANYUWANGI!F11</f>
        <v>1054205218156</v>
      </c>
      <c r="G11" s="33">
        <f>KANWIL!G11+SURABAYA!G11+KEDIRI!G11+MALANG!G11+MADIUN!G11+BANYUWANGI!G11</f>
        <v>0</v>
      </c>
      <c r="H11" s="33">
        <f>KANWIL!H11+SURABAYA!H11+KEDIRI!H11+MALANG!H11+MADIUN!H11+BANYUWANGI!H11</f>
        <v>21616987266</v>
      </c>
      <c r="I11" s="33">
        <f>KANWIL!I11+SURABAYA!I11+KEDIRI!I11+MALANG!I11+MADIUN!I11+BANYUWANGI!I11</f>
        <v>27821631504</v>
      </c>
      <c r="J11" s="33">
        <f>KANWIL!J11+SURABAYA!J11+KEDIRI!J11+MALANG!J11+MADIUN!J11+BANYUWANGI!J11</f>
        <v>122415438555</v>
      </c>
      <c r="K11" s="33">
        <f>SUM(F11:J11)</f>
        <v>1226059275481</v>
      </c>
      <c r="L11" s="33">
        <f>KANWIL!L11+SURABAYA!L11+KEDIRI!L11+MALANG!L11+MADIUN!L11+BANYUWANGI!L11</f>
        <v>545512304688.68994</v>
      </c>
      <c r="M11" s="33">
        <f>KANWIL!M11+SURABAYA!M11+KEDIRI!M11+MALANG!M11+MADIUN!M11+BANYUWANGI!M11</f>
        <v>400000</v>
      </c>
      <c r="N11" s="33">
        <f>KANWIL!N11+SURABAYA!N11+KEDIRI!N11+MALANG!N11+MADIUN!N11+BANYUWANGI!N11</f>
        <v>208328216134.60001</v>
      </c>
      <c r="O11" s="19">
        <f t="shared" ref="O11:O13" si="0">SUM(L11:N11)</f>
        <v>753840920823.28992</v>
      </c>
      <c r="P11" s="37">
        <f>O11/K11</f>
        <v>0.61484867485509431</v>
      </c>
      <c r="R11" s="68"/>
      <c r="S11" s="68"/>
      <c r="T11" s="68"/>
      <c r="U11" s="68"/>
    </row>
    <row r="12" spans="1:22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33">
        <f>KANWIL!F12+SURABAYA!F12+KEDIRI!F12+MALANG!F12+MADIUN!F12+BANYUWANGI!F12</f>
        <v>0</v>
      </c>
      <c r="G12" s="33">
        <f>KANWIL!G12+SURABAYA!G12+KEDIRI!G12+MALANG!G12+MADIUN!G12+BANYUWANGI!G12</f>
        <v>0</v>
      </c>
      <c r="H12" s="33">
        <f>KANWIL!H12+SURABAYA!H12+KEDIRI!H12+MALANG!H12+MADIUN!H12+BANYUWANGI!H12</f>
        <v>0</v>
      </c>
      <c r="I12" s="33">
        <f>KANWIL!I12+SURABAYA!I12+KEDIRI!I12+MALANG!I12+MADIUN!I12+BANYUWANGI!I12</f>
        <v>0</v>
      </c>
      <c r="J12" s="33">
        <f>KANWIL!J12+SURABAYA!J12+KEDIRI!J12+MALANG!J12+MADIUN!J12+BANYUWANGI!J12</f>
        <v>0</v>
      </c>
      <c r="K12" s="33">
        <f t="shared" ref="K12:K13" si="1">SUM(F12:J12)</f>
        <v>0</v>
      </c>
      <c r="L12" s="33">
        <f>KANWIL!L12+SURABAYA!L12+KEDIRI!L12+MALANG!L12+MADIUN!L12+BANYUWANGI!L12</f>
        <v>0</v>
      </c>
      <c r="M12" s="33">
        <f>KANWIL!M12+SURABAYA!M12+KEDIRI!M12+MALANG!M12+MADIUN!M12+BANYUWANGI!M12</f>
        <v>0</v>
      </c>
      <c r="N12" s="33">
        <f>KANWIL!N12+SURABAYA!N12+KEDIRI!N12+MALANG!N12+MADIUN!N12+BANYUWANGI!N12</f>
        <v>0</v>
      </c>
      <c r="O12" s="19">
        <f t="shared" si="0"/>
        <v>0</v>
      </c>
      <c r="P12" s="37">
        <v>0</v>
      </c>
      <c r="R12" s="68"/>
      <c r="S12" s="68"/>
      <c r="T12" s="68"/>
      <c r="U12" s="68"/>
    </row>
    <row r="13" spans="1:22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33">
        <f>KANWIL!F13+SURABAYA!F13+KEDIRI!F13+MALANG!F13+MADIUN!F13+BANYUWANGI!F13</f>
        <v>94927046114</v>
      </c>
      <c r="G13" s="33">
        <f>KANWIL!G13+SURABAYA!G13+KEDIRI!G13+MALANG!G13+MADIUN!G13+BANYUWANGI!G13</f>
        <v>0</v>
      </c>
      <c r="H13" s="33">
        <f>KANWIL!H13+SURABAYA!H13+KEDIRI!H13+MALANG!H13+MADIUN!H13+BANYUWANGI!H13</f>
        <v>2624698636</v>
      </c>
      <c r="I13" s="33">
        <f>KANWIL!I13+SURABAYA!I13+KEDIRI!I13+MALANG!I13+MADIUN!I13+BANYUWANGI!I13</f>
        <v>4151753688</v>
      </c>
      <c r="J13" s="33">
        <f>KANWIL!J13+SURABAYA!J13+KEDIRI!J13+MALANG!J13+MADIUN!J13+BANYUWANGI!J13</f>
        <v>72171043143</v>
      </c>
      <c r="K13" s="33">
        <f t="shared" si="1"/>
        <v>173874541581</v>
      </c>
      <c r="L13" s="33">
        <f>KANWIL!L13+SURABAYA!L13+KEDIRI!L13+MALANG!L13+MADIUN!L13+BANYUWANGI!L13</f>
        <v>57760209530.389999</v>
      </c>
      <c r="M13" s="33">
        <f>KANWIL!M13+SURABAYA!M13+KEDIRI!M13+MALANG!M13+MADIUN!M13+BANYUWANGI!M13</f>
        <v>0</v>
      </c>
      <c r="N13" s="33">
        <f>KANWIL!N13+SURABAYA!N13+KEDIRI!N13+MALANG!N13+MADIUN!N13+BANYUWANGI!N13</f>
        <v>26754791571.779995</v>
      </c>
      <c r="O13" s="19">
        <f t="shared" si="0"/>
        <v>84515001102.169998</v>
      </c>
      <c r="P13" s="37">
        <f>O13/K13</f>
        <v>0.48606886513514352</v>
      </c>
      <c r="Q13" s="56"/>
      <c r="R13" s="68"/>
      <c r="S13" s="68"/>
      <c r="T13" s="69"/>
      <c r="U13" s="69"/>
    </row>
    <row r="14" spans="1:22" s="23" customFormat="1" x14ac:dyDescent="0.3">
      <c r="B14" s="12"/>
      <c r="C14" s="13" t="s">
        <v>20</v>
      </c>
      <c r="D14" s="14"/>
      <c r="E14" s="15" t="s">
        <v>21</v>
      </c>
      <c r="F14" s="32">
        <f>F11-F12-F13</f>
        <v>959278172042</v>
      </c>
      <c r="G14" s="32">
        <f t="shared" ref="G14:K14" si="2">G11-G12-G13</f>
        <v>0</v>
      </c>
      <c r="H14" s="32">
        <f t="shared" si="2"/>
        <v>18992288630</v>
      </c>
      <c r="I14" s="32">
        <f t="shared" si="2"/>
        <v>23669877816</v>
      </c>
      <c r="J14" s="32">
        <f t="shared" si="2"/>
        <v>50244395412</v>
      </c>
      <c r="K14" s="32">
        <f t="shared" si="2"/>
        <v>1052184733900</v>
      </c>
      <c r="L14" s="32">
        <f t="shared" ref="L14" si="3">L11-L12-L13</f>
        <v>487752095158.29993</v>
      </c>
      <c r="M14" s="32">
        <f t="shared" ref="M14" si="4">M11-M12-M13</f>
        <v>400000</v>
      </c>
      <c r="N14" s="32">
        <f t="shared" ref="N14" si="5">N11-N12-N13</f>
        <v>181573424562.82001</v>
      </c>
      <c r="O14" s="16">
        <f t="shared" ref="O14" si="6">O11-O12-O13</f>
        <v>669325919721.11987</v>
      </c>
      <c r="P14" s="37">
        <f>O14/K14</f>
        <v>0.63612966255480075</v>
      </c>
      <c r="R14" s="70"/>
      <c r="S14" s="68"/>
      <c r="T14" s="69"/>
      <c r="U14" s="69"/>
    </row>
    <row r="15" spans="1:22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19"/>
      <c r="R15" s="68"/>
      <c r="S15" s="68"/>
      <c r="T15" s="69"/>
      <c r="U15" s="69"/>
      <c r="V15" s="50"/>
    </row>
    <row r="16" spans="1:22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  <c r="R16" s="71"/>
      <c r="S16" s="71"/>
      <c r="T16" s="71"/>
      <c r="U16" s="71"/>
    </row>
    <row r="17" spans="1:21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33">
        <f>KANWIL!F17+SURABAYA!F17+KEDIRI!F17+MALANG!F17+MADIUN!F17+BANYUWANGI!F17</f>
        <v>809802922564</v>
      </c>
      <c r="G17" s="33">
        <f>KANWIL!G17+SURABAYA!G17+KEDIRI!G17+MALANG!G17+MADIUN!G17+BANYUWANGI!G17</f>
        <v>34965416239</v>
      </c>
      <c r="H17" s="33">
        <f>KANWIL!H17+SURABAYA!H17+KEDIRI!H17+MALANG!H17+MADIUN!H17+BANYUWANGI!H17</f>
        <v>5658069138</v>
      </c>
      <c r="I17" s="33">
        <f>KANWIL!I17+SURABAYA!I17+KEDIRI!I17+MALANG!I17+MADIUN!I17+BANYUWANGI!I17</f>
        <v>9169963227</v>
      </c>
      <c r="J17" s="33">
        <f>KANWIL!J17+SURABAYA!J17+KEDIRI!J17+MALANG!J17+MADIUN!J17+BANYUWANGI!J17</f>
        <v>102940478187</v>
      </c>
      <c r="K17" s="33">
        <f t="shared" ref="K17:K20" si="7">SUM(F17:J17)</f>
        <v>962536849355</v>
      </c>
      <c r="L17" s="33">
        <f>KANWIL!L17+SURABAYA!L17+KEDIRI!L17+MALANG!L17+MADIUN!L17+BANYUWANGI!L17</f>
        <v>332599488720.20007</v>
      </c>
      <c r="M17" s="33">
        <f>KANWIL!M17+SURABAYA!M17+KEDIRI!M17+MALANG!M17+MADIUN!M17+BANYUWANGI!M17</f>
        <v>6502385476.6000004</v>
      </c>
      <c r="N17" s="33">
        <f>KANWIL!N17+SURABAYA!N17+KEDIRI!N17+MALANG!N17+MADIUN!N17+BANYUWANGI!N17</f>
        <v>182095537945.83997</v>
      </c>
      <c r="O17" s="19">
        <f t="shared" ref="O17:O20" si="8">SUM(L17:N17)</f>
        <v>521197412142.64001</v>
      </c>
      <c r="P17" s="37">
        <f>O17/K17</f>
        <v>0.54148307412011976</v>
      </c>
      <c r="R17" s="70"/>
      <c r="S17" s="68"/>
      <c r="T17" s="68"/>
      <c r="U17" s="68"/>
    </row>
    <row r="18" spans="1:21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33">
        <f>KANWIL!F18+SURABAYA!F18+KEDIRI!F18+MALANG!F18+MADIUN!F18+BANYUWANGI!F18</f>
        <v>9715485499</v>
      </c>
      <c r="G18" s="33">
        <f>KANWIL!G18+SURABAYA!G18+KEDIRI!G18+MALANG!G18+MADIUN!G18+BANYUWANGI!G18</f>
        <v>-10323848200</v>
      </c>
      <c r="H18" s="33">
        <f>KANWIL!H18+SURABAYA!H18+KEDIRI!H18+MALANG!H18+MADIUN!H18+BANYUWANGI!H18</f>
        <v>677983388</v>
      </c>
      <c r="I18" s="33">
        <f>KANWIL!I18+SURABAYA!I18+KEDIRI!I18+MALANG!I18+MADIUN!I18+BANYUWANGI!I18</f>
        <v>397223586</v>
      </c>
      <c r="J18" s="33">
        <f>KANWIL!J18+SURABAYA!J18+KEDIRI!J18+MALANG!J18+MADIUN!J18+BANYUWANGI!J18</f>
        <v>31382109977</v>
      </c>
      <c r="K18" s="33">
        <f t="shared" si="7"/>
        <v>31848954250</v>
      </c>
      <c r="L18" s="33">
        <f>KANWIL!L18+SURABAYA!L18+KEDIRI!L18+MALANG!L18+MADIUN!L18+BANYUWANGI!L18</f>
        <v>74728787546.519989</v>
      </c>
      <c r="M18" s="33">
        <f>KANWIL!M18+SURABAYA!M18+KEDIRI!M18+MALANG!M18+MADIUN!M18+BANYUWANGI!M18</f>
        <v>-9031783629.0200005</v>
      </c>
      <c r="N18" s="33">
        <f>KANWIL!N18+SURABAYA!N18+KEDIRI!N18+MALANG!N18+MADIUN!N18+BANYUWANGI!N18</f>
        <v>12135773118.700001</v>
      </c>
      <c r="O18" s="19">
        <f t="shared" si="8"/>
        <v>77832777036.199982</v>
      </c>
      <c r="P18" s="37">
        <f>O18/K18</f>
        <v>2.443809502354382</v>
      </c>
      <c r="R18" s="68"/>
      <c r="S18" s="68"/>
      <c r="T18" s="68"/>
      <c r="U18" s="68"/>
    </row>
    <row r="19" spans="1:21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33">
        <f>KANWIL!F19+SURABAYA!F19+KEDIRI!F19+MALANG!F19+MADIUN!F19+BANYUWANGI!F19</f>
        <v>208858906675</v>
      </c>
      <c r="G19" s="33">
        <f>KANWIL!G19+SURABAYA!G19+KEDIRI!G19+MALANG!G19+MADIUN!G19+BANYUWANGI!G19</f>
        <v>34248988772</v>
      </c>
      <c r="H19" s="33">
        <f>KANWIL!H19+SURABAYA!H19+KEDIRI!H19+MALANG!H19+MADIUN!H19+BANYUWANGI!H19</f>
        <v>147999934</v>
      </c>
      <c r="I19" s="33">
        <f>KANWIL!I19+SURABAYA!I19+KEDIRI!I19+MALANG!I19+MADIUN!I19+BANYUWANGI!I19</f>
        <v>301999866</v>
      </c>
      <c r="J19" s="33">
        <f>KANWIL!J19+SURABAYA!J19+KEDIRI!J19+MALANG!J19+MADIUN!J19+BANYUWANGI!J19</f>
        <v>83496959312</v>
      </c>
      <c r="K19" s="33">
        <f t="shared" si="7"/>
        <v>327054854559</v>
      </c>
      <c r="L19" s="33">
        <f>KANWIL!L19+SURABAYA!L19+KEDIRI!L19+MALANG!L19+MADIUN!L19+BANYUWANGI!L19</f>
        <v>108310093371.26001</v>
      </c>
      <c r="M19" s="33">
        <f>KANWIL!M19+SURABAYA!M19+KEDIRI!M19+MALANG!M19+MADIUN!M19+BANYUWANGI!M19</f>
        <v>12937903286.049999</v>
      </c>
      <c r="N19" s="33">
        <f>KANWIL!N19+SURABAYA!N19+KEDIRI!N19+MALANG!N19+MADIUN!N19+BANYUWANGI!N19</f>
        <v>40738256479.595955</v>
      </c>
      <c r="O19" s="19">
        <f t="shared" si="8"/>
        <v>161986253136.90598</v>
      </c>
      <c r="P19" s="37">
        <f>O19/K19</f>
        <v>0.49528771971701158</v>
      </c>
      <c r="R19" s="68"/>
      <c r="S19" s="68"/>
      <c r="T19" s="68"/>
      <c r="U19" s="68"/>
    </row>
    <row r="20" spans="1:21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33">
        <f>KANWIL!F20+SURABAYA!F20+KEDIRI!F20+MALANG!F20+MADIUN!F20+BANYUWANGI!F20</f>
        <v>14979526236</v>
      </c>
      <c r="G20" s="33">
        <f>KANWIL!G20+SURABAYA!G20+KEDIRI!G20+MALANG!G20+MADIUN!G20+BANYUWANGI!G20</f>
        <v>0</v>
      </c>
      <c r="H20" s="33">
        <f>KANWIL!H20+SURABAYA!H20+KEDIRI!H20+MALANG!H20+MADIUN!H20+BANYUWANGI!H20</f>
        <v>456146159</v>
      </c>
      <c r="I20" s="33">
        <f>KANWIL!I20+SURABAYA!I20+KEDIRI!I20+MALANG!I20+MADIUN!I20+BANYUWANGI!I20</f>
        <v>634577379</v>
      </c>
      <c r="J20" s="33">
        <f>KANWIL!J20+SURABAYA!J20+KEDIRI!J20+MALANG!J20+MADIUN!J20+BANYUWANGI!J20</f>
        <v>11015252139</v>
      </c>
      <c r="K20" s="33">
        <f t="shared" si="7"/>
        <v>27085501913</v>
      </c>
      <c r="L20" s="33">
        <f>KANWIL!L20+SURABAYA!L20+KEDIRI!L20+MALANG!L20+MADIUN!L20+BANYUWANGI!L20</f>
        <v>9495424207.8899994</v>
      </c>
      <c r="M20" s="33">
        <f>KANWIL!M20+SURABAYA!M20+KEDIRI!M20+MALANG!M20+MADIUN!M20+BANYUWANGI!M20</f>
        <v>0</v>
      </c>
      <c r="N20" s="33">
        <f>KANWIL!N20+SURABAYA!N20+KEDIRI!N20+MALANG!N20+MADIUN!N20+BANYUWANGI!N20</f>
        <v>3711801986.5500002</v>
      </c>
      <c r="O20" s="19">
        <f t="shared" si="8"/>
        <v>13207226194.439999</v>
      </c>
      <c r="P20" s="37">
        <f>O20/K20</f>
        <v>0.48761238528502354</v>
      </c>
    </row>
    <row r="21" spans="1:21" s="23" customFormat="1" x14ac:dyDescent="0.3">
      <c r="B21" s="12"/>
      <c r="C21" s="13" t="s">
        <v>20</v>
      </c>
      <c r="D21" s="14"/>
      <c r="E21" s="15" t="s">
        <v>28</v>
      </c>
      <c r="F21" s="32">
        <f>F17+F18-F19-F20</f>
        <v>595679975152</v>
      </c>
      <c r="G21" s="32">
        <f t="shared" ref="G21:K21" si="9">G17+G18-G19-G20</f>
        <v>-9607420733</v>
      </c>
      <c r="H21" s="32">
        <f t="shared" si="9"/>
        <v>5731906433</v>
      </c>
      <c r="I21" s="32">
        <f t="shared" si="9"/>
        <v>8630609568</v>
      </c>
      <c r="J21" s="32">
        <f t="shared" si="9"/>
        <v>39810376713</v>
      </c>
      <c r="K21" s="32">
        <f t="shared" si="9"/>
        <v>640245447133</v>
      </c>
      <c r="L21" s="32">
        <f>L17+L18-L19-L20</f>
        <v>289522758687.57007</v>
      </c>
      <c r="M21" s="32">
        <f t="shared" ref="M21" si="10">M17+M18-M19-M20</f>
        <v>-15467301438.469999</v>
      </c>
      <c r="N21" s="32">
        <f t="shared" ref="N21" si="11">N17+N18-N19-N20</f>
        <v>149781252598.39404</v>
      </c>
      <c r="O21" s="16">
        <f t="shared" ref="O21" si="12">O17+O18-O19-O20</f>
        <v>423836709847.49396</v>
      </c>
      <c r="P21" s="37">
        <f>O21/K21</f>
        <v>0.6619909782184662</v>
      </c>
    </row>
    <row r="22" spans="1:21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19"/>
      <c r="S22" s="50"/>
      <c r="T22" s="50"/>
    </row>
    <row r="23" spans="1:21" s="23" customFormat="1" x14ac:dyDescent="0.3">
      <c r="B23" s="12"/>
      <c r="C23" s="13" t="s">
        <v>13</v>
      </c>
      <c r="D23" s="14" t="s">
        <v>29</v>
      </c>
      <c r="E23" s="15"/>
      <c r="F23" s="32">
        <f>F14-F21</f>
        <v>363598196890</v>
      </c>
      <c r="G23" s="32">
        <f t="shared" ref="G23:N23" si="13">G14-G21</f>
        <v>9607420733</v>
      </c>
      <c r="H23" s="32">
        <f t="shared" si="13"/>
        <v>13260382197</v>
      </c>
      <c r="I23" s="32">
        <f t="shared" si="13"/>
        <v>15039268248</v>
      </c>
      <c r="J23" s="32">
        <f t="shared" si="13"/>
        <v>10434018699</v>
      </c>
      <c r="K23" s="32">
        <f t="shared" si="13"/>
        <v>411939286767</v>
      </c>
      <c r="L23" s="32">
        <f t="shared" si="13"/>
        <v>198229336470.72986</v>
      </c>
      <c r="M23" s="32">
        <f t="shared" si="13"/>
        <v>15467701438.469999</v>
      </c>
      <c r="N23" s="32">
        <f t="shared" si="13"/>
        <v>31792171964.425964</v>
      </c>
      <c r="O23" s="16">
        <f t="shared" ref="O23" si="14">O14-O21</f>
        <v>245489209873.62592</v>
      </c>
      <c r="P23" s="37">
        <f>O23/K23</f>
        <v>0.59593541514402548</v>
      </c>
    </row>
    <row r="24" spans="1:21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1:21" s="23" customFormat="1" x14ac:dyDescent="0.3">
      <c r="B25" s="12">
        <v>19</v>
      </c>
      <c r="C25" s="13" t="s">
        <v>13</v>
      </c>
      <c r="D25" s="14" t="s">
        <v>30</v>
      </c>
      <c r="E25" s="15"/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9">
        <v>0</v>
      </c>
      <c r="P25" s="19">
        <v>0</v>
      </c>
    </row>
    <row r="26" spans="1:21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1:21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</row>
    <row r="28" spans="1:21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</row>
    <row r="29" spans="1:21" s="20" customFormat="1" x14ac:dyDescent="0.3">
      <c r="A29" s="20">
        <v>94</v>
      </c>
      <c r="B29" s="7"/>
      <c r="C29" s="8"/>
      <c r="D29" s="21"/>
      <c r="E29" s="24" t="s">
        <v>33</v>
      </c>
      <c r="F29" s="33">
        <f>KANWIL!F29+SURABAYA!F29+KEDIRI!F29+MALANG!F29+MADIUN!F29+BANYUWANGI!F29</f>
        <v>8079970152</v>
      </c>
      <c r="G29" s="33">
        <f>KANWIL!G29+SURABAYA!G29+KEDIRI!G29+MALANG!G29+MADIUN!G29+BANYUWANGI!G29</f>
        <v>0</v>
      </c>
      <c r="H29" s="33">
        <f>KANWIL!H29+SURABAYA!H29+KEDIRI!H29+MALANG!H29+MADIUN!H29+BANYUWANGI!H29</f>
        <v>165683692</v>
      </c>
      <c r="I29" s="33">
        <f>KANWIL!I29+SURABAYA!I29+KEDIRI!I29+MALANG!I29+MADIUN!I29+BANYUWANGI!I29</f>
        <v>213239272</v>
      </c>
      <c r="J29" s="33">
        <f>KANWIL!J29+SURABAYA!J29+KEDIRI!J29+MALANG!J29+MADIUN!J29+BANYUWANGI!J29</f>
        <v>938254784</v>
      </c>
      <c r="K29" s="33">
        <f t="shared" ref="K29:K51" si="15">SUM(F29:J29)</f>
        <v>9397147900</v>
      </c>
      <c r="L29" s="33">
        <f>KANWIL!L29+SURABAYA!L29+KEDIRI!L29+MALANG!L29+MADIUN!L29+BANYUWANGI!L29</f>
        <v>3842537230.4599996</v>
      </c>
      <c r="M29" s="33">
        <f>KANWIL!M29+SURABAYA!M29+KEDIRI!M29+MALANG!M29+MADIUN!M29+BANYUWANGI!M29</f>
        <v>0</v>
      </c>
      <c r="N29" s="33">
        <f>KANWIL!N29+SURABAYA!N29+KEDIRI!N29+MALANG!N29+MADIUN!N29+BANYUWANGI!N29</f>
        <v>1686253736.5699997</v>
      </c>
      <c r="O29" s="19">
        <f t="shared" ref="O29:O51" si="16">SUM(L29:N29)</f>
        <v>5528790967.0299988</v>
      </c>
      <c r="P29" s="37">
        <f t="shared" ref="P29:P34" si="17">O29/K29</f>
        <v>0.58834776528631616</v>
      </c>
    </row>
    <row r="30" spans="1:21" s="20" customFormat="1" x14ac:dyDescent="0.3">
      <c r="A30" s="20">
        <v>95</v>
      </c>
      <c r="B30" s="7"/>
      <c r="C30" s="8"/>
      <c r="D30" s="21"/>
      <c r="E30" s="24" t="s">
        <v>34</v>
      </c>
      <c r="F30" s="33">
        <f>KANWIL!F30+SURABAYA!F30+KEDIRI!F30+MALANG!F30+MADIUN!F30+BANYUWANGI!F30</f>
        <v>252985625</v>
      </c>
      <c r="G30" s="33">
        <f>KANWIL!G30+SURABAYA!G30+KEDIRI!G30+MALANG!G30+MADIUN!G30+BANYUWANGI!G30</f>
        <v>0</v>
      </c>
      <c r="H30" s="33">
        <f>KANWIL!H30+SURABAYA!H30+KEDIRI!H30+MALANG!H30+MADIUN!H30+BANYUWANGI!H30</f>
        <v>5187593</v>
      </c>
      <c r="I30" s="33">
        <f>KANWIL!I30+SURABAYA!I30+KEDIRI!I30+MALANG!I30+MADIUN!I30+BANYUWANGI!I30</f>
        <v>6676569</v>
      </c>
      <c r="J30" s="33">
        <f>KANWIL!J30+SURABAYA!J30+KEDIRI!J30+MALANG!J30+MADIUN!J30+BANYUWANGI!J30</f>
        <v>29376961</v>
      </c>
      <c r="K30" s="33">
        <f t="shared" si="15"/>
        <v>294226748</v>
      </c>
      <c r="L30" s="33">
        <f>KANWIL!L30+SURABAYA!L30+KEDIRI!L30+MALANG!L30+MADIUN!L30+BANYUWANGI!L30</f>
        <v>108817446.16</v>
      </c>
      <c r="M30" s="33">
        <f>KANWIL!M30+SURABAYA!M30+KEDIRI!M30+MALANG!M30+MADIUN!M30+BANYUWANGI!M30</f>
        <v>0</v>
      </c>
      <c r="N30" s="33">
        <f>KANWIL!N30+SURABAYA!N30+KEDIRI!N30+MALANG!N30+MADIUN!N30+BANYUWANGI!N30</f>
        <v>46610414.849999994</v>
      </c>
      <c r="O30" s="19">
        <f t="shared" si="16"/>
        <v>155427861.00999999</v>
      </c>
      <c r="P30" s="37">
        <f t="shared" si="17"/>
        <v>0.52825877343415428</v>
      </c>
    </row>
    <row r="31" spans="1:21" s="20" customFormat="1" x14ac:dyDescent="0.3">
      <c r="A31" s="20">
        <v>96</v>
      </c>
      <c r="B31" s="7"/>
      <c r="C31" s="8"/>
      <c r="D31" s="21"/>
      <c r="E31" s="24" t="s">
        <v>35</v>
      </c>
      <c r="F31" s="33">
        <f>KANWIL!F31+SURABAYA!F31+KEDIRI!F31+MALANG!F31+MADIUN!F31+BANYUWANGI!F31</f>
        <v>1203089015</v>
      </c>
      <c r="G31" s="33">
        <f>KANWIL!G31+SURABAYA!G31+KEDIRI!G31+MALANG!G31+MADIUN!G31+BANYUWANGI!G31</f>
        <v>0</v>
      </c>
      <c r="H31" s="33">
        <f>KANWIL!H31+SURABAYA!H31+KEDIRI!H31+MALANG!H31+MADIUN!H31+BANYUWANGI!H31</f>
        <v>24669920</v>
      </c>
      <c r="I31" s="33">
        <f>KANWIL!I31+SURABAYA!I31+KEDIRI!I31+MALANG!I31+MADIUN!I31+BANYUWANGI!I31</f>
        <v>31750838</v>
      </c>
      <c r="J31" s="33">
        <f>KANWIL!J31+SURABAYA!J31+KEDIRI!J31+MALANG!J31+MADIUN!J31+BANYUWANGI!J31</f>
        <v>139703984</v>
      </c>
      <c r="K31" s="33">
        <f t="shared" si="15"/>
        <v>1399213757</v>
      </c>
      <c r="L31" s="33">
        <f>KANWIL!L31+SURABAYA!L31+KEDIRI!L31+MALANG!L31+MADIUN!L31+BANYUWANGI!L31</f>
        <v>32771148.800000001</v>
      </c>
      <c r="M31" s="33">
        <f>KANWIL!M31+SURABAYA!M31+KEDIRI!M31+MALANG!M31+MADIUN!M31+BANYUWANGI!M31</f>
        <v>0</v>
      </c>
      <c r="N31" s="33">
        <f>KANWIL!N31+SURABAYA!N31+KEDIRI!N31+MALANG!N31+MADIUN!N31+BANYUWANGI!N31</f>
        <v>13237851.199999999</v>
      </c>
      <c r="O31" s="19">
        <f t="shared" si="16"/>
        <v>46009000</v>
      </c>
      <c r="P31" s="37">
        <f t="shared" si="17"/>
        <v>3.2882038051602717E-2</v>
      </c>
    </row>
    <row r="32" spans="1:21" s="20" customFormat="1" x14ac:dyDescent="0.3">
      <c r="A32" s="20">
        <v>97</v>
      </c>
      <c r="B32" s="7"/>
      <c r="C32" s="8"/>
      <c r="D32" s="21"/>
      <c r="E32" s="24" t="s">
        <v>36</v>
      </c>
      <c r="F32" s="33">
        <f>KANWIL!F32+SURABAYA!F32+KEDIRI!F32+MALANG!F32+MADIUN!F32+BANYUWANGI!F32</f>
        <v>55120357</v>
      </c>
      <c r="G32" s="33">
        <f>KANWIL!G32+SURABAYA!G32+KEDIRI!G32+MALANG!G32+MADIUN!G32+BANYUWANGI!G32</f>
        <v>0</v>
      </c>
      <c r="H32" s="33">
        <f>KANWIL!H32+SURABAYA!H32+KEDIRI!H32+MALANG!H32+MADIUN!H32+BANYUWANGI!H32</f>
        <v>1130269</v>
      </c>
      <c r="I32" s="33">
        <f>KANWIL!I32+SURABAYA!I32+KEDIRI!I32+MALANG!I32+MADIUN!I32+BANYUWANGI!I32</f>
        <v>1454687</v>
      </c>
      <c r="J32" s="33">
        <f>KANWIL!J32+SURABAYA!J32+KEDIRI!J32+MALANG!J32+MADIUN!J32+BANYUWANGI!J32</f>
        <v>6400635</v>
      </c>
      <c r="K32" s="33">
        <f t="shared" si="15"/>
        <v>64105948</v>
      </c>
      <c r="L32" s="33">
        <f>KANWIL!L32+SURABAYA!L32+KEDIRI!L32+MALANG!L32+MADIUN!L32+BANYUWANGI!L32</f>
        <v>0</v>
      </c>
      <c r="M32" s="33">
        <f>KANWIL!M32+SURABAYA!M32+KEDIRI!M32+MALANG!M32+MADIUN!M32+BANYUWANGI!M32</f>
        <v>0</v>
      </c>
      <c r="N32" s="33">
        <f>KANWIL!N32+SURABAYA!N32+KEDIRI!N32+MALANG!N32+MADIUN!N32+BANYUWANGI!N32</f>
        <v>0</v>
      </c>
      <c r="O32" s="19">
        <f t="shared" si="16"/>
        <v>0</v>
      </c>
      <c r="P32" s="37">
        <f t="shared" si="17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3">
        <f>KANWIL!F33+SURABAYA!F33+KEDIRI!F33+MALANG!F33+MADIUN!F33+BANYUWANGI!F33</f>
        <v>873635539</v>
      </c>
      <c r="G33" s="33">
        <f>KANWIL!G33+SURABAYA!G33+KEDIRI!G33+MALANG!G33+MADIUN!G33+BANYUWANGI!G33</f>
        <v>0</v>
      </c>
      <c r="H33" s="33">
        <f>KANWIL!H33+SURABAYA!H33+KEDIRI!H33+MALANG!H33+MADIUN!H33+BANYUWANGI!H33</f>
        <v>17914319</v>
      </c>
      <c r="I33" s="33">
        <f>KANWIL!I33+SURABAYA!I33+KEDIRI!I33+MALANG!I33+MADIUN!I33+BANYUWANGI!I33</f>
        <v>23056200</v>
      </c>
      <c r="J33" s="33">
        <f>KANWIL!J33+SURABAYA!J33+KEDIRI!J33+MALANG!J33+MADIUN!J33+BANYUWANGI!J33</f>
        <v>101447493</v>
      </c>
      <c r="K33" s="33">
        <f t="shared" si="15"/>
        <v>1016053551</v>
      </c>
      <c r="L33" s="33">
        <f>KANWIL!L33+SURABAYA!L33+KEDIRI!L33+MALANG!L33+MADIUN!L33+BANYUWANGI!L33</f>
        <v>0</v>
      </c>
      <c r="M33" s="33">
        <f>KANWIL!M33+SURABAYA!M33+KEDIRI!M33+MALANG!M33+MADIUN!M33+BANYUWANGI!M33</f>
        <v>0</v>
      </c>
      <c r="N33" s="33">
        <f>KANWIL!N33+SURABAYA!N33+KEDIRI!N33+MALANG!N33+MADIUN!N33+BANYUWANGI!N33</f>
        <v>0</v>
      </c>
      <c r="O33" s="19">
        <f t="shared" si="16"/>
        <v>0</v>
      </c>
      <c r="P33" s="37">
        <f t="shared" si="17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3">
        <f>KANWIL!F34+SURABAYA!F34+KEDIRI!F34+MALANG!F34+MADIUN!F34+BANYUWANGI!F34</f>
        <v>9945044587</v>
      </c>
      <c r="G34" s="33">
        <f>KANWIL!G34+SURABAYA!G34+KEDIRI!G34+MALANG!G34+MADIUN!G34+BANYUWANGI!G34</f>
        <v>0</v>
      </c>
      <c r="H34" s="33">
        <f>KANWIL!H34+SURABAYA!H34+KEDIRI!H34+MALANG!H34+MADIUN!H34+BANYUWANGI!H34</f>
        <v>203927943</v>
      </c>
      <c r="I34" s="33">
        <f>KANWIL!I34+SURABAYA!I34+KEDIRI!I34+MALANG!I34+MADIUN!I34+BANYUWANGI!I34</f>
        <v>262460630</v>
      </c>
      <c r="J34" s="33">
        <f>KANWIL!J34+SURABAYA!J34+KEDIRI!J34+MALANG!J34+MADIUN!J34+BANYUWANGI!J34</f>
        <v>1154829224</v>
      </c>
      <c r="K34" s="33">
        <f t="shared" si="15"/>
        <v>11566262384</v>
      </c>
      <c r="L34" s="33">
        <f>KANWIL!L34+SURABAYA!L34+KEDIRI!L34+MALANG!L34+MADIUN!L34+BANYUWANGI!L34</f>
        <v>4990491345.4800005</v>
      </c>
      <c r="M34" s="33">
        <f>KANWIL!M34+SURABAYA!M34+KEDIRI!M34+MALANG!M34+MADIUN!M34+BANYUWANGI!M34</f>
        <v>0</v>
      </c>
      <c r="N34" s="33">
        <f>KANWIL!N34+SURABAYA!N34+KEDIRI!N34+MALANG!N34+MADIUN!N34+BANYUWANGI!N34</f>
        <v>2191492637.6399999</v>
      </c>
      <c r="O34" s="19">
        <f t="shared" si="16"/>
        <v>7181983983.1200008</v>
      </c>
      <c r="P34" s="37">
        <f t="shared" si="17"/>
        <v>0.62094250888299762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3">
        <f>KANWIL!F35+SURABAYA!F35+KEDIRI!F35+MALANG!F35+MADIUN!F35+BANYUWANGI!F35</f>
        <v>0</v>
      </c>
      <c r="G35" s="33">
        <f>KANWIL!G35+SURABAYA!G35+KEDIRI!G35+MALANG!G35+MADIUN!G35+BANYUWANGI!G35</f>
        <v>0</v>
      </c>
      <c r="H35" s="33">
        <f>KANWIL!H35+SURABAYA!H35+KEDIRI!H35+MALANG!H35+MADIUN!H35+BANYUWANGI!H35</f>
        <v>0</v>
      </c>
      <c r="I35" s="33">
        <f>KANWIL!I35+SURABAYA!I35+KEDIRI!I35+MALANG!I35+MADIUN!I35+BANYUWANGI!I35</f>
        <v>0</v>
      </c>
      <c r="J35" s="33">
        <f>KANWIL!J35+SURABAYA!J35+KEDIRI!J35+MALANG!J35+MADIUN!J35+BANYUWANGI!J35</f>
        <v>0</v>
      </c>
      <c r="K35" s="33">
        <f t="shared" si="15"/>
        <v>0</v>
      </c>
      <c r="L35" s="33">
        <f>KANWIL!L35+SURABAYA!L35+KEDIRI!L35+MALANG!L35+MADIUN!L35+BANYUWANGI!L35</f>
        <v>0</v>
      </c>
      <c r="M35" s="33">
        <f>KANWIL!M35+SURABAYA!M35+KEDIRI!M35+MALANG!M35+MADIUN!M35+BANYUWANGI!M35</f>
        <v>0</v>
      </c>
      <c r="N35" s="33">
        <f>KANWIL!N35+SURABAYA!N35+KEDIRI!N35+MALANG!N35+MADIUN!N35+BANYUWANGI!N35</f>
        <v>0</v>
      </c>
      <c r="O35" s="19">
        <f t="shared" si="16"/>
        <v>0</v>
      </c>
      <c r="P35" s="37">
        <v>0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3">
        <f>KANWIL!F36+SURABAYA!F36+KEDIRI!F36+MALANG!F36+MADIUN!F36+BANYUWANGI!F36</f>
        <v>0</v>
      </c>
      <c r="G36" s="33">
        <f>KANWIL!G36+SURABAYA!G36+KEDIRI!G36+MALANG!G36+MADIUN!G36+BANYUWANGI!G36</f>
        <v>0</v>
      </c>
      <c r="H36" s="33">
        <f>KANWIL!H36+SURABAYA!H36+KEDIRI!H36+MALANG!H36+MADIUN!H36+BANYUWANGI!H36</f>
        <v>0</v>
      </c>
      <c r="I36" s="33">
        <f>KANWIL!I36+SURABAYA!I36+KEDIRI!I36+MALANG!I36+MADIUN!I36+BANYUWANGI!I36</f>
        <v>0</v>
      </c>
      <c r="J36" s="33">
        <f>KANWIL!J36+SURABAYA!J36+KEDIRI!J36+MALANG!J36+MADIUN!J36+BANYUWANGI!J36</f>
        <v>0</v>
      </c>
      <c r="K36" s="33">
        <f t="shared" si="15"/>
        <v>0</v>
      </c>
      <c r="L36" s="33">
        <f>KANWIL!L36+SURABAYA!L36+KEDIRI!L36+MALANG!L36+MADIUN!L36+BANYUWANGI!L36</f>
        <v>0</v>
      </c>
      <c r="M36" s="33">
        <f>KANWIL!M36+SURABAYA!M36+KEDIRI!M36+MALANG!M36+MADIUN!M36+BANYUWANGI!M36</f>
        <v>0</v>
      </c>
      <c r="N36" s="33">
        <f>KANWIL!N36+SURABAYA!N36+KEDIRI!N36+MALANG!N36+MADIUN!N36+BANYUWANGI!N36</f>
        <v>0</v>
      </c>
      <c r="O36" s="19">
        <f t="shared" si="16"/>
        <v>0</v>
      </c>
      <c r="P36" s="37">
        <v>0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3">
        <f>KANWIL!F37+SURABAYA!F37+KEDIRI!F37+MALANG!F37+MADIUN!F37+BANYUWANGI!F37</f>
        <v>1321025775</v>
      </c>
      <c r="G37" s="33">
        <f>KANWIL!G37+SURABAYA!G37+KEDIRI!G37+MALANG!G37+MADIUN!G37+BANYUWANGI!G37</f>
        <v>0</v>
      </c>
      <c r="H37" s="33">
        <f>KANWIL!H37+SURABAYA!H37+KEDIRI!H37+MALANG!H37+MADIUN!H37+BANYUWANGI!H37</f>
        <v>27088272</v>
      </c>
      <c r="I37" s="33">
        <f>KANWIL!I37+SURABAYA!I37+KEDIRI!I37+MALANG!I37+MADIUN!I37+BANYUWANGI!I37</f>
        <v>34863319</v>
      </c>
      <c r="J37" s="33">
        <f>KANWIL!J37+SURABAYA!J37+KEDIRI!J37+MALANG!J37+MADIUN!J37+BANYUWANGI!J37</f>
        <v>153398927</v>
      </c>
      <c r="K37" s="33">
        <f t="shared" si="15"/>
        <v>1536376293</v>
      </c>
      <c r="L37" s="33">
        <f>KANWIL!L37+SURABAYA!L37+KEDIRI!L37+MALANG!L37+MADIUN!L37+BANYUWANGI!L37</f>
        <v>0</v>
      </c>
      <c r="M37" s="33">
        <f>KANWIL!M37+SURABAYA!M37+KEDIRI!M37+MALANG!M37+MADIUN!M37+BANYUWANGI!M37</f>
        <v>0</v>
      </c>
      <c r="N37" s="33">
        <f>KANWIL!N37+SURABAYA!N37+KEDIRI!N37+MALANG!N37+MADIUN!N37+BANYUWANGI!N37</f>
        <v>0</v>
      </c>
      <c r="O37" s="19">
        <f t="shared" si="16"/>
        <v>0</v>
      </c>
      <c r="P37" s="37">
        <f t="shared" ref="P37:P49" si="18">O37/K37</f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3">
        <f>KANWIL!F38+SURABAYA!F38+KEDIRI!F38+MALANG!F38+MADIUN!F38+BANYUWANGI!F38</f>
        <v>335276936</v>
      </c>
      <c r="G38" s="33">
        <f>KANWIL!G38+SURABAYA!G38+KEDIRI!G38+MALANG!G38+MADIUN!G38+BANYUWANGI!G38</f>
        <v>0</v>
      </c>
      <c r="H38" s="33">
        <f>KANWIL!H38+SURABAYA!H38+KEDIRI!H38+MALANG!H38+MADIUN!H38+BANYUWANGI!H38</f>
        <v>6875015</v>
      </c>
      <c r="I38" s="33">
        <f>KANWIL!I38+SURABAYA!I38+KEDIRI!I38+MALANG!I38+MADIUN!I38+BANYUWANGI!I38</f>
        <v>8848326</v>
      </c>
      <c r="J38" s="33">
        <f>KANWIL!J38+SURABAYA!J38+KEDIRI!J38+MALANG!J38+MADIUN!J38+BANYUWANGI!J38</f>
        <v>38932718</v>
      </c>
      <c r="K38" s="33">
        <f t="shared" si="15"/>
        <v>389932995</v>
      </c>
      <c r="L38" s="33">
        <f>KANWIL!L38+SURABAYA!L38+KEDIRI!L38+MALANG!L38+MADIUN!L38+BANYUWANGI!L38</f>
        <v>0</v>
      </c>
      <c r="M38" s="33">
        <f>KANWIL!M38+SURABAYA!M38+KEDIRI!M38+MALANG!M38+MADIUN!M38+BANYUWANGI!M38</f>
        <v>0</v>
      </c>
      <c r="N38" s="33">
        <f>KANWIL!N38+SURABAYA!N38+KEDIRI!N38+MALANG!N38+MADIUN!N38+BANYUWANGI!N38</f>
        <v>0</v>
      </c>
      <c r="O38" s="19">
        <f t="shared" si="16"/>
        <v>0</v>
      </c>
      <c r="P38" s="37">
        <f t="shared" si="18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3">
        <f>KANWIL!F39+SURABAYA!F39+KEDIRI!F39+MALANG!F39+MADIUN!F39+BANYUWANGI!F39</f>
        <v>475623528</v>
      </c>
      <c r="G39" s="33">
        <f>KANWIL!G39+SURABAYA!G39+KEDIRI!G39+MALANG!G39+MADIUN!G39+BANYUWANGI!G39</f>
        <v>0</v>
      </c>
      <c r="H39" s="33">
        <f>KANWIL!H39+SURABAYA!H39+KEDIRI!H39+MALANG!H39+MADIUN!H39+BANYUWANGI!H39</f>
        <v>9752891</v>
      </c>
      <c r="I39" s="33">
        <f>KANWIL!I39+SURABAYA!I39+KEDIRI!I39+MALANG!I39+MADIUN!I39+BANYUWANGI!I39</f>
        <v>12552226</v>
      </c>
      <c r="J39" s="33">
        <f>KANWIL!J39+SURABAYA!J39+KEDIRI!J39+MALANG!J39+MADIUN!J39+BANYUWANGI!J39</f>
        <v>55229913</v>
      </c>
      <c r="K39" s="33">
        <f t="shared" si="15"/>
        <v>553158558</v>
      </c>
      <c r="L39" s="33">
        <f>KANWIL!L39+SURABAYA!L39+KEDIRI!L39+MALANG!L39+MADIUN!L39+BANYUWANGI!L39</f>
        <v>0</v>
      </c>
      <c r="M39" s="33">
        <f>KANWIL!M39+SURABAYA!M39+KEDIRI!M39+MALANG!M39+MADIUN!M39+BANYUWANGI!M39</f>
        <v>0</v>
      </c>
      <c r="N39" s="33">
        <f>KANWIL!N39+SURABAYA!N39+KEDIRI!N39+MALANG!N39+MADIUN!N39+BANYUWANGI!N39</f>
        <v>0</v>
      </c>
      <c r="O39" s="19">
        <f t="shared" si="16"/>
        <v>0</v>
      </c>
      <c r="P39" s="37">
        <f t="shared" si="18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3">
        <f>KANWIL!F40+SURABAYA!F40+KEDIRI!F40+MALANG!F40+MADIUN!F40+BANYUWANGI!F40</f>
        <v>69028547</v>
      </c>
      <c r="G40" s="33">
        <f>KANWIL!G40+SURABAYA!G40+KEDIRI!G40+MALANG!G40+MADIUN!G40+BANYUWANGI!G40</f>
        <v>0</v>
      </c>
      <c r="H40" s="33">
        <f>KANWIL!H40+SURABAYA!H40+KEDIRI!H40+MALANG!H40+MADIUN!H40+BANYUWANGI!H40</f>
        <v>1415464</v>
      </c>
      <c r="I40" s="33">
        <f>KANWIL!I40+SURABAYA!I40+KEDIRI!I40+MALANG!I40+MADIUN!I40+BANYUWANGI!I40</f>
        <v>1821739</v>
      </c>
      <c r="J40" s="33">
        <f>KANWIL!J40+SURABAYA!J40+KEDIRI!J40+MALANG!J40+MADIUN!J40+BANYUWANGI!J40</f>
        <v>8015669</v>
      </c>
      <c r="K40" s="33">
        <f t="shared" si="15"/>
        <v>80281419</v>
      </c>
      <c r="L40" s="33">
        <f>KANWIL!L40+SURABAYA!L40+KEDIRI!L40+MALANG!L40+MADIUN!L40+BANYUWANGI!L40</f>
        <v>0</v>
      </c>
      <c r="M40" s="33">
        <f>KANWIL!M40+SURABAYA!M40+KEDIRI!M40+MALANG!M40+MADIUN!M40+BANYUWANGI!M40</f>
        <v>0</v>
      </c>
      <c r="N40" s="33">
        <f>KANWIL!N40+SURABAYA!N40+KEDIRI!N40+MALANG!N40+MADIUN!N40+BANYUWANGI!N40</f>
        <v>0</v>
      </c>
      <c r="O40" s="19">
        <f t="shared" si="16"/>
        <v>0</v>
      </c>
      <c r="P40" s="37">
        <f t="shared" si="18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3">
        <f>KANWIL!F41+SURABAYA!F41+KEDIRI!F41+MALANG!F41+MADIUN!F41+BANYUWANGI!F41</f>
        <v>159944196</v>
      </c>
      <c r="G41" s="33">
        <f>KANWIL!G41+SURABAYA!G41+KEDIRI!G41+MALANG!G41+MADIUN!G41+BANYUWANGI!G41</f>
        <v>0</v>
      </c>
      <c r="H41" s="33">
        <f>KANWIL!H41+SURABAYA!H41+KEDIRI!H41+MALANG!H41+MADIUN!H41+BANYUWANGI!H41</f>
        <v>3279733</v>
      </c>
      <c r="I41" s="33">
        <f>KANWIL!I41+SURABAYA!I41+KEDIRI!I41+MALANG!I41+MADIUN!I41+BANYUWANGI!I41</f>
        <v>4221101</v>
      </c>
      <c r="J41" s="33">
        <f>KANWIL!J41+SURABAYA!J41+KEDIRI!J41+MALANG!J41+MADIUN!J41+BANYUWANGI!J41</f>
        <v>18572892</v>
      </c>
      <c r="K41" s="33">
        <f t="shared" si="15"/>
        <v>186017922</v>
      </c>
      <c r="L41" s="33">
        <f>KANWIL!L41+SURABAYA!L41+KEDIRI!L41+MALANG!L41+MADIUN!L41+BANYUWANGI!L41</f>
        <v>0</v>
      </c>
      <c r="M41" s="33">
        <f>KANWIL!M41+SURABAYA!M41+KEDIRI!M41+MALANG!M41+MADIUN!M41+BANYUWANGI!M41</f>
        <v>0</v>
      </c>
      <c r="N41" s="33">
        <f>KANWIL!N41+SURABAYA!N41+KEDIRI!N41+MALANG!N41+MADIUN!N41+BANYUWANGI!N41</f>
        <v>0</v>
      </c>
      <c r="O41" s="19">
        <f t="shared" si="16"/>
        <v>0</v>
      </c>
      <c r="P41" s="37">
        <f t="shared" si="18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3">
        <f>KANWIL!F42+SURABAYA!F42+KEDIRI!F42+MALANG!F42+MADIUN!F42+BANYUWANGI!F42</f>
        <v>2027967651</v>
      </c>
      <c r="G42" s="33">
        <f>KANWIL!G42+SURABAYA!G42+KEDIRI!G42+MALANG!G42+MADIUN!G42+BANYUWANGI!G42</f>
        <v>0</v>
      </c>
      <c r="H42" s="33">
        <f>KANWIL!H42+SURABAYA!H42+KEDIRI!H42+MALANG!H42+MADIUN!H42+BANYUWANGI!H42</f>
        <v>41584457</v>
      </c>
      <c r="I42" s="33">
        <f>KANWIL!I42+SURABAYA!I42+KEDIRI!I42+MALANG!I42+MADIUN!I42+BANYUWANGI!I42</f>
        <v>53520289</v>
      </c>
      <c r="J42" s="33">
        <f>KANWIL!J42+SURABAYA!J42+KEDIRI!J42+MALANG!J42+MADIUN!J42+BANYUWANGI!J42</f>
        <v>235489774</v>
      </c>
      <c r="K42" s="33">
        <f t="shared" si="15"/>
        <v>2358562171</v>
      </c>
      <c r="L42" s="33">
        <f>KANWIL!L42+SURABAYA!L42+KEDIRI!L42+MALANG!L42+MADIUN!L42+BANYUWANGI!L42</f>
        <v>1507369058.6300001</v>
      </c>
      <c r="M42" s="33">
        <f>KANWIL!M42+SURABAYA!M42+KEDIRI!M42+MALANG!M42+MADIUN!M42+BANYUWANGI!M42</f>
        <v>0</v>
      </c>
      <c r="N42" s="33">
        <f>KANWIL!N42+SURABAYA!N42+KEDIRI!N42+MALANG!N42+MADIUN!N42+BANYUWANGI!N42</f>
        <v>689428209.24999988</v>
      </c>
      <c r="O42" s="19">
        <f t="shared" si="16"/>
        <v>2196797267.8800001</v>
      </c>
      <c r="P42" s="37">
        <f t="shared" si="18"/>
        <v>0.93141376338983095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3">
        <f>KANWIL!F43+SURABAYA!F43+KEDIRI!F43+MALANG!F43+MADIUN!F43+BANYUWANGI!F43</f>
        <v>6863069834</v>
      </c>
      <c r="G43" s="33">
        <f>KANWIL!G43+SURABAYA!G43+KEDIRI!G43+MALANG!G43+MADIUN!G43+BANYUWANGI!G43</f>
        <v>0</v>
      </c>
      <c r="H43" s="33">
        <f>KANWIL!H43+SURABAYA!H43+KEDIRI!H43+MALANG!H43+MADIUN!H43+BANYUWANGI!H43</f>
        <v>140730562</v>
      </c>
      <c r="I43" s="33">
        <f>KANWIL!I43+SURABAYA!I43+KEDIRI!I43+MALANG!I43+MADIUN!I43+BANYUWANGI!I43</f>
        <v>181123936</v>
      </c>
      <c r="J43" s="33">
        <f>KANWIL!J43+SURABAYA!J43+KEDIRI!J43+MALANG!J43+MADIUN!J43+BANYUWANGI!J43</f>
        <v>796947017</v>
      </c>
      <c r="K43" s="33">
        <f t="shared" si="15"/>
        <v>7981871349</v>
      </c>
      <c r="L43" s="33">
        <f>KANWIL!L43+SURABAYA!L43+KEDIRI!L43+MALANG!L43+MADIUN!L43+BANYUWANGI!L43</f>
        <v>981196774.07999992</v>
      </c>
      <c r="M43" s="33">
        <f>KANWIL!M43+SURABAYA!M43+KEDIRI!M43+MALANG!M43+MADIUN!M43+BANYUWANGI!M43</f>
        <v>0</v>
      </c>
      <c r="N43" s="33">
        <f>KANWIL!N43+SURABAYA!N43+KEDIRI!N43+MALANG!N43+MADIUN!N43+BANYUWANGI!N43</f>
        <v>471067681.59999996</v>
      </c>
      <c r="O43" s="19">
        <f t="shared" si="16"/>
        <v>1452264455.6799998</v>
      </c>
      <c r="P43" s="37">
        <f t="shared" si="18"/>
        <v>0.18194535995145364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3">
        <f>KANWIL!F44+SURABAYA!F44+KEDIRI!F44+MALANG!F44+MADIUN!F44+BANYUWANGI!F44</f>
        <v>313456462</v>
      </c>
      <c r="G44" s="33">
        <f>KANWIL!G44+SURABAYA!G44+KEDIRI!G44+MALANG!G44+MADIUN!G44+BANYUWANGI!G44</f>
        <v>0</v>
      </c>
      <c r="H44" s="33">
        <f>KANWIL!H44+SURABAYA!H44+KEDIRI!H44+MALANG!H44+MADIUN!H44+BANYUWANGI!H44</f>
        <v>6427576</v>
      </c>
      <c r="I44" s="33">
        <f>KANWIL!I44+SURABAYA!I44+KEDIRI!I44+MALANG!I44+MADIUN!I44+BANYUWANGI!I44</f>
        <v>8272461</v>
      </c>
      <c r="J44" s="33">
        <f>KANWIL!J44+SURABAYA!J44+KEDIRI!J44+MALANG!J44+MADIUN!J44+BANYUWANGI!J44</f>
        <v>36398899</v>
      </c>
      <c r="K44" s="33">
        <f t="shared" si="15"/>
        <v>364555398</v>
      </c>
      <c r="L44" s="33">
        <f>KANWIL!L44+SURABAYA!L44+KEDIRI!L44+MALANG!L44+MADIUN!L44+BANYUWANGI!L44</f>
        <v>178401298.59999999</v>
      </c>
      <c r="M44" s="33">
        <f>KANWIL!M44+SURABAYA!M44+KEDIRI!M44+MALANG!M44+MADIUN!M44+BANYUWANGI!M44</f>
        <v>0</v>
      </c>
      <c r="N44" s="33">
        <f>KANWIL!N44+SURABAYA!N44+KEDIRI!N44+MALANG!N44+MADIUN!N44+BANYUWANGI!N44</f>
        <v>78315368.399999976</v>
      </c>
      <c r="O44" s="19">
        <f t="shared" si="16"/>
        <v>256716666.99999997</v>
      </c>
      <c r="P44" s="37">
        <f t="shared" si="18"/>
        <v>0.70419110074458413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3">
        <f>KANWIL!F45+SURABAYA!F45+KEDIRI!F45+MALANG!F45+MADIUN!F45+BANYUWANGI!F45</f>
        <v>4718703168</v>
      </c>
      <c r="G45" s="33">
        <f>KANWIL!G45+SURABAYA!G45+KEDIRI!G45+MALANG!G45+MADIUN!G45+BANYUWANGI!G45</f>
        <v>0</v>
      </c>
      <c r="H45" s="33">
        <f>KANWIL!H45+SURABAYA!H45+KEDIRI!H45+MALANG!H45+MADIUN!H45+BANYUWANGI!H45</f>
        <v>96759287</v>
      </c>
      <c r="I45" s="33">
        <f>KANWIL!I45+SURABAYA!I45+KEDIRI!I45+MALANG!I45+MADIUN!I45+BANYUWANGI!I45</f>
        <v>124531748</v>
      </c>
      <c r="J45" s="33">
        <f>KANWIL!J45+SURABAYA!J45+KEDIRI!J45+MALANG!J45+MADIUN!J45+BANYUWANGI!J45</f>
        <v>547940862</v>
      </c>
      <c r="K45" s="33">
        <f t="shared" si="15"/>
        <v>5487935065</v>
      </c>
      <c r="L45" s="33">
        <f>KANWIL!L45+SURABAYA!L45+KEDIRI!L45+MALANG!L45+MADIUN!L45+BANYUWANGI!L45</f>
        <v>2325539304.6300001</v>
      </c>
      <c r="M45" s="33">
        <f>KANWIL!M45+SURABAYA!M45+KEDIRI!M45+MALANG!M45+MADIUN!M45+BANYUWANGI!M45</f>
        <v>0</v>
      </c>
      <c r="N45" s="33">
        <f>KANWIL!N45+SURABAYA!N45+KEDIRI!N45+MALANG!N45+MADIUN!N45+BANYUWANGI!N45</f>
        <v>1021819029.3699999</v>
      </c>
      <c r="O45" s="19">
        <f t="shared" si="16"/>
        <v>3347358334</v>
      </c>
      <c r="P45" s="37">
        <f t="shared" si="18"/>
        <v>0.60994860441192189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3">
        <f>KANWIL!F46+SURABAYA!F46+KEDIRI!F46+MALANG!F46+MADIUN!F46+BANYUWANGI!F46</f>
        <v>109801507</v>
      </c>
      <c r="G46" s="33">
        <f>KANWIL!G46+SURABAYA!G46+KEDIRI!G46+MALANG!G46+MADIUN!G46+BANYUWANGI!G46</f>
        <v>0</v>
      </c>
      <c r="H46" s="33">
        <f>KANWIL!H46+SURABAYA!H46+KEDIRI!H46+MALANG!H46+MADIUN!H46+BANYUWANGI!H46</f>
        <v>2251533</v>
      </c>
      <c r="I46" s="33">
        <f>KANWIL!I46+SURABAYA!I46+KEDIRI!I46+MALANG!I46+MADIUN!I46+BANYUWANGI!I46</f>
        <v>2897782</v>
      </c>
      <c r="J46" s="33">
        <f>KANWIL!J46+SURABAYA!J46+KEDIRI!J46+MALANG!J46+MADIUN!J46+BANYUWANGI!J46</f>
        <v>12750269</v>
      </c>
      <c r="K46" s="33">
        <f t="shared" si="15"/>
        <v>127701091</v>
      </c>
      <c r="L46" s="33">
        <f>KANWIL!L46+SURABAYA!L46+KEDIRI!L46+MALANG!L46+MADIUN!L46+BANYUWANGI!L46</f>
        <v>0</v>
      </c>
      <c r="M46" s="33">
        <f>KANWIL!M46+SURABAYA!M46+KEDIRI!M46+MALANG!M46+MADIUN!M46+BANYUWANGI!M46</f>
        <v>0</v>
      </c>
      <c r="N46" s="33">
        <f>KANWIL!N46+SURABAYA!N46+KEDIRI!N46+MALANG!N46+MADIUN!N46+BANYUWANGI!N46</f>
        <v>0</v>
      </c>
      <c r="O46" s="19">
        <f t="shared" si="16"/>
        <v>0</v>
      </c>
      <c r="P46" s="37">
        <f t="shared" si="18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3">
        <f>KANWIL!F47+SURABAYA!F47+KEDIRI!F47+MALANG!F47+MADIUN!F47+BANYUWANGI!F47</f>
        <v>1053484460</v>
      </c>
      <c r="G47" s="33">
        <f>KANWIL!G47+SURABAYA!G47+KEDIRI!G47+MALANG!G47+MADIUN!G47+BANYUWANGI!G47</f>
        <v>0</v>
      </c>
      <c r="H47" s="33">
        <f>KANWIL!H47+SURABAYA!H47+KEDIRI!H47+MALANG!H47+MADIUN!H47+BANYUWANGI!H47</f>
        <v>21602207</v>
      </c>
      <c r="I47" s="33">
        <f>KANWIL!I47+SURABAYA!I47+KEDIRI!I47+MALANG!I47+MADIUN!I47+BANYUWANGI!I47</f>
        <v>27802609</v>
      </c>
      <c r="J47" s="33">
        <f>KANWIL!J47+SURABAYA!J47+KEDIRI!J47+MALANG!J47+MADIUN!J47+BANYUWANGI!J47</f>
        <v>122331745</v>
      </c>
      <c r="K47" s="33">
        <f t="shared" si="15"/>
        <v>1225221021</v>
      </c>
      <c r="L47" s="33">
        <f>KANWIL!L47+SURABAYA!L47+KEDIRI!L47+MALANG!L47+MADIUN!L47+BANYUWANGI!L47</f>
        <v>0</v>
      </c>
      <c r="M47" s="33">
        <f>KANWIL!M47+SURABAYA!M47+KEDIRI!M47+MALANG!M47+MADIUN!M47+BANYUWANGI!M47</f>
        <v>0</v>
      </c>
      <c r="N47" s="33">
        <f>KANWIL!N47+SURABAYA!N47+KEDIRI!N47+MALANG!N47+MADIUN!N47+BANYUWANGI!N47</f>
        <v>0</v>
      </c>
      <c r="O47" s="19">
        <f t="shared" si="16"/>
        <v>0</v>
      </c>
      <c r="P47" s="37">
        <f t="shared" si="18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3">
        <f>KANWIL!F48+SURABAYA!F48+KEDIRI!F48+MALANG!F48+MADIUN!F48+BANYUWANGI!F48</f>
        <v>1290953987</v>
      </c>
      <c r="G48" s="33">
        <f>KANWIL!G48+SURABAYA!G48+KEDIRI!G48+MALANG!G48+MADIUN!G48+BANYUWANGI!G48</f>
        <v>0</v>
      </c>
      <c r="H48" s="33">
        <f>KANWIL!H48+SURABAYA!H48+KEDIRI!H48+MALANG!H48+MADIUN!H48+BANYUWANGI!H48</f>
        <v>26471636</v>
      </c>
      <c r="I48" s="33">
        <f>KANWIL!I48+SURABAYA!I48+KEDIRI!I48+MALANG!I48+MADIUN!I48+BANYUWANGI!I48</f>
        <v>34069692</v>
      </c>
      <c r="J48" s="33">
        <f>KANWIL!J48+SURABAYA!J48+KEDIRI!J48+MALANG!J48+MADIUN!J48+BANYUWANGI!J48</f>
        <v>149906959</v>
      </c>
      <c r="K48" s="33">
        <f t="shared" si="15"/>
        <v>1501402274</v>
      </c>
      <c r="L48" s="33">
        <f>KANWIL!L48+SURABAYA!L48+KEDIRI!L48+MALANG!L48+MADIUN!L48+BANYUWANGI!L48</f>
        <v>691848060.60000002</v>
      </c>
      <c r="M48" s="33">
        <f>KANWIL!M48+SURABAYA!M48+KEDIRI!M48+MALANG!M48+MADIUN!M48+BANYUWANGI!M48</f>
        <v>0</v>
      </c>
      <c r="N48" s="33">
        <f>KANWIL!N48+SURABAYA!N48+KEDIRI!N48+MALANG!N48+MADIUN!N48+BANYUWANGI!N48</f>
        <v>296201939.39999998</v>
      </c>
      <c r="O48" s="19">
        <f t="shared" si="16"/>
        <v>988050000</v>
      </c>
      <c r="P48" s="37">
        <f t="shared" si="18"/>
        <v>0.65808478987291052</v>
      </c>
    </row>
    <row r="49" spans="1:16" s="20" customFormat="1" x14ac:dyDescent="0.3">
      <c r="A49" s="20">
        <v>124</v>
      </c>
      <c r="B49" s="7"/>
      <c r="C49" s="8"/>
      <c r="D49" s="21"/>
      <c r="E49" s="24" t="s">
        <v>53</v>
      </c>
      <c r="F49" s="33">
        <f>KANWIL!F49+SURABAYA!F49+KEDIRI!F49+MALANG!F49+MADIUN!F49+BANYUWANGI!F49</f>
        <v>267732673</v>
      </c>
      <c r="G49" s="33">
        <f>KANWIL!G49+SURABAYA!G49+KEDIRI!G49+MALANG!G49+MADIUN!G49+BANYUWANGI!G49</f>
        <v>0</v>
      </c>
      <c r="H49" s="33">
        <f>KANWIL!H49+SURABAYA!H49+KEDIRI!H49+MALANG!H49+MADIUN!H49+BANYUWANGI!H49</f>
        <v>5489988</v>
      </c>
      <c r="I49" s="33">
        <f>KANWIL!I49+SURABAYA!I49+KEDIRI!I49+MALANG!I49+MADIUN!I49+BANYUWANGI!I49</f>
        <v>7065759</v>
      </c>
      <c r="J49" s="33">
        <f>KANWIL!J49+SURABAYA!J49+KEDIRI!J49+MALANG!J49+MADIUN!J49+BANYUWANGI!J49</f>
        <v>31089406</v>
      </c>
      <c r="K49" s="33">
        <f t="shared" si="15"/>
        <v>311377826</v>
      </c>
      <c r="L49" s="33">
        <f>KANWIL!L49+SURABAYA!L49+KEDIRI!L49+MALANG!L49+MADIUN!L49+BANYUWANGI!L49</f>
        <v>0</v>
      </c>
      <c r="M49" s="33">
        <f>KANWIL!M49+SURABAYA!M49+KEDIRI!M49+MALANG!M49+MADIUN!M49+BANYUWANGI!M49</f>
        <v>0</v>
      </c>
      <c r="N49" s="33">
        <f>KANWIL!N49+SURABAYA!N49+KEDIRI!N49+MALANG!N49+MADIUN!N49+BANYUWANGI!N49</f>
        <v>0</v>
      </c>
      <c r="O49" s="19">
        <f t="shared" si="16"/>
        <v>0</v>
      </c>
      <c r="P49" s="37">
        <f t="shared" si="18"/>
        <v>0</v>
      </c>
    </row>
    <row r="50" spans="1:16" s="20" customFormat="1" x14ac:dyDescent="0.3">
      <c r="A50" s="20">
        <v>143</v>
      </c>
      <c r="B50" s="7"/>
      <c r="C50" s="8"/>
      <c r="D50" s="21"/>
      <c r="E50" s="24" t="s">
        <v>54</v>
      </c>
      <c r="F50" s="33">
        <f>KANWIL!F50+SURABAYA!F50+KEDIRI!F50+MALANG!F50+MADIUN!F50+BANYUWANGI!F50</f>
        <v>0</v>
      </c>
      <c r="G50" s="33">
        <f>KANWIL!G50+SURABAYA!G50+KEDIRI!G50+MALANG!G50+MADIUN!G50+BANYUWANGI!G50</f>
        <v>0</v>
      </c>
      <c r="H50" s="33">
        <f>KANWIL!H50+SURABAYA!H50+KEDIRI!H50+MALANG!H50+MADIUN!H50+BANYUWANGI!H50</f>
        <v>0</v>
      </c>
      <c r="I50" s="33">
        <f>KANWIL!I50+SURABAYA!I50+KEDIRI!I50+MALANG!I50+MADIUN!I50+BANYUWANGI!I50</f>
        <v>0</v>
      </c>
      <c r="J50" s="33">
        <f>KANWIL!J50+SURABAYA!J50+KEDIRI!J50+MALANG!J50+MADIUN!J50+BANYUWANGI!J50</f>
        <v>0</v>
      </c>
      <c r="K50" s="33">
        <f t="shared" si="15"/>
        <v>0</v>
      </c>
      <c r="L50" s="33">
        <f>KANWIL!L50+SURABAYA!L50+KEDIRI!L50+MALANG!L50+MADIUN!L50+BANYUWANGI!L50</f>
        <v>-867581.56</v>
      </c>
      <c r="M50" s="33">
        <f>KANWIL!M50+SURABAYA!M50+KEDIRI!M50+MALANG!M50+MADIUN!M50+BANYUWANGI!M50</f>
        <v>0</v>
      </c>
      <c r="N50" s="33">
        <f>KANWIL!N50+SURABAYA!N50+KEDIRI!N50+MALANG!N50+MADIUN!N50+BANYUWANGI!N50</f>
        <v>867581.55999999982</v>
      </c>
      <c r="O50" s="19">
        <f t="shared" si="16"/>
        <v>0</v>
      </c>
      <c r="P50" s="37">
        <v>0</v>
      </c>
    </row>
    <row r="51" spans="1:16" s="20" customFormat="1" x14ac:dyDescent="0.3">
      <c r="A51" s="20">
        <v>0</v>
      </c>
      <c r="B51" s="7"/>
      <c r="C51" s="8"/>
      <c r="D51" s="21"/>
      <c r="E51" s="24" t="s">
        <v>55</v>
      </c>
      <c r="F51" s="33">
        <f>KANWIL!F51+SURABAYA!F51+KEDIRI!F51+MALANG!F51+MADIUN!F51+BANYUWANGI!F51</f>
        <v>610008373</v>
      </c>
      <c r="G51" s="33">
        <f>KANWIL!G51+SURABAYA!G51+KEDIRI!G51+MALANG!G51+MADIUN!G51+BANYUWANGI!G51</f>
        <v>0</v>
      </c>
      <c r="H51" s="33">
        <f>KANWIL!H51+SURABAYA!H51+KEDIRI!H51+MALANG!H51+MADIUN!H51+BANYUWANGI!H51</f>
        <v>12508516</v>
      </c>
      <c r="I51" s="33">
        <f>KANWIL!I51+SURABAYA!I51+KEDIRI!I51+MALANG!I51+MADIUN!I51+BANYUWANGI!I51</f>
        <v>16098789</v>
      </c>
      <c r="J51" s="33">
        <f>KANWIL!J51+SURABAYA!J51+KEDIRI!J51+MALANG!J51+MADIUN!J51+BANYUWANGI!J51</f>
        <v>70834826</v>
      </c>
      <c r="K51" s="33">
        <f t="shared" si="15"/>
        <v>709450504</v>
      </c>
      <c r="L51" s="33">
        <f>KANWIL!L51+SURABAYA!L51+KEDIRI!L51+MALANG!L51+MADIUN!L51+BANYUWANGI!L51</f>
        <v>412267853.72999996</v>
      </c>
      <c r="M51" s="33">
        <f>KANWIL!M51+SURABAYA!M51+KEDIRI!M51+MALANG!M51+MADIUN!M51+BANYUWANGI!M51</f>
        <v>0</v>
      </c>
      <c r="N51" s="33">
        <f>KANWIL!N51+SURABAYA!N51+KEDIRI!N51+MALANG!N51+MADIUN!N51+BANYUWANGI!N51</f>
        <v>182582481.26999995</v>
      </c>
      <c r="O51" s="19">
        <f t="shared" si="16"/>
        <v>594850334.99999988</v>
      </c>
      <c r="P51" s="37">
        <f>O51/K51</f>
        <v>0.83846629418984797</v>
      </c>
    </row>
    <row r="52" spans="1:16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40025922372</v>
      </c>
      <c r="G52" s="32">
        <f t="shared" ref="G52:K52" si="19">SUM(G29:G51)</f>
        <v>0</v>
      </c>
      <c r="H52" s="32">
        <f t="shared" si="19"/>
        <v>820750873</v>
      </c>
      <c r="I52" s="32">
        <f t="shared" si="19"/>
        <v>1056327972</v>
      </c>
      <c r="J52" s="32">
        <f t="shared" si="19"/>
        <v>4647852957</v>
      </c>
      <c r="K52" s="32">
        <f t="shared" si="19"/>
        <v>46550854174</v>
      </c>
      <c r="L52" s="32">
        <f t="shared" ref="L52" si="20">SUM(L29:L51)</f>
        <v>15070371939.610001</v>
      </c>
      <c r="M52" s="32">
        <f t="shared" ref="M52" si="21">SUM(M29:M51)</f>
        <v>0</v>
      </c>
      <c r="N52" s="32">
        <f t="shared" ref="N52" si="22">SUM(N29:N51)</f>
        <v>6677876931.1099987</v>
      </c>
      <c r="O52" s="16">
        <f t="shared" ref="O52" si="23">SUM(O29:O51)</f>
        <v>21748248870.720001</v>
      </c>
      <c r="P52" s="37">
        <f>O52/K52</f>
        <v>0.46719333633338628</v>
      </c>
    </row>
    <row r="53" spans="1:16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19"/>
    </row>
    <row r="54" spans="1:16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19"/>
    </row>
    <row r="55" spans="1:16" s="20" customFormat="1" x14ac:dyDescent="0.3">
      <c r="A55" s="20">
        <v>169</v>
      </c>
      <c r="B55" s="7"/>
      <c r="C55" s="8"/>
      <c r="D55" s="21"/>
      <c r="E55" s="24" t="s">
        <v>58</v>
      </c>
      <c r="F55" s="33">
        <f>KANWIL!F55+SURABAYA!F55+KEDIRI!F55+MALANG!F55+MADIUN!F55+BANYUWANGI!F55</f>
        <v>436599</v>
      </c>
      <c r="G55" s="33">
        <f>KANWIL!G55+SURABAYA!G55+KEDIRI!G55+MALANG!G55+MADIUN!G55+BANYUWANGI!G55</f>
        <v>0</v>
      </c>
      <c r="H55" s="33">
        <f>KANWIL!H55+SURABAYA!H55+KEDIRI!H55+MALANG!H55+MADIUN!H55+BANYUWANGI!H55</f>
        <v>8953</v>
      </c>
      <c r="I55" s="33">
        <f>KANWIL!I55+SURABAYA!I55+KEDIRI!I55+MALANG!I55+MADIUN!I55+BANYUWANGI!I55</f>
        <v>11522</v>
      </c>
      <c r="J55" s="33">
        <f>KANWIL!J55+SURABAYA!J55+KEDIRI!J55+MALANG!J55+MADIUN!J55+BANYUWANGI!J55</f>
        <v>50698</v>
      </c>
      <c r="K55" s="33">
        <f t="shared" ref="K55:K118" si="24">SUM(F55:J55)</f>
        <v>507772</v>
      </c>
      <c r="L55" s="33">
        <f>KANWIL!L55+SURABAYA!L55+KEDIRI!L55+MALANG!L55+MADIUN!L55+BANYUWANGI!L55</f>
        <v>0</v>
      </c>
      <c r="M55" s="33">
        <f>KANWIL!M55+SURABAYA!M55+KEDIRI!M55+MALANG!M55+MADIUN!M55+BANYUWANGI!M55</f>
        <v>0</v>
      </c>
      <c r="N55" s="33">
        <f>KANWIL!N55+SURABAYA!N55+KEDIRI!N55+MALANG!N55+MADIUN!N55+BANYUWANGI!N55</f>
        <v>0</v>
      </c>
      <c r="O55" s="19">
        <f t="shared" ref="O55:O118" si="25">SUM(L55:N55)</f>
        <v>0</v>
      </c>
      <c r="P55" s="37">
        <f>O55/K55</f>
        <v>0</v>
      </c>
    </row>
    <row r="56" spans="1:16" s="20" customFormat="1" x14ac:dyDescent="0.3">
      <c r="A56" s="20">
        <v>171</v>
      </c>
      <c r="B56" s="7"/>
      <c r="C56" s="8"/>
      <c r="D56" s="21"/>
      <c r="E56" s="24" t="s">
        <v>59</v>
      </c>
      <c r="F56" s="33">
        <f>KANWIL!F56+SURABAYA!F56+KEDIRI!F56+MALANG!F56+MADIUN!F56+BANYUWANGI!F56</f>
        <v>8349505</v>
      </c>
      <c r="G56" s="33">
        <f>KANWIL!G56+SURABAYA!G56+KEDIRI!G56+MALANG!G56+MADIUN!G56+BANYUWANGI!G56</f>
        <v>0</v>
      </c>
      <c r="H56" s="33">
        <f>KANWIL!H56+SURABAYA!H56+KEDIRI!H56+MALANG!H56+MADIUN!H56+BANYUWANGI!H56</f>
        <v>171211</v>
      </c>
      <c r="I56" s="33">
        <f>KANWIL!I56+SURABAYA!I56+KEDIRI!I56+MALANG!I56+MADIUN!I56+BANYUWANGI!I56</f>
        <v>220353</v>
      </c>
      <c r="J56" s="33">
        <f>KANWIL!J56+SURABAYA!J56+KEDIRI!J56+MALANG!J56+MADIUN!J56+BANYUWANGI!J56</f>
        <v>969554</v>
      </c>
      <c r="K56" s="33">
        <f t="shared" si="24"/>
        <v>9710623</v>
      </c>
      <c r="L56" s="33">
        <f>KANWIL!L56+SURABAYA!L56+KEDIRI!L56+MALANG!L56+MADIUN!L56+BANYUWANGI!L56</f>
        <v>0</v>
      </c>
      <c r="M56" s="33">
        <f>KANWIL!M56+SURABAYA!M56+KEDIRI!M56+MALANG!M56+MADIUN!M56+BANYUWANGI!M56</f>
        <v>0</v>
      </c>
      <c r="N56" s="33">
        <f>KANWIL!N56+SURABAYA!N56+KEDIRI!N56+MALANG!N56+MADIUN!N56+BANYUWANGI!N56</f>
        <v>0</v>
      </c>
      <c r="O56" s="19">
        <f t="shared" si="25"/>
        <v>0</v>
      </c>
      <c r="P56" s="37">
        <f>O56/K56</f>
        <v>0</v>
      </c>
    </row>
    <row r="57" spans="1:16" s="20" customFormat="1" x14ac:dyDescent="0.3">
      <c r="A57" s="20">
        <v>175</v>
      </c>
      <c r="B57" s="7"/>
      <c r="C57" s="8"/>
      <c r="D57" s="21"/>
      <c r="E57" s="24" t="s">
        <v>60</v>
      </c>
      <c r="F57" s="33">
        <f>KANWIL!F57+SURABAYA!F57+KEDIRI!F57+MALANG!F57+MADIUN!F57+BANYUWANGI!F57</f>
        <v>2646050</v>
      </c>
      <c r="G57" s="33">
        <f>KANWIL!G57+SURABAYA!G57+KEDIRI!G57+MALANG!G57+MADIUN!G57+BANYUWANGI!G57</f>
        <v>0</v>
      </c>
      <c r="H57" s="33">
        <f>KANWIL!H57+SURABAYA!H57+KEDIRI!H57+MALANG!H57+MADIUN!H57+BANYUWANGI!H57</f>
        <v>54259</v>
      </c>
      <c r="I57" s="33">
        <f>KANWIL!I57+SURABAYA!I57+KEDIRI!I57+MALANG!I57+MADIUN!I57+BANYUWANGI!I57</f>
        <v>69832</v>
      </c>
      <c r="J57" s="33">
        <f>KANWIL!J57+SURABAYA!J57+KEDIRI!J57+MALANG!J57+MADIUN!J57+BANYUWANGI!J57</f>
        <v>307262</v>
      </c>
      <c r="K57" s="33">
        <f t="shared" si="24"/>
        <v>3077403</v>
      </c>
      <c r="L57" s="33">
        <f>KANWIL!L57+SURABAYA!L57+KEDIRI!L57+MALANG!L57+MADIUN!L57+BANYUWANGI!L57</f>
        <v>0</v>
      </c>
      <c r="M57" s="33">
        <f>KANWIL!M57+SURABAYA!M57+KEDIRI!M57+MALANG!M57+MADIUN!M57+BANYUWANGI!M57</f>
        <v>0</v>
      </c>
      <c r="N57" s="33">
        <f>KANWIL!N57+SURABAYA!N57+KEDIRI!N57+MALANG!N57+MADIUN!N57+BANYUWANGI!N57</f>
        <v>0</v>
      </c>
      <c r="O57" s="19">
        <f t="shared" si="25"/>
        <v>0</v>
      </c>
      <c r="P57" s="37">
        <f>O57/K57</f>
        <v>0</v>
      </c>
    </row>
    <row r="58" spans="1:16" s="20" customFormat="1" x14ac:dyDescent="0.3">
      <c r="A58" s="20">
        <v>176</v>
      </c>
      <c r="B58" s="7"/>
      <c r="C58" s="8"/>
      <c r="D58" s="21"/>
      <c r="E58" s="24" t="s">
        <v>61</v>
      </c>
      <c r="F58" s="33">
        <f>KANWIL!F58+SURABAYA!F58+KEDIRI!F58+MALANG!F58+MADIUN!F58+BANYUWANGI!F58</f>
        <v>0</v>
      </c>
      <c r="G58" s="33">
        <f>KANWIL!G58+SURABAYA!G58+KEDIRI!G58+MALANG!G58+MADIUN!G58+BANYUWANGI!G58</f>
        <v>0</v>
      </c>
      <c r="H58" s="33">
        <f>KANWIL!H58+SURABAYA!H58+KEDIRI!H58+MALANG!H58+MADIUN!H58+BANYUWANGI!H58</f>
        <v>0</v>
      </c>
      <c r="I58" s="33">
        <f>KANWIL!I58+SURABAYA!I58+KEDIRI!I58+MALANG!I58+MADIUN!I58+BANYUWANGI!I58</f>
        <v>0</v>
      </c>
      <c r="J58" s="33">
        <f>KANWIL!J58+SURABAYA!J58+KEDIRI!J58+MALANG!J58+MADIUN!J58+BANYUWANGI!J58</f>
        <v>0</v>
      </c>
      <c r="K58" s="33">
        <f t="shared" si="24"/>
        <v>0</v>
      </c>
      <c r="L58" s="33">
        <f>KANWIL!L58+SURABAYA!L58+KEDIRI!L58+MALANG!L58+MADIUN!L58+BANYUWANGI!L58</f>
        <v>0</v>
      </c>
      <c r="M58" s="33">
        <f>KANWIL!M58+SURABAYA!M58+KEDIRI!M58+MALANG!M58+MADIUN!M58+BANYUWANGI!M58</f>
        <v>0</v>
      </c>
      <c r="N58" s="33">
        <f>KANWIL!N58+SURABAYA!N58+KEDIRI!N58+MALANG!N58+MADIUN!N58+BANYUWANGI!N58</f>
        <v>0</v>
      </c>
      <c r="O58" s="19">
        <f t="shared" si="25"/>
        <v>0</v>
      </c>
      <c r="P58" s="37">
        <v>0</v>
      </c>
    </row>
    <row r="59" spans="1:16" s="20" customFormat="1" x14ac:dyDescent="0.3">
      <c r="A59" s="20">
        <v>177</v>
      </c>
      <c r="B59" s="7"/>
      <c r="C59" s="8"/>
      <c r="D59" s="21"/>
      <c r="E59" s="24" t="s">
        <v>62</v>
      </c>
      <c r="F59" s="33">
        <f>KANWIL!F59+SURABAYA!F59+KEDIRI!F59+MALANG!F59+MADIUN!F59+BANYUWANGI!F59</f>
        <v>1891926</v>
      </c>
      <c r="G59" s="33">
        <f>KANWIL!G59+SURABAYA!G59+KEDIRI!G59+MALANG!G59+MADIUN!G59+BANYUWANGI!G59</f>
        <v>0</v>
      </c>
      <c r="H59" s="33">
        <f>KANWIL!H59+SURABAYA!H59+KEDIRI!H59+MALANG!H59+MADIUN!H59+BANYUWANGI!H59</f>
        <v>38795</v>
      </c>
      <c r="I59" s="33">
        <f>KANWIL!I59+SURABAYA!I59+KEDIRI!I59+MALANG!I59+MADIUN!I59+BANYUWANGI!I59</f>
        <v>49930</v>
      </c>
      <c r="J59" s="33">
        <f>KANWIL!J59+SURABAYA!J59+KEDIRI!J59+MALANG!J59+MADIUN!J59+BANYUWANGI!J59</f>
        <v>219692</v>
      </c>
      <c r="K59" s="33">
        <f t="shared" si="24"/>
        <v>2200343</v>
      </c>
      <c r="L59" s="33">
        <f>KANWIL!L59+SURABAYA!L59+KEDIRI!L59+MALANG!L59+MADIUN!L59+BANYUWANGI!L59</f>
        <v>2743895</v>
      </c>
      <c r="M59" s="33">
        <f>KANWIL!M59+SURABAYA!M59+KEDIRI!M59+MALANG!M59+MADIUN!M59+BANYUWANGI!M59</f>
        <v>0</v>
      </c>
      <c r="N59" s="33">
        <f>KANWIL!N59+SURABAYA!N59+KEDIRI!N59+MALANG!N59+MADIUN!N59+BANYUWANGI!N59</f>
        <v>1106105</v>
      </c>
      <c r="O59" s="19">
        <f t="shared" si="25"/>
        <v>3850000</v>
      </c>
      <c r="P59" s="37">
        <f>O59/K59</f>
        <v>1.7497272016226562</v>
      </c>
    </row>
    <row r="60" spans="1:16" s="20" customFormat="1" x14ac:dyDescent="0.3">
      <c r="A60" s="20">
        <v>179</v>
      </c>
      <c r="B60" s="7"/>
      <c r="C60" s="8"/>
      <c r="D60" s="21"/>
      <c r="E60" s="24" t="s">
        <v>63</v>
      </c>
      <c r="F60" s="33">
        <f>KANWIL!F60+SURABAYA!F60+KEDIRI!F60+MALANG!F60+MADIUN!F60+BANYUWANGI!F60</f>
        <v>873828187</v>
      </c>
      <c r="G60" s="33">
        <f>KANWIL!G60+SURABAYA!G60+KEDIRI!G60+MALANG!G60+MADIUN!G60+BANYUWANGI!G60</f>
        <v>0</v>
      </c>
      <c r="H60" s="33">
        <f>KANWIL!H60+SURABAYA!H60+KEDIRI!H60+MALANG!H60+MADIUN!H60+BANYUWANGI!H60</f>
        <v>17918270</v>
      </c>
      <c r="I60" s="33">
        <f>KANWIL!I60+SURABAYA!I60+KEDIRI!I60+MALANG!I60+MADIUN!I60+BANYUWANGI!I60</f>
        <v>23061285</v>
      </c>
      <c r="J60" s="33">
        <f>KANWIL!J60+SURABAYA!J60+KEDIRI!J60+MALANG!J60+MADIUN!J60+BANYUWANGI!J60</f>
        <v>101469864</v>
      </c>
      <c r="K60" s="33">
        <f t="shared" si="24"/>
        <v>1016277606</v>
      </c>
      <c r="L60" s="33">
        <f>KANWIL!L60+SURABAYA!L60+KEDIRI!L60+MALANG!L60+MADIUN!L60+BANYUWANGI!L60</f>
        <v>438385033.94000006</v>
      </c>
      <c r="M60" s="33">
        <f>KANWIL!M60+SURABAYA!M60+KEDIRI!M60+MALANG!M60+MADIUN!M60+BANYUWANGI!M60</f>
        <v>0</v>
      </c>
      <c r="N60" s="33">
        <f>KANWIL!N60+SURABAYA!N60+KEDIRI!N60+MALANG!N60+MADIUN!N60+BANYUWANGI!N60</f>
        <v>193360142.09999996</v>
      </c>
      <c r="O60" s="19">
        <f t="shared" si="25"/>
        <v>631745176.03999996</v>
      </c>
      <c r="P60" s="37">
        <f>O60/K60</f>
        <v>0.62162658343570742</v>
      </c>
    </row>
    <row r="61" spans="1:16" s="20" customFormat="1" x14ac:dyDescent="0.3">
      <c r="A61" s="20">
        <v>180</v>
      </c>
      <c r="B61" s="7"/>
      <c r="C61" s="8"/>
      <c r="D61" s="21"/>
      <c r="E61" s="24" t="s">
        <v>64</v>
      </c>
      <c r="F61" s="33">
        <f>KANWIL!F61+SURABAYA!F61+KEDIRI!F61+MALANG!F61+MADIUN!F61+BANYUWANGI!F61</f>
        <v>83135894</v>
      </c>
      <c r="G61" s="33">
        <f>KANWIL!G61+SURABAYA!G61+KEDIRI!G61+MALANG!G61+MADIUN!G61+BANYUWANGI!G61</f>
        <v>0</v>
      </c>
      <c r="H61" s="33">
        <f>KANWIL!H61+SURABAYA!H61+KEDIRI!H61+MALANG!H61+MADIUN!H61+BANYUWANGI!H61</f>
        <v>1704742</v>
      </c>
      <c r="I61" s="33">
        <f>KANWIL!I61+SURABAYA!I61+KEDIRI!I61+MALANG!I61+MADIUN!I61+BANYUWANGI!I61</f>
        <v>2194048</v>
      </c>
      <c r="J61" s="33">
        <f>KANWIL!J61+SURABAYA!J61+KEDIRI!J61+MALANG!J61+MADIUN!J61+BANYUWANGI!J61</f>
        <v>9653828</v>
      </c>
      <c r="K61" s="33">
        <f t="shared" si="24"/>
        <v>96688512</v>
      </c>
      <c r="L61" s="33">
        <f>KANWIL!L61+SURABAYA!L61+KEDIRI!L61+MALANG!L61+MADIUN!L61+BANYUWANGI!L61</f>
        <v>35708009.120000005</v>
      </c>
      <c r="M61" s="33">
        <f>KANWIL!M61+SURABAYA!M61+KEDIRI!M61+MALANG!M61+MADIUN!M61+BANYUWANGI!M61</f>
        <v>0</v>
      </c>
      <c r="N61" s="33">
        <f>KANWIL!N61+SURABAYA!N61+KEDIRI!N61+MALANG!N61+MADIUN!N61+BANYUWANGI!N61</f>
        <v>15802504.9</v>
      </c>
      <c r="O61" s="19">
        <f t="shared" si="25"/>
        <v>51510514.020000003</v>
      </c>
      <c r="P61" s="37">
        <f>O61/K61</f>
        <v>0.53274699294162275</v>
      </c>
    </row>
    <row r="62" spans="1:16" s="20" customFormat="1" x14ac:dyDescent="0.3">
      <c r="A62" s="20">
        <v>181</v>
      </c>
      <c r="B62" s="7"/>
      <c r="C62" s="8"/>
      <c r="D62" s="21"/>
      <c r="E62" s="24" t="s">
        <v>65</v>
      </c>
      <c r="F62" s="33">
        <f>KANWIL!F62+SURABAYA!F62+KEDIRI!F62+MALANG!F62+MADIUN!F62+BANYUWANGI!F62</f>
        <v>4313613701</v>
      </c>
      <c r="G62" s="33">
        <f>KANWIL!G62+SURABAYA!G62+KEDIRI!G62+MALANG!G62+MADIUN!G62+BANYUWANGI!G62</f>
        <v>0</v>
      </c>
      <c r="H62" s="33">
        <f>KANWIL!H62+SURABAYA!H62+KEDIRI!H62+MALANG!H62+MADIUN!H62+BANYUWANGI!H62</f>
        <v>88452734</v>
      </c>
      <c r="I62" s="33">
        <f>KANWIL!I62+SURABAYA!I62+KEDIRI!I62+MALANG!I62+MADIUN!I62+BANYUWANGI!I62</f>
        <v>113840995</v>
      </c>
      <c r="J62" s="33">
        <f>KANWIL!J62+SURABAYA!J62+KEDIRI!J62+MALANG!J62+MADIUN!J62+BANYUWANGI!J62</f>
        <v>500901441</v>
      </c>
      <c r="K62" s="33">
        <f t="shared" si="24"/>
        <v>5016808871</v>
      </c>
      <c r="L62" s="33">
        <f>KANWIL!L62+SURABAYA!L62+KEDIRI!L62+MALANG!L62+MADIUN!L62+BANYUWANGI!L62</f>
        <v>2046098753.52</v>
      </c>
      <c r="M62" s="33">
        <f>KANWIL!M62+SURABAYA!M62+KEDIRI!M62+MALANG!M62+MADIUN!M62+BANYUWANGI!M62</f>
        <v>0</v>
      </c>
      <c r="N62" s="33">
        <f>KANWIL!N62+SURABAYA!N62+KEDIRI!N62+MALANG!N62+MADIUN!N62+BANYUWANGI!N62</f>
        <v>944812580.05999982</v>
      </c>
      <c r="O62" s="19">
        <f t="shared" si="25"/>
        <v>2990911333.5799999</v>
      </c>
      <c r="P62" s="37">
        <f>O62/K62</f>
        <v>0.59617805072646146</v>
      </c>
    </row>
    <row r="63" spans="1:16" s="20" customFormat="1" x14ac:dyDescent="0.3">
      <c r="A63" s="20">
        <v>134</v>
      </c>
      <c r="B63" s="7"/>
      <c r="C63" s="8"/>
      <c r="D63" s="21"/>
      <c r="E63" s="24" t="s">
        <v>66</v>
      </c>
      <c r="F63" s="33">
        <f>KANWIL!F63+SURABAYA!F63+KEDIRI!F63+MALANG!F63+MADIUN!F63+BANYUWANGI!F63</f>
        <v>0</v>
      </c>
      <c r="G63" s="33">
        <f>KANWIL!G63+SURABAYA!G63+KEDIRI!G63+MALANG!G63+MADIUN!G63+BANYUWANGI!G63</f>
        <v>0</v>
      </c>
      <c r="H63" s="33">
        <f>KANWIL!H63+SURABAYA!H63+KEDIRI!H63+MALANG!H63+MADIUN!H63+BANYUWANGI!H63</f>
        <v>0</v>
      </c>
      <c r="I63" s="33">
        <f>KANWIL!I63+SURABAYA!I63+KEDIRI!I63+MALANG!I63+MADIUN!I63+BANYUWANGI!I63</f>
        <v>0</v>
      </c>
      <c r="J63" s="33">
        <f>KANWIL!J63+SURABAYA!J63+KEDIRI!J63+MALANG!J63+MADIUN!J63+BANYUWANGI!J63</f>
        <v>0</v>
      </c>
      <c r="K63" s="33">
        <f t="shared" si="24"/>
        <v>0</v>
      </c>
      <c r="L63" s="33">
        <f>KANWIL!L63+SURABAYA!L63+KEDIRI!L63+MALANG!L63+MADIUN!L63+BANYUWANGI!L63</f>
        <v>0</v>
      </c>
      <c r="M63" s="33">
        <f>KANWIL!M63+SURABAYA!M63+KEDIRI!M63+MALANG!M63+MADIUN!M63+BANYUWANGI!M63</f>
        <v>0</v>
      </c>
      <c r="N63" s="33">
        <f>KANWIL!N63+SURABAYA!N63+KEDIRI!N63+MALANG!N63+MADIUN!N63+BANYUWANGI!N63</f>
        <v>0</v>
      </c>
      <c r="O63" s="19">
        <f t="shared" si="25"/>
        <v>0</v>
      </c>
      <c r="P63" s="37">
        <v>0</v>
      </c>
    </row>
    <row r="64" spans="1:16" s="20" customFormat="1" x14ac:dyDescent="0.3">
      <c r="A64" s="20">
        <v>132</v>
      </c>
      <c r="B64" s="7"/>
      <c r="C64" s="8"/>
      <c r="D64" s="21"/>
      <c r="E64" s="24" t="s">
        <v>67</v>
      </c>
      <c r="F64" s="33">
        <f>KANWIL!F64+SURABAYA!F64+KEDIRI!F64+MALANG!F64+MADIUN!F64+BANYUWANGI!F64</f>
        <v>0</v>
      </c>
      <c r="G64" s="33">
        <f>KANWIL!G64+SURABAYA!G64+KEDIRI!G64+MALANG!G64+MADIUN!G64+BANYUWANGI!G64</f>
        <v>0</v>
      </c>
      <c r="H64" s="33">
        <f>KANWIL!H64+SURABAYA!H64+KEDIRI!H64+MALANG!H64+MADIUN!H64+BANYUWANGI!H64</f>
        <v>0</v>
      </c>
      <c r="I64" s="33">
        <f>KANWIL!I64+SURABAYA!I64+KEDIRI!I64+MALANG!I64+MADIUN!I64+BANYUWANGI!I64</f>
        <v>0</v>
      </c>
      <c r="J64" s="33">
        <f>KANWIL!J64+SURABAYA!J64+KEDIRI!J64+MALANG!J64+MADIUN!J64+BANYUWANGI!J64</f>
        <v>0</v>
      </c>
      <c r="K64" s="33">
        <f t="shared" si="24"/>
        <v>0</v>
      </c>
      <c r="L64" s="33">
        <f>KANWIL!L64+SURABAYA!L64+KEDIRI!L64+MALANG!L64+MADIUN!L64+BANYUWANGI!L64</f>
        <v>0</v>
      </c>
      <c r="M64" s="33">
        <f>KANWIL!M64+SURABAYA!M64+KEDIRI!M64+MALANG!M64+MADIUN!M64+BANYUWANGI!M64</f>
        <v>0</v>
      </c>
      <c r="N64" s="33">
        <f>KANWIL!N64+SURABAYA!N64+KEDIRI!N64+MALANG!N64+MADIUN!N64+BANYUWANGI!N64</f>
        <v>0</v>
      </c>
      <c r="O64" s="19">
        <f t="shared" si="25"/>
        <v>0</v>
      </c>
      <c r="P64" s="37">
        <v>0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3">
        <f>KANWIL!F65+SURABAYA!F65+KEDIRI!F65+MALANG!F65+MADIUN!F65+BANYUWANGI!F65</f>
        <v>0</v>
      </c>
      <c r="G65" s="33">
        <f>KANWIL!G65+SURABAYA!G65+KEDIRI!G65+MALANG!G65+MADIUN!G65+BANYUWANGI!G65</f>
        <v>0</v>
      </c>
      <c r="H65" s="33">
        <f>KANWIL!H65+SURABAYA!H65+KEDIRI!H65+MALANG!H65+MADIUN!H65+BANYUWANGI!H65</f>
        <v>0</v>
      </c>
      <c r="I65" s="33">
        <f>KANWIL!I65+SURABAYA!I65+KEDIRI!I65+MALANG!I65+MADIUN!I65+BANYUWANGI!I65</f>
        <v>0</v>
      </c>
      <c r="J65" s="33">
        <f>KANWIL!J65+SURABAYA!J65+KEDIRI!J65+MALANG!J65+MADIUN!J65+BANYUWANGI!J65</f>
        <v>0</v>
      </c>
      <c r="K65" s="33">
        <f t="shared" si="24"/>
        <v>0</v>
      </c>
      <c r="L65" s="33">
        <f>KANWIL!L65+SURABAYA!L65+KEDIRI!L65+MALANG!L65+MADIUN!L65+BANYUWANGI!L65</f>
        <v>0</v>
      </c>
      <c r="M65" s="33">
        <f>KANWIL!M65+SURABAYA!M65+KEDIRI!M65+MALANG!M65+MADIUN!M65+BANYUWANGI!M65</f>
        <v>0</v>
      </c>
      <c r="N65" s="33">
        <f>KANWIL!N65+SURABAYA!N65+KEDIRI!N65+MALANG!N65+MADIUN!N65+BANYUWANGI!N65</f>
        <v>0</v>
      </c>
      <c r="O65" s="19">
        <f t="shared" si="25"/>
        <v>0</v>
      </c>
      <c r="P65" s="37">
        <v>0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3">
        <f>KANWIL!F66+SURABAYA!F66+KEDIRI!F66+MALANG!F66+MADIUN!F66+BANYUWANGI!F66</f>
        <v>0</v>
      </c>
      <c r="G66" s="33">
        <f>KANWIL!G66+SURABAYA!G66+KEDIRI!G66+MALANG!G66+MADIUN!G66+BANYUWANGI!G66</f>
        <v>0</v>
      </c>
      <c r="H66" s="33">
        <f>KANWIL!H66+SURABAYA!H66+KEDIRI!H66+MALANG!H66+MADIUN!H66+BANYUWANGI!H66</f>
        <v>0</v>
      </c>
      <c r="I66" s="33">
        <f>KANWIL!I66+SURABAYA!I66+KEDIRI!I66+MALANG!I66+MADIUN!I66+BANYUWANGI!I66</f>
        <v>0</v>
      </c>
      <c r="J66" s="33">
        <f>KANWIL!J66+SURABAYA!J66+KEDIRI!J66+MALANG!J66+MADIUN!J66+BANYUWANGI!J66</f>
        <v>0</v>
      </c>
      <c r="K66" s="33">
        <f t="shared" si="24"/>
        <v>0</v>
      </c>
      <c r="L66" s="33">
        <f>KANWIL!L66+SURABAYA!L66+KEDIRI!L66+MALANG!L66+MADIUN!L66+BANYUWANGI!L66</f>
        <v>0</v>
      </c>
      <c r="M66" s="33">
        <f>KANWIL!M66+SURABAYA!M66+KEDIRI!M66+MALANG!M66+MADIUN!M66+BANYUWANGI!M66</f>
        <v>0</v>
      </c>
      <c r="N66" s="33">
        <f>KANWIL!N66+SURABAYA!N66+KEDIRI!N66+MALANG!N66+MADIUN!N66+BANYUWANGI!N66</f>
        <v>0</v>
      </c>
      <c r="O66" s="19">
        <f t="shared" si="25"/>
        <v>0</v>
      </c>
      <c r="P66" s="37">
        <v>0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3">
        <f>KANWIL!F67+SURABAYA!F67+KEDIRI!F67+MALANG!F67+MADIUN!F67+BANYUWANGI!F67</f>
        <v>0</v>
      </c>
      <c r="G67" s="33">
        <f>KANWIL!G67+SURABAYA!G67+KEDIRI!G67+MALANG!G67+MADIUN!G67+BANYUWANGI!G67</f>
        <v>0</v>
      </c>
      <c r="H67" s="33">
        <f>KANWIL!H67+SURABAYA!H67+KEDIRI!H67+MALANG!H67+MADIUN!H67+BANYUWANGI!H67</f>
        <v>0</v>
      </c>
      <c r="I67" s="33">
        <f>KANWIL!I67+SURABAYA!I67+KEDIRI!I67+MALANG!I67+MADIUN!I67+BANYUWANGI!I67</f>
        <v>0</v>
      </c>
      <c r="J67" s="33">
        <f>KANWIL!J67+SURABAYA!J67+KEDIRI!J67+MALANG!J67+MADIUN!J67+BANYUWANGI!J67</f>
        <v>0</v>
      </c>
      <c r="K67" s="33">
        <f t="shared" si="24"/>
        <v>0</v>
      </c>
      <c r="L67" s="33">
        <f>KANWIL!L67+SURABAYA!L67+KEDIRI!L67+MALANG!L67+MADIUN!L67+BANYUWANGI!L67</f>
        <v>0</v>
      </c>
      <c r="M67" s="33">
        <f>KANWIL!M67+SURABAYA!M67+KEDIRI!M67+MALANG!M67+MADIUN!M67+BANYUWANGI!M67</f>
        <v>0</v>
      </c>
      <c r="N67" s="33">
        <f>KANWIL!N67+SURABAYA!N67+KEDIRI!N67+MALANG!N67+MADIUN!N67+BANYUWANGI!N67</f>
        <v>0</v>
      </c>
      <c r="O67" s="19">
        <f t="shared" si="25"/>
        <v>0</v>
      </c>
      <c r="P67" s="37">
        <v>0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3">
        <f>KANWIL!F68+SURABAYA!F68+KEDIRI!F68+MALANG!F68+MADIUN!F68+BANYUWANGI!F68</f>
        <v>0</v>
      </c>
      <c r="G68" s="33">
        <f>KANWIL!G68+SURABAYA!G68+KEDIRI!G68+MALANG!G68+MADIUN!G68+BANYUWANGI!G68</f>
        <v>0</v>
      </c>
      <c r="H68" s="33">
        <f>KANWIL!H68+SURABAYA!H68+KEDIRI!H68+MALANG!H68+MADIUN!H68+BANYUWANGI!H68</f>
        <v>0</v>
      </c>
      <c r="I68" s="33">
        <f>KANWIL!I68+SURABAYA!I68+KEDIRI!I68+MALANG!I68+MADIUN!I68+BANYUWANGI!I68</f>
        <v>0</v>
      </c>
      <c r="J68" s="33">
        <f>KANWIL!J68+SURABAYA!J68+KEDIRI!J68+MALANG!J68+MADIUN!J68+BANYUWANGI!J68</f>
        <v>0</v>
      </c>
      <c r="K68" s="33">
        <f t="shared" si="24"/>
        <v>0</v>
      </c>
      <c r="L68" s="33">
        <f>KANWIL!L68+SURABAYA!L68+KEDIRI!L68+MALANG!L68+MADIUN!L68+BANYUWANGI!L68</f>
        <v>0</v>
      </c>
      <c r="M68" s="33">
        <f>KANWIL!M68+SURABAYA!M68+KEDIRI!M68+MALANG!M68+MADIUN!M68+BANYUWANGI!M68</f>
        <v>0</v>
      </c>
      <c r="N68" s="33">
        <f>KANWIL!N68+SURABAYA!N68+KEDIRI!N68+MALANG!N68+MADIUN!N68+BANYUWANGI!N68</f>
        <v>0</v>
      </c>
      <c r="O68" s="19">
        <f t="shared" si="25"/>
        <v>0</v>
      </c>
      <c r="P68" s="37">
        <v>0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3">
        <f>KANWIL!F69+SURABAYA!F69+KEDIRI!F69+MALANG!F69+MADIUN!F69+BANYUWANGI!F69</f>
        <v>0</v>
      </c>
      <c r="G69" s="33">
        <f>KANWIL!G69+SURABAYA!G69+KEDIRI!G69+MALANG!G69+MADIUN!G69+BANYUWANGI!G69</f>
        <v>0</v>
      </c>
      <c r="H69" s="33">
        <f>KANWIL!H69+SURABAYA!H69+KEDIRI!H69+MALANG!H69+MADIUN!H69+BANYUWANGI!H69</f>
        <v>0</v>
      </c>
      <c r="I69" s="33">
        <f>KANWIL!I69+SURABAYA!I69+KEDIRI!I69+MALANG!I69+MADIUN!I69+BANYUWANGI!I69</f>
        <v>0</v>
      </c>
      <c r="J69" s="33">
        <f>KANWIL!J69+SURABAYA!J69+KEDIRI!J69+MALANG!J69+MADIUN!J69+BANYUWANGI!J69</f>
        <v>0</v>
      </c>
      <c r="K69" s="33">
        <f t="shared" si="24"/>
        <v>0</v>
      </c>
      <c r="L69" s="33">
        <f>KANWIL!L69+SURABAYA!L69+KEDIRI!L69+MALANG!L69+MADIUN!L69+BANYUWANGI!L69</f>
        <v>0</v>
      </c>
      <c r="M69" s="33">
        <f>KANWIL!M69+SURABAYA!M69+KEDIRI!M69+MALANG!M69+MADIUN!M69+BANYUWANGI!M69</f>
        <v>0</v>
      </c>
      <c r="N69" s="33">
        <f>KANWIL!N69+SURABAYA!N69+KEDIRI!N69+MALANG!N69+MADIUN!N69+BANYUWANGI!N69</f>
        <v>0</v>
      </c>
      <c r="O69" s="19">
        <f t="shared" si="25"/>
        <v>0</v>
      </c>
      <c r="P69" s="37">
        <v>0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3">
        <f>KANWIL!F70+SURABAYA!F70+KEDIRI!F70+MALANG!F70+MADIUN!F70+BANYUWANGI!F70</f>
        <v>630751011</v>
      </c>
      <c r="G70" s="33">
        <f>KANWIL!G70+SURABAYA!G70+KEDIRI!G70+MALANG!G70+MADIUN!G70+BANYUWANGI!G70</f>
        <v>0</v>
      </c>
      <c r="H70" s="33">
        <f>KANWIL!H70+SURABAYA!H70+KEDIRI!H70+MALANG!H70+MADIUN!H70+BANYUWANGI!H70</f>
        <v>12933856</v>
      </c>
      <c r="I70" s="33">
        <f>KANWIL!I70+SURABAYA!I70+KEDIRI!I70+MALANG!I70+MADIUN!I70+BANYUWANGI!I70</f>
        <v>16646213</v>
      </c>
      <c r="J70" s="33">
        <f>KANWIL!J70+SURABAYA!J70+KEDIRI!J70+MALANG!J70+MADIUN!J70+BANYUWANGI!J70</f>
        <v>73243484</v>
      </c>
      <c r="K70" s="33">
        <f t="shared" si="24"/>
        <v>733574564</v>
      </c>
      <c r="L70" s="33">
        <f>KANWIL!L70+SURABAYA!L70+KEDIRI!L70+MALANG!L70+MADIUN!L70+BANYUWANGI!L70</f>
        <v>168772334.45999998</v>
      </c>
      <c r="M70" s="33">
        <f>KANWIL!M70+SURABAYA!M70+KEDIRI!M70+MALANG!M70+MADIUN!M70+BANYUWANGI!M70</f>
        <v>0</v>
      </c>
      <c r="N70" s="33">
        <f>KANWIL!N70+SURABAYA!N70+KEDIRI!N70+MALANG!N70+MADIUN!N70+BANYUWANGI!N70</f>
        <v>72602146.109999985</v>
      </c>
      <c r="O70" s="19">
        <f t="shared" si="25"/>
        <v>241374480.56999996</v>
      </c>
      <c r="P70" s="37">
        <f>O70/K70</f>
        <v>0.32903878135283871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3">
        <f>KANWIL!F71+SURABAYA!F71+KEDIRI!F71+MALANG!F71+MADIUN!F71+BANYUWANGI!F71</f>
        <v>59450300</v>
      </c>
      <c r="G71" s="33">
        <f>KANWIL!G71+SURABAYA!G71+KEDIRI!G71+MALANG!G71+MADIUN!G71+BANYUWANGI!G71</f>
        <v>0</v>
      </c>
      <c r="H71" s="33">
        <f>KANWIL!H71+SURABAYA!H71+KEDIRI!H71+MALANG!H71+MADIUN!H71+BANYUWANGI!H71</f>
        <v>1219057</v>
      </c>
      <c r="I71" s="33">
        <f>KANWIL!I71+SURABAYA!I71+KEDIRI!I71+MALANG!I71+MADIUN!I71+BANYUWANGI!I71</f>
        <v>1568957</v>
      </c>
      <c r="J71" s="33">
        <f>KANWIL!J71+SURABAYA!J71+KEDIRI!J71+MALANG!J71+MADIUN!J71+BANYUWANGI!J71</f>
        <v>6903430</v>
      </c>
      <c r="K71" s="33">
        <f t="shared" si="24"/>
        <v>69141744</v>
      </c>
      <c r="L71" s="33">
        <f>KANWIL!L71+SURABAYA!L71+KEDIRI!L71+MALANG!L71+MADIUN!L71+BANYUWANGI!L71</f>
        <v>86242562.61999999</v>
      </c>
      <c r="M71" s="33">
        <f>KANWIL!M71+SURABAYA!M71+KEDIRI!M71+MALANG!M71+MADIUN!M71+BANYUWANGI!M71</f>
        <v>0</v>
      </c>
      <c r="N71" s="33">
        <f>KANWIL!N71+SURABAYA!N71+KEDIRI!N71+MALANG!N71+MADIUN!N71+BANYUWANGI!N71</f>
        <v>38364336.389999993</v>
      </c>
      <c r="O71" s="19">
        <f t="shared" si="25"/>
        <v>124606899.00999999</v>
      </c>
      <c r="P71" s="37">
        <f>O71/K71</f>
        <v>1.8021949086213387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3">
        <f>KANWIL!F72+SURABAYA!F72+KEDIRI!F72+MALANG!F72+MADIUN!F72+BANYUWANGI!F72</f>
        <v>334756308</v>
      </c>
      <c r="G72" s="33">
        <f>KANWIL!G72+SURABAYA!G72+KEDIRI!G72+MALANG!G72+MADIUN!G72+BANYUWANGI!G72</f>
        <v>0</v>
      </c>
      <c r="H72" s="33">
        <f>KANWIL!H72+SURABAYA!H72+KEDIRI!H72+MALANG!H72+MADIUN!H72+BANYUWANGI!H72</f>
        <v>6864341</v>
      </c>
      <c r="I72" s="33">
        <f>KANWIL!I72+SURABAYA!I72+KEDIRI!I72+MALANG!I72+MADIUN!I72+BANYUWANGI!I72</f>
        <v>8834586</v>
      </c>
      <c r="J72" s="33">
        <f>KANWIL!J72+SURABAYA!J72+KEDIRI!J72+MALANG!J72+MADIUN!J72+BANYUWANGI!J72</f>
        <v>38872263</v>
      </c>
      <c r="K72" s="33">
        <f t="shared" si="24"/>
        <v>389327498</v>
      </c>
      <c r="L72" s="33">
        <f>KANWIL!L72+SURABAYA!L72+KEDIRI!L72+MALANG!L72+MADIUN!L72+BANYUWANGI!L72</f>
        <v>283870525</v>
      </c>
      <c r="M72" s="33">
        <f>KANWIL!M72+SURABAYA!M72+KEDIRI!M72+MALANG!M72+MADIUN!M72+BANYUWANGI!M72</f>
        <v>0</v>
      </c>
      <c r="N72" s="33">
        <f>KANWIL!N72+SURABAYA!N72+KEDIRI!N72+MALANG!N72+MADIUN!N72+BANYUWANGI!N72</f>
        <v>126859474.99999999</v>
      </c>
      <c r="O72" s="19">
        <f t="shared" si="25"/>
        <v>410730000</v>
      </c>
      <c r="P72" s="37">
        <f>O72/K72</f>
        <v>1.0549730037306535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3">
        <f>KANWIL!F73+SURABAYA!F73+KEDIRI!F73+MALANG!F73+MADIUN!F73+BANYUWANGI!F73</f>
        <v>0</v>
      </c>
      <c r="G73" s="33">
        <f>KANWIL!G73+SURABAYA!G73+KEDIRI!G73+MALANG!G73+MADIUN!G73+BANYUWANGI!G73</f>
        <v>0</v>
      </c>
      <c r="H73" s="33">
        <f>KANWIL!H73+SURABAYA!H73+KEDIRI!H73+MALANG!H73+MADIUN!H73+BANYUWANGI!H73</f>
        <v>0</v>
      </c>
      <c r="I73" s="33">
        <f>KANWIL!I73+SURABAYA!I73+KEDIRI!I73+MALANG!I73+MADIUN!I73+BANYUWANGI!I73</f>
        <v>0</v>
      </c>
      <c r="J73" s="33">
        <f>KANWIL!J73+SURABAYA!J73+KEDIRI!J73+MALANG!J73+MADIUN!J73+BANYUWANGI!J73</f>
        <v>0</v>
      </c>
      <c r="K73" s="33">
        <f t="shared" si="24"/>
        <v>0</v>
      </c>
      <c r="L73" s="33">
        <f>KANWIL!L73+SURABAYA!L73+KEDIRI!L73+MALANG!L73+MADIUN!L73+BANYUWANGI!L73</f>
        <v>0</v>
      </c>
      <c r="M73" s="33">
        <f>KANWIL!M73+SURABAYA!M73+KEDIRI!M73+MALANG!M73+MADIUN!M73+BANYUWANGI!M73</f>
        <v>0</v>
      </c>
      <c r="N73" s="33">
        <f>KANWIL!N73+SURABAYA!N73+KEDIRI!N73+MALANG!N73+MADIUN!N73+BANYUWANGI!N73</f>
        <v>0</v>
      </c>
      <c r="O73" s="19">
        <f t="shared" si="25"/>
        <v>0</v>
      </c>
      <c r="P73" s="37">
        <v>0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3">
        <f>KANWIL!F74+SURABAYA!F74+KEDIRI!F74+MALANG!F74+MADIUN!F74+BANYUWANGI!F74</f>
        <v>0</v>
      </c>
      <c r="G74" s="33">
        <f>KANWIL!G74+SURABAYA!G74+KEDIRI!G74+MALANG!G74+MADIUN!G74+BANYUWANGI!G74</f>
        <v>0</v>
      </c>
      <c r="H74" s="33">
        <f>KANWIL!H74+SURABAYA!H74+KEDIRI!H74+MALANG!H74+MADIUN!H74+BANYUWANGI!H74</f>
        <v>0</v>
      </c>
      <c r="I74" s="33">
        <f>KANWIL!I74+SURABAYA!I74+KEDIRI!I74+MALANG!I74+MADIUN!I74+BANYUWANGI!I74</f>
        <v>0</v>
      </c>
      <c r="J74" s="33">
        <f>KANWIL!J74+SURABAYA!J74+KEDIRI!J74+MALANG!J74+MADIUN!J74+BANYUWANGI!J74</f>
        <v>0</v>
      </c>
      <c r="K74" s="33">
        <f t="shared" si="24"/>
        <v>0</v>
      </c>
      <c r="L74" s="33">
        <f>KANWIL!L74+SURABAYA!L74+KEDIRI!L74+MALANG!L74+MADIUN!L74+BANYUWANGI!L74</f>
        <v>2645845.4500000002</v>
      </c>
      <c r="M74" s="33">
        <f>KANWIL!M74+SURABAYA!M74+KEDIRI!M74+MALANG!M74+MADIUN!M74+BANYUWANGI!M74</f>
        <v>0</v>
      </c>
      <c r="N74" s="33">
        <f>KANWIL!N74+SURABAYA!N74+KEDIRI!N74+MALANG!N74+MADIUN!N74+BANYUWANGI!N74</f>
        <v>1132314.5499999998</v>
      </c>
      <c r="O74" s="19">
        <f t="shared" si="25"/>
        <v>3778160</v>
      </c>
      <c r="P74" s="37">
        <v>0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3">
        <f>KANWIL!F75+SURABAYA!F75+KEDIRI!F75+MALANG!F75+MADIUN!F75+BANYUWANGI!F75</f>
        <v>0</v>
      </c>
      <c r="G75" s="33">
        <f>KANWIL!G75+SURABAYA!G75+KEDIRI!G75+MALANG!G75+MADIUN!G75+BANYUWANGI!G75</f>
        <v>0</v>
      </c>
      <c r="H75" s="33">
        <f>KANWIL!H75+SURABAYA!H75+KEDIRI!H75+MALANG!H75+MADIUN!H75+BANYUWANGI!H75</f>
        <v>0</v>
      </c>
      <c r="I75" s="33">
        <f>KANWIL!I75+SURABAYA!I75+KEDIRI!I75+MALANG!I75+MADIUN!I75+BANYUWANGI!I75</f>
        <v>0</v>
      </c>
      <c r="J75" s="33">
        <f>KANWIL!J75+SURABAYA!J75+KEDIRI!J75+MALANG!J75+MADIUN!J75+BANYUWANGI!J75</f>
        <v>0</v>
      </c>
      <c r="K75" s="33">
        <f t="shared" si="24"/>
        <v>0</v>
      </c>
      <c r="L75" s="33">
        <f>KANWIL!L75+SURABAYA!L75+KEDIRI!L75+MALANG!L75+MADIUN!L75+BANYUWANGI!L75</f>
        <v>0</v>
      </c>
      <c r="M75" s="33">
        <f>KANWIL!M75+SURABAYA!M75+KEDIRI!M75+MALANG!M75+MADIUN!M75+BANYUWANGI!M75</f>
        <v>0</v>
      </c>
      <c r="N75" s="33">
        <f>KANWIL!N75+SURABAYA!N75+KEDIRI!N75+MALANG!N75+MADIUN!N75+BANYUWANGI!N75</f>
        <v>0</v>
      </c>
      <c r="O75" s="19">
        <f t="shared" si="25"/>
        <v>0</v>
      </c>
      <c r="P75" s="37">
        <v>0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3">
        <f>KANWIL!F76+SURABAYA!F76+KEDIRI!F76+MALANG!F76+MADIUN!F76+BANYUWANGI!F76</f>
        <v>693742351</v>
      </c>
      <c r="G76" s="33">
        <f>KANWIL!G76+SURABAYA!G76+KEDIRI!G76+MALANG!G76+MADIUN!G76+BANYUWANGI!G76</f>
        <v>0</v>
      </c>
      <c r="H76" s="33">
        <f>KANWIL!H76+SURABAYA!H76+KEDIRI!H76+MALANG!H76+MADIUN!H76+BANYUWANGI!H76</f>
        <v>14225522</v>
      </c>
      <c r="I76" s="33">
        <f>KANWIL!I76+SURABAYA!I76+KEDIRI!I76+MALANG!I76+MADIUN!I76+BANYUWANGI!I76</f>
        <v>18308622</v>
      </c>
      <c r="J76" s="33">
        <f>KANWIL!J76+SURABAYA!J76+KEDIRI!J76+MALANG!J76+MADIUN!J76+BANYUWANGI!J76</f>
        <v>80558105</v>
      </c>
      <c r="K76" s="33">
        <f t="shared" si="24"/>
        <v>806834600</v>
      </c>
      <c r="L76" s="33">
        <f>KANWIL!L76+SURABAYA!L76+KEDIRI!L76+MALANG!L76+MADIUN!L76+BANYUWANGI!L76</f>
        <v>307661627</v>
      </c>
      <c r="M76" s="33">
        <f>KANWIL!M76+SURABAYA!M76+KEDIRI!M76+MALANG!M76+MADIUN!M76+BANYUWANGI!M76</f>
        <v>0</v>
      </c>
      <c r="N76" s="33">
        <f>KANWIL!N76+SURABAYA!N76+KEDIRI!N76+MALANG!N76+MADIUN!N76+BANYUWANGI!N76</f>
        <v>134206203.02999997</v>
      </c>
      <c r="O76" s="19">
        <f t="shared" si="25"/>
        <v>441867830.02999997</v>
      </c>
      <c r="P76" s="37">
        <f>O76/K76</f>
        <v>0.54765602520020829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3">
        <f>KANWIL!F77+SURABAYA!F77+KEDIRI!F77+MALANG!F77+MADIUN!F77+BANYUWANGI!F77</f>
        <v>285126456</v>
      </c>
      <c r="G77" s="33">
        <f>KANWIL!G77+SURABAYA!G77+KEDIRI!G77+MALANG!G77+MADIUN!G77+BANYUWANGI!G77</f>
        <v>0</v>
      </c>
      <c r="H77" s="33">
        <f>KANWIL!H77+SURABAYA!H77+KEDIRI!H77+MALANG!H77+MADIUN!H77+BANYUWANGI!H77</f>
        <v>5846655</v>
      </c>
      <c r="I77" s="33">
        <f>KANWIL!I77+SURABAYA!I77+KEDIRI!I77+MALANG!I77+MADIUN!I77+BANYUWANGI!I77</f>
        <v>7524800</v>
      </c>
      <c r="J77" s="33">
        <f>KANWIL!J77+SURABAYA!J77+KEDIRI!J77+MALANG!J77+MADIUN!J77+BANYUWANGI!J77</f>
        <v>33109189</v>
      </c>
      <c r="K77" s="33">
        <f t="shared" si="24"/>
        <v>331607100</v>
      </c>
      <c r="L77" s="33">
        <f>KANWIL!L77+SURABAYA!L77+KEDIRI!L77+MALANG!L77+MADIUN!L77+BANYUWANGI!L77</f>
        <v>114099377.70000002</v>
      </c>
      <c r="M77" s="33">
        <f>KANWIL!M77+SURABAYA!M77+KEDIRI!M77+MALANG!M77+MADIUN!M77+BANYUWANGI!M77</f>
        <v>0</v>
      </c>
      <c r="N77" s="33">
        <f>KANWIL!N77+SURABAYA!N77+KEDIRI!N77+MALANG!N77+MADIUN!N77+BANYUWANGI!N77</f>
        <v>51229000.359999992</v>
      </c>
      <c r="O77" s="19">
        <f t="shared" si="25"/>
        <v>165328378.06</v>
      </c>
      <c r="P77" s="37">
        <f>O77/K77</f>
        <v>0.49856706343139218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3">
        <f>KANWIL!F78+SURABAYA!F78+KEDIRI!F78+MALANG!F78+MADIUN!F78+BANYUWANGI!F78</f>
        <v>41861489</v>
      </c>
      <c r="G78" s="33">
        <f>KANWIL!G78+SURABAYA!G78+KEDIRI!G78+MALANG!G78+MADIUN!G78+BANYUWANGI!G78</f>
        <v>0</v>
      </c>
      <c r="H78" s="33">
        <f>KANWIL!H78+SURABAYA!H78+KEDIRI!H78+MALANG!H78+MADIUN!H78+BANYUWANGI!H78</f>
        <v>858389</v>
      </c>
      <c r="I78" s="33">
        <f>KANWIL!I78+SURABAYA!I78+KEDIRI!I78+MALANG!I78+MADIUN!I78+BANYUWANGI!I78</f>
        <v>1104771</v>
      </c>
      <c r="J78" s="33">
        <f>KANWIL!J78+SURABAYA!J78+KEDIRI!J78+MALANG!J78+MADIUN!J78+BANYUWANGI!J78</f>
        <v>4861001</v>
      </c>
      <c r="K78" s="33">
        <f t="shared" si="24"/>
        <v>48685650</v>
      </c>
      <c r="L78" s="33">
        <f>KANWIL!L78+SURABAYA!L78+KEDIRI!L78+MALANG!L78+MADIUN!L78+BANYUWANGI!L78</f>
        <v>13854940.399999999</v>
      </c>
      <c r="M78" s="33">
        <f>KANWIL!M78+SURABAYA!M78+KEDIRI!M78+MALANG!M78+MADIUN!M78+BANYUWANGI!M78</f>
        <v>0</v>
      </c>
      <c r="N78" s="33">
        <f>KANWIL!N78+SURABAYA!N78+KEDIRI!N78+MALANG!N78+MADIUN!N78+BANYUWANGI!N78</f>
        <v>6178452.7399999993</v>
      </c>
      <c r="O78" s="19">
        <f t="shared" si="25"/>
        <v>20033393.139999997</v>
      </c>
      <c r="P78" s="37">
        <f>O78/K78</f>
        <v>0.41148455735930395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3">
        <f>KANWIL!F79+SURABAYA!F79+KEDIRI!F79+MALANG!F79+MADIUN!F79+BANYUWANGI!F79</f>
        <v>237252092</v>
      </c>
      <c r="G79" s="33">
        <f>KANWIL!G79+SURABAYA!G79+KEDIRI!G79+MALANG!G79+MADIUN!G79+BANYUWANGI!G79</f>
        <v>0</v>
      </c>
      <c r="H79" s="33">
        <f>KANWIL!H79+SURABAYA!H79+KEDIRI!H79+MALANG!H79+MADIUN!H79+BANYUWANGI!H79</f>
        <v>4864969</v>
      </c>
      <c r="I79" s="33">
        <f>KANWIL!I79+SURABAYA!I79+KEDIRI!I79+MALANG!I79+MADIUN!I79+BANYUWANGI!I79</f>
        <v>6261343</v>
      </c>
      <c r="J79" s="33">
        <f>KANWIL!J79+SURABAYA!J79+KEDIRI!J79+MALANG!J79+MADIUN!J79+BANYUWANGI!J79</f>
        <v>27549967</v>
      </c>
      <c r="K79" s="33">
        <f t="shared" si="24"/>
        <v>275928371</v>
      </c>
      <c r="L79" s="33">
        <f>KANWIL!L79+SURABAYA!L79+KEDIRI!L79+MALANG!L79+MADIUN!L79+BANYUWANGI!L79</f>
        <v>306615697.31999999</v>
      </c>
      <c r="M79" s="33">
        <f>KANWIL!M79+SURABAYA!M79+KEDIRI!M79+MALANG!M79+MADIUN!M79+BANYUWANGI!M79</f>
        <v>0</v>
      </c>
      <c r="N79" s="33">
        <f>KANWIL!N79+SURABAYA!N79+KEDIRI!N79+MALANG!N79+MADIUN!N79+BANYUWANGI!N79</f>
        <v>135242145.69</v>
      </c>
      <c r="O79" s="19">
        <f t="shared" si="25"/>
        <v>441857843.00999999</v>
      </c>
      <c r="P79" s="37">
        <f>O79/K79</f>
        <v>1.6013498046926098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3">
        <f>KANWIL!F80+SURABAYA!F80+KEDIRI!F80+MALANG!F80+MADIUN!F80+BANYUWANGI!F80</f>
        <v>1295889838</v>
      </c>
      <c r="G80" s="33">
        <f>KANWIL!G80+SURABAYA!G80+KEDIRI!G80+MALANG!G80+MADIUN!G80+BANYUWANGI!G80</f>
        <v>0</v>
      </c>
      <c r="H80" s="33">
        <f>KANWIL!H80+SURABAYA!H80+KEDIRI!H80+MALANG!H80+MADIUN!H80+BANYUWANGI!H80</f>
        <v>26572847</v>
      </c>
      <c r="I80" s="33">
        <f>KANWIL!I80+SURABAYA!I80+KEDIRI!I80+MALANG!I80+MADIUN!I80+BANYUWANGI!I80</f>
        <v>34199954</v>
      </c>
      <c r="J80" s="33">
        <f>KANWIL!J80+SURABAYA!J80+KEDIRI!J80+MALANG!J80+MADIUN!J80+BANYUWANGI!J80</f>
        <v>150480114</v>
      </c>
      <c r="K80" s="33">
        <f t="shared" si="24"/>
        <v>1507142753</v>
      </c>
      <c r="L80" s="33">
        <f>KANWIL!L80+SURABAYA!L80+KEDIRI!L80+MALANG!L80+MADIUN!L80+BANYUWANGI!L80</f>
        <v>309148770.42000002</v>
      </c>
      <c r="M80" s="33">
        <f>KANWIL!M80+SURABAYA!M80+KEDIRI!M80+MALANG!M80+MADIUN!M80+BANYUWANGI!M80</f>
        <v>0</v>
      </c>
      <c r="N80" s="33">
        <f>KANWIL!N80+SURABAYA!N80+KEDIRI!N80+MALANG!N80+MADIUN!N80+BANYUWANGI!N80</f>
        <v>132189278.59999999</v>
      </c>
      <c r="O80" s="19">
        <f t="shared" si="25"/>
        <v>441338049.01999998</v>
      </c>
      <c r="P80" s="37">
        <f>O80/K80</f>
        <v>0.2928309532335322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33">
        <f>KANWIL!F81+SURABAYA!F81+KEDIRI!F81+MALANG!F81+MADIUN!F81+BANYUWANGI!F81</f>
        <v>0</v>
      </c>
      <c r="G81" s="33">
        <f>KANWIL!G81+SURABAYA!G81+KEDIRI!G81+MALANG!G81+MADIUN!G81+BANYUWANGI!G81</f>
        <v>0</v>
      </c>
      <c r="H81" s="33">
        <f>KANWIL!H81+SURABAYA!H81+KEDIRI!H81+MALANG!H81+MADIUN!H81+BANYUWANGI!H81</f>
        <v>0</v>
      </c>
      <c r="I81" s="33">
        <f>KANWIL!I81+SURABAYA!I81+KEDIRI!I81+MALANG!I81+MADIUN!I81+BANYUWANGI!I81</f>
        <v>0</v>
      </c>
      <c r="J81" s="33">
        <f>KANWIL!J81+SURABAYA!J81+KEDIRI!J81+MALANG!J81+MADIUN!J81+BANYUWANGI!J81</f>
        <v>0</v>
      </c>
      <c r="K81" s="33">
        <f t="shared" si="24"/>
        <v>0</v>
      </c>
      <c r="L81" s="33">
        <f>KANWIL!L81+SURABAYA!L81+KEDIRI!L81+MALANG!L81+MADIUN!L81+BANYUWANGI!L81</f>
        <v>0</v>
      </c>
      <c r="M81" s="33">
        <f>KANWIL!M81+SURABAYA!M81+KEDIRI!M81+MALANG!M81+MADIUN!M81+BANYUWANGI!M81</f>
        <v>0</v>
      </c>
      <c r="N81" s="33">
        <f>KANWIL!N81+SURABAYA!N81+KEDIRI!N81+MALANG!N81+MADIUN!N81+BANYUWANGI!N81</f>
        <v>0</v>
      </c>
      <c r="O81" s="19">
        <f t="shared" si="25"/>
        <v>0</v>
      </c>
      <c r="P81" s="37">
        <v>0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33">
        <f>KANWIL!F82+SURABAYA!F82+KEDIRI!F82+MALANG!F82+MADIUN!F82+BANYUWANGI!F82</f>
        <v>0</v>
      </c>
      <c r="G82" s="33">
        <f>KANWIL!G82+SURABAYA!G82+KEDIRI!G82+MALANG!G82+MADIUN!G82+BANYUWANGI!G82</f>
        <v>0</v>
      </c>
      <c r="H82" s="33">
        <f>KANWIL!H82+SURABAYA!H82+KEDIRI!H82+MALANG!H82+MADIUN!H82+BANYUWANGI!H82</f>
        <v>0</v>
      </c>
      <c r="I82" s="33">
        <f>KANWIL!I82+SURABAYA!I82+KEDIRI!I82+MALANG!I82+MADIUN!I82+BANYUWANGI!I82</f>
        <v>0</v>
      </c>
      <c r="J82" s="33">
        <f>KANWIL!J82+SURABAYA!J82+KEDIRI!J82+MALANG!J82+MADIUN!J82+BANYUWANGI!J82</f>
        <v>0</v>
      </c>
      <c r="K82" s="33">
        <f t="shared" si="24"/>
        <v>0</v>
      </c>
      <c r="L82" s="33">
        <f>KANWIL!L82+SURABAYA!L82+KEDIRI!L82+MALANG!L82+MADIUN!L82+BANYUWANGI!L82</f>
        <v>0</v>
      </c>
      <c r="M82" s="33">
        <f>KANWIL!M82+SURABAYA!M82+KEDIRI!M82+MALANG!M82+MADIUN!M82+BANYUWANGI!M82</f>
        <v>0</v>
      </c>
      <c r="N82" s="33">
        <f>KANWIL!N82+SURABAYA!N82+KEDIRI!N82+MALANG!N82+MADIUN!N82+BANYUWANGI!N82</f>
        <v>0</v>
      </c>
      <c r="O82" s="19">
        <f t="shared" si="25"/>
        <v>0</v>
      </c>
      <c r="P82" s="37">
        <v>0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33">
        <f>KANWIL!F83+SURABAYA!F83+KEDIRI!F83+MALANG!F83+MADIUN!F83+BANYUWANGI!F83</f>
        <v>0</v>
      </c>
      <c r="G83" s="33">
        <f>KANWIL!G83+SURABAYA!G83+KEDIRI!G83+MALANG!G83+MADIUN!G83+BANYUWANGI!G83</f>
        <v>0</v>
      </c>
      <c r="H83" s="33">
        <f>KANWIL!H83+SURABAYA!H83+KEDIRI!H83+MALANG!H83+MADIUN!H83+BANYUWANGI!H83</f>
        <v>0</v>
      </c>
      <c r="I83" s="33">
        <f>KANWIL!I83+SURABAYA!I83+KEDIRI!I83+MALANG!I83+MADIUN!I83+BANYUWANGI!I83</f>
        <v>0</v>
      </c>
      <c r="J83" s="33">
        <f>KANWIL!J83+SURABAYA!J83+KEDIRI!J83+MALANG!J83+MADIUN!J83+BANYUWANGI!J83</f>
        <v>0</v>
      </c>
      <c r="K83" s="33">
        <f t="shared" si="24"/>
        <v>0</v>
      </c>
      <c r="L83" s="33">
        <f>KANWIL!L83+SURABAYA!L83+KEDIRI!L83+MALANG!L83+MADIUN!L83+BANYUWANGI!L83</f>
        <v>0</v>
      </c>
      <c r="M83" s="33">
        <f>KANWIL!M83+SURABAYA!M83+KEDIRI!M83+MALANG!M83+MADIUN!M83+BANYUWANGI!M83</f>
        <v>0</v>
      </c>
      <c r="N83" s="33">
        <f>KANWIL!N83+SURABAYA!N83+KEDIRI!N83+MALANG!N83+MADIUN!N83+BANYUWANGI!N83</f>
        <v>0</v>
      </c>
      <c r="O83" s="19">
        <f t="shared" si="25"/>
        <v>0</v>
      </c>
      <c r="P83" s="37">
        <v>0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33">
        <f>KANWIL!F84+SURABAYA!F84+KEDIRI!F84+MALANG!F84+MADIUN!F84+BANYUWANGI!F84</f>
        <v>0</v>
      </c>
      <c r="G84" s="33">
        <f>KANWIL!G84+SURABAYA!G84+KEDIRI!G84+MALANG!G84+MADIUN!G84+BANYUWANGI!G84</f>
        <v>0</v>
      </c>
      <c r="H84" s="33">
        <f>KANWIL!H84+SURABAYA!H84+KEDIRI!H84+MALANG!H84+MADIUN!H84+BANYUWANGI!H84</f>
        <v>0</v>
      </c>
      <c r="I84" s="33">
        <f>KANWIL!I84+SURABAYA!I84+KEDIRI!I84+MALANG!I84+MADIUN!I84+BANYUWANGI!I84</f>
        <v>0</v>
      </c>
      <c r="J84" s="33">
        <f>KANWIL!J84+SURABAYA!J84+KEDIRI!J84+MALANG!J84+MADIUN!J84+BANYUWANGI!J84</f>
        <v>0</v>
      </c>
      <c r="K84" s="33">
        <f t="shared" si="24"/>
        <v>0</v>
      </c>
      <c r="L84" s="33">
        <f>KANWIL!L84+SURABAYA!L84+KEDIRI!L84+MALANG!L84+MADIUN!L84+BANYUWANGI!L84</f>
        <v>0</v>
      </c>
      <c r="M84" s="33">
        <f>KANWIL!M84+SURABAYA!M84+KEDIRI!M84+MALANG!M84+MADIUN!M84+BANYUWANGI!M84</f>
        <v>0</v>
      </c>
      <c r="N84" s="33">
        <f>KANWIL!N84+SURABAYA!N84+KEDIRI!N84+MALANG!N84+MADIUN!N84+BANYUWANGI!N84</f>
        <v>0</v>
      </c>
      <c r="O84" s="19">
        <f t="shared" si="25"/>
        <v>0</v>
      </c>
      <c r="P84" s="37">
        <v>0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33">
        <f>KANWIL!F85+SURABAYA!F85+KEDIRI!F85+MALANG!F85+MADIUN!F85+BANYUWANGI!F85</f>
        <v>0</v>
      </c>
      <c r="G85" s="33">
        <f>KANWIL!G85+SURABAYA!G85+KEDIRI!G85+MALANG!G85+MADIUN!G85+BANYUWANGI!G85</f>
        <v>0</v>
      </c>
      <c r="H85" s="33">
        <f>KANWIL!H85+SURABAYA!H85+KEDIRI!H85+MALANG!H85+MADIUN!H85+BANYUWANGI!H85</f>
        <v>0</v>
      </c>
      <c r="I85" s="33">
        <f>KANWIL!I85+SURABAYA!I85+KEDIRI!I85+MALANG!I85+MADIUN!I85+BANYUWANGI!I85</f>
        <v>0</v>
      </c>
      <c r="J85" s="33">
        <f>KANWIL!J85+SURABAYA!J85+KEDIRI!J85+MALANG!J85+MADIUN!J85+BANYUWANGI!J85</f>
        <v>0</v>
      </c>
      <c r="K85" s="33">
        <f t="shared" si="24"/>
        <v>0</v>
      </c>
      <c r="L85" s="33">
        <f>KANWIL!L85+SURABAYA!L85+KEDIRI!L85+MALANG!L85+MADIUN!L85+BANYUWANGI!L85</f>
        <v>0</v>
      </c>
      <c r="M85" s="33">
        <f>KANWIL!M85+SURABAYA!M85+KEDIRI!M85+MALANG!M85+MADIUN!M85+BANYUWANGI!M85</f>
        <v>0</v>
      </c>
      <c r="N85" s="33">
        <f>KANWIL!N85+SURABAYA!N85+KEDIRI!N85+MALANG!N85+MADIUN!N85+BANYUWANGI!N85</f>
        <v>0</v>
      </c>
      <c r="O85" s="19">
        <f t="shared" si="25"/>
        <v>0</v>
      </c>
      <c r="P85" s="37">
        <v>0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4">
        <f>KANWIL!F86+SURABAYA!F86+KEDIRI!F86+MALANG!F86+MADIUN!F86+BANYUWANGI!F86</f>
        <v>908032614</v>
      </c>
      <c r="G86" s="64">
        <f>KANWIL!G86+SURABAYA!G86+KEDIRI!G86+MALANG!G86+MADIUN!G86+BANYUWANGI!G86</f>
        <v>0</v>
      </c>
      <c r="H86" s="64">
        <f>KANWIL!H86+SURABAYA!H86+KEDIRI!H86+MALANG!H86+MADIUN!H86+BANYUWANGI!H86</f>
        <v>18619648</v>
      </c>
      <c r="I86" s="64">
        <f>KANWIL!I86+SURABAYA!I86+KEDIRI!I86+MALANG!I86+MADIUN!I86+BANYUWANGI!I86</f>
        <v>23963977</v>
      </c>
      <c r="J86" s="64">
        <f>KANWIL!J86+SURABAYA!J86+KEDIRI!J86+MALANG!J86+MADIUN!J86+BANYUWANGI!J86</f>
        <v>105441720</v>
      </c>
      <c r="K86" s="64">
        <f t="shared" si="24"/>
        <v>1056057959</v>
      </c>
      <c r="L86" s="64">
        <f>KANWIL!L86+SURABAYA!L86+KEDIRI!L86+MALANG!L86+MADIUN!L86+BANYUWANGI!L86</f>
        <v>375283780.75999999</v>
      </c>
      <c r="M86" s="64">
        <f>KANWIL!M86+SURABAYA!M86+KEDIRI!M86+MALANG!M86+MADIUN!M86+BANYUWANGI!M86</f>
        <v>0</v>
      </c>
      <c r="N86" s="64">
        <f>KANWIL!N86+SURABAYA!N86+KEDIRI!N86+MALANG!N86+MADIUN!N86+BANYUWANGI!N86</f>
        <v>166896072.26999998</v>
      </c>
      <c r="O86" s="62">
        <f t="shared" si="25"/>
        <v>542179853.02999997</v>
      </c>
      <c r="P86" s="65">
        <v>0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3">
        <f>KANWIL!F87+SURABAYA!F87+KEDIRI!F87+MALANG!F87+MADIUN!F87+BANYUWANGI!F87</f>
        <v>19718966</v>
      </c>
      <c r="G87" s="33">
        <f>KANWIL!G87+SURABAYA!G87+KEDIRI!G87+MALANG!G87+MADIUN!G87+BANYUWANGI!G87</f>
        <v>0</v>
      </c>
      <c r="H87" s="33">
        <f>KANWIL!H87+SURABAYA!H87+KEDIRI!H87+MALANG!H87+MADIUN!H87+BANYUWANGI!H87</f>
        <v>404346</v>
      </c>
      <c r="I87" s="33">
        <f>KANWIL!I87+SURABAYA!I87+KEDIRI!I87+MALANG!I87+MADIUN!I87+BANYUWANGI!I87</f>
        <v>520405</v>
      </c>
      <c r="J87" s="33">
        <f>KANWIL!J87+SURABAYA!J87+KEDIRI!J87+MALANG!J87+MADIUN!J87+BANYUWANGI!J87</f>
        <v>2289787</v>
      </c>
      <c r="K87" s="33">
        <f t="shared" si="24"/>
        <v>22933504</v>
      </c>
      <c r="L87" s="33">
        <f>KANWIL!L87+SURABAYA!L87+KEDIRI!L87+MALANG!L87+MADIUN!L87+BANYUWANGI!L87</f>
        <v>30075358.57</v>
      </c>
      <c r="M87" s="33">
        <f>KANWIL!M87+SURABAYA!M87+KEDIRI!M87+MALANG!M87+MADIUN!M87+BANYUWANGI!M87</f>
        <v>0</v>
      </c>
      <c r="N87" s="33">
        <f>KANWIL!N87+SURABAYA!N87+KEDIRI!N87+MALANG!N87+MADIUN!N87+BANYUWANGI!N87</f>
        <v>9683372.4299999978</v>
      </c>
      <c r="O87" s="19">
        <f t="shared" si="25"/>
        <v>39758731</v>
      </c>
      <c r="P87" s="37">
        <f>O87/K87</f>
        <v>1.7336526943287864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3">
        <f>KANWIL!F88+SURABAYA!F88+KEDIRI!F88+MALANG!F88+MADIUN!F88+BANYUWANGI!F88</f>
        <v>453044459</v>
      </c>
      <c r="G88" s="33">
        <f>KANWIL!G88+SURABAYA!G88+KEDIRI!G88+MALANG!G88+MADIUN!G88+BANYUWANGI!G88</f>
        <v>0</v>
      </c>
      <c r="H88" s="33">
        <f>KANWIL!H88+SURABAYA!H88+KEDIRI!H88+MALANG!H88+MADIUN!H88+BANYUWANGI!H88</f>
        <v>9289895</v>
      </c>
      <c r="I88" s="33">
        <f>KANWIL!I88+SURABAYA!I88+KEDIRI!I88+MALANG!I88+MADIUN!I88+BANYUWANGI!I88</f>
        <v>11956340</v>
      </c>
      <c r="J88" s="33">
        <f>KANWIL!J88+SURABAYA!J88+KEDIRI!J88+MALANG!J88+MADIUN!J88+BANYUWANGI!J88</f>
        <v>52608008</v>
      </c>
      <c r="K88" s="33">
        <f t="shared" si="24"/>
        <v>526898702</v>
      </c>
      <c r="L88" s="33">
        <f>KANWIL!L88+SURABAYA!L88+KEDIRI!L88+MALANG!L88+MADIUN!L88+BANYUWANGI!L88</f>
        <v>177104386.78999999</v>
      </c>
      <c r="M88" s="33">
        <f>KANWIL!M88+SURABAYA!M88+KEDIRI!M88+MALANG!M88+MADIUN!M88+BANYUWANGI!M88</f>
        <v>0</v>
      </c>
      <c r="N88" s="33">
        <f>KANWIL!N88+SURABAYA!N88+KEDIRI!N88+MALANG!N88+MADIUN!N88+BANYUWANGI!N88</f>
        <v>80924259.219999984</v>
      </c>
      <c r="O88" s="19">
        <f t="shared" si="25"/>
        <v>258028646.00999999</v>
      </c>
      <c r="P88" s="37">
        <f>O88/K88</f>
        <v>0.4897120547660791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3">
        <f>KANWIL!F89+SURABAYA!F89+KEDIRI!F89+MALANG!F89+MADIUN!F89+BANYUWANGI!F89</f>
        <v>0</v>
      </c>
      <c r="G89" s="33">
        <f>KANWIL!G89+SURABAYA!G89+KEDIRI!G89+MALANG!G89+MADIUN!G89+BANYUWANGI!G89</f>
        <v>0</v>
      </c>
      <c r="H89" s="33">
        <f>KANWIL!H89+SURABAYA!H89+KEDIRI!H89+MALANG!H89+MADIUN!H89+BANYUWANGI!H89</f>
        <v>0</v>
      </c>
      <c r="I89" s="33">
        <f>KANWIL!I89+SURABAYA!I89+KEDIRI!I89+MALANG!I89+MADIUN!I89+BANYUWANGI!I89</f>
        <v>0</v>
      </c>
      <c r="J89" s="33">
        <f>KANWIL!J89+SURABAYA!J89+KEDIRI!J89+MALANG!J89+MADIUN!J89+BANYUWANGI!J89</f>
        <v>0</v>
      </c>
      <c r="K89" s="33">
        <f t="shared" si="24"/>
        <v>0</v>
      </c>
      <c r="L89" s="33">
        <f>KANWIL!L89+SURABAYA!L89+KEDIRI!L89+MALANG!L89+MADIUN!L89+BANYUWANGI!L89</f>
        <v>6915895.4500000002</v>
      </c>
      <c r="M89" s="33">
        <f>KANWIL!M89+SURABAYA!M89+KEDIRI!M89+MALANG!M89+MADIUN!M89+BANYUWANGI!M89</f>
        <v>0</v>
      </c>
      <c r="N89" s="33">
        <f>KANWIL!N89+SURABAYA!N89+KEDIRI!N89+MALANG!N89+MADIUN!N89+BANYUWANGI!N89</f>
        <v>9965981.549999997</v>
      </c>
      <c r="O89" s="19">
        <f t="shared" si="25"/>
        <v>16881876.999999996</v>
      </c>
      <c r="P89" s="65">
        <v>0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3">
        <f>KANWIL!F90+SURABAYA!F90+KEDIRI!F90+MALANG!F90+MADIUN!F90+BANYUWANGI!F90</f>
        <v>58756307</v>
      </c>
      <c r="G90" s="33">
        <f>KANWIL!G90+SURABAYA!G90+KEDIRI!G90+MALANG!G90+MADIUN!G90+BANYUWANGI!G90</f>
        <v>0</v>
      </c>
      <c r="H90" s="33">
        <f>KANWIL!H90+SURABAYA!H90+KEDIRI!H90+MALANG!H90+MADIUN!H90+BANYUWANGI!H90</f>
        <v>1204827</v>
      </c>
      <c r="I90" s="33">
        <f>KANWIL!I90+SURABAYA!I90+KEDIRI!I90+MALANG!I90+MADIUN!I90+BANYUWANGI!I90</f>
        <v>1550644</v>
      </c>
      <c r="J90" s="33">
        <f>KANWIL!J90+SURABAYA!J90+KEDIRI!J90+MALANG!J90+MADIUN!J90+BANYUWANGI!J90</f>
        <v>6822846</v>
      </c>
      <c r="K90" s="33">
        <f t="shared" si="24"/>
        <v>68334624</v>
      </c>
      <c r="L90" s="33">
        <f>KANWIL!L90+SURABAYA!L90+KEDIRI!L90+MALANG!L90+MADIUN!L90+BANYUWANGI!L90</f>
        <v>26539239.18</v>
      </c>
      <c r="M90" s="33">
        <f>KANWIL!M90+SURABAYA!M90+KEDIRI!M90+MALANG!M90+MADIUN!M90+BANYUWANGI!M90</f>
        <v>0</v>
      </c>
      <c r="N90" s="33">
        <f>KANWIL!N90+SURABAYA!N90+KEDIRI!N90+MALANG!N90+MADIUN!N90+BANYUWANGI!N90</f>
        <v>11875320.819999998</v>
      </c>
      <c r="O90" s="19">
        <f t="shared" si="25"/>
        <v>38414560</v>
      </c>
      <c r="P90" s="37">
        <f>O90/K90</f>
        <v>0.56215367483400513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3">
        <f>KANWIL!F91+SURABAYA!F91+KEDIRI!F91+MALANG!F91+MADIUN!F91+BANYUWANGI!F91</f>
        <v>0</v>
      </c>
      <c r="G91" s="33">
        <f>KANWIL!G91+SURABAYA!G91+KEDIRI!G91+MALANG!G91+MADIUN!G91+BANYUWANGI!G91</f>
        <v>0</v>
      </c>
      <c r="H91" s="33">
        <f>KANWIL!H91+SURABAYA!H91+KEDIRI!H91+MALANG!H91+MADIUN!H91+BANYUWANGI!H91</f>
        <v>0</v>
      </c>
      <c r="I91" s="33">
        <f>KANWIL!I91+SURABAYA!I91+KEDIRI!I91+MALANG!I91+MADIUN!I91+BANYUWANGI!I91</f>
        <v>0</v>
      </c>
      <c r="J91" s="33">
        <f>KANWIL!J91+SURABAYA!J91+KEDIRI!J91+MALANG!J91+MADIUN!J91+BANYUWANGI!J91</f>
        <v>0</v>
      </c>
      <c r="K91" s="33">
        <f t="shared" si="24"/>
        <v>0</v>
      </c>
      <c r="L91" s="33">
        <f>KANWIL!L91+SURABAYA!L91+KEDIRI!L91+MALANG!L91+MADIUN!L91+BANYUWANGI!L91</f>
        <v>0</v>
      </c>
      <c r="M91" s="33">
        <f>KANWIL!M91+SURABAYA!M91+KEDIRI!M91+MALANG!M91+MADIUN!M91+BANYUWANGI!M91</f>
        <v>0</v>
      </c>
      <c r="N91" s="33">
        <f>KANWIL!N91+SURABAYA!N91+KEDIRI!N91+MALANG!N91+MADIUN!N91+BANYUWANGI!N91</f>
        <v>0</v>
      </c>
      <c r="O91" s="19">
        <f t="shared" si="25"/>
        <v>0</v>
      </c>
      <c r="P91" s="37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3">
        <f>KANWIL!F92+SURABAYA!F92+KEDIRI!F92+MALANG!F92+MADIUN!F92+BANYUWANGI!F92</f>
        <v>0</v>
      </c>
      <c r="G92" s="33">
        <f>KANWIL!G92+SURABAYA!G92+KEDIRI!G92+MALANG!G92+MADIUN!G92+BANYUWANGI!G92</f>
        <v>0</v>
      </c>
      <c r="H92" s="33">
        <f>KANWIL!H92+SURABAYA!H92+KEDIRI!H92+MALANG!H92+MADIUN!H92+BANYUWANGI!H92</f>
        <v>0</v>
      </c>
      <c r="I92" s="33">
        <f>KANWIL!I92+SURABAYA!I92+KEDIRI!I92+MALANG!I92+MADIUN!I92+BANYUWANGI!I92</f>
        <v>0</v>
      </c>
      <c r="J92" s="33">
        <f>KANWIL!J92+SURABAYA!J92+KEDIRI!J92+MALANG!J92+MADIUN!J92+BANYUWANGI!J92</f>
        <v>0</v>
      </c>
      <c r="K92" s="33">
        <f t="shared" si="24"/>
        <v>0</v>
      </c>
      <c r="L92" s="33">
        <f>KANWIL!L92+SURABAYA!L92+KEDIRI!L92+MALANG!L92+MADIUN!L92+BANYUWANGI!L92</f>
        <v>0</v>
      </c>
      <c r="M92" s="33">
        <f>KANWIL!M92+SURABAYA!M92+KEDIRI!M92+MALANG!M92+MADIUN!M92+BANYUWANGI!M92</f>
        <v>0</v>
      </c>
      <c r="N92" s="33">
        <f>KANWIL!N92+SURABAYA!N92+KEDIRI!N92+MALANG!N92+MADIUN!N92+BANYUWANGI!N92</f>
        <v>0</v>
      </c>
      <c r="O92" s="19">
        <f t="shared" si="25"/>
        <v>0</v>
      </c>
      <c r="P92" s="37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3">
        <f>KANWIL!F93+SURABAYA!F93+KEDIRI!F93+MALANG!F93+MADIUN!F93+BANYUWANGI!F93</f>
        <v>0</v>
      </c>
      <c r="G93" s="33">
        <f>KANWIL!G93+SURABAYA!G93+KEDIRI!G93+MALANG!G93+MADIUN!G93+BANYUWANGI!G93</f>
        <v>0</v>
      </c>
      <c r="H93" s="33">
        <f>KANWIL!H93+SURABAYA!H93+KEDIRI!H93+MALANG!H93+MADIUN!H93+BANYUWANGI!H93</f>
        <v>0</v>
      </c>
      <c r="I93" s="33">
        <f>KANWIL!I93+SURABAYA!I93+KEDIRI!I93+MALANG!I93+MADIUN!I93+BANYUWANGI!I93</f>
        <v>0</v>
      </c>
      <c r="J93" s="33">
        <f>KANWIL!J93+SURABAYA!J93+KEDIRI!J93+MALANG!J93+MADIUN!J93+BANYUWANGI!J93</f>
        <v>0</v>
      </c>
      <c r="K93" s="33">
        <f t="shared" si="24"/>
        <v>0</v>
      </c>
      <c r="L93" s="33">
        <f>KANWIL!L93+SURABAYA!L93+KEDIRI!L93+MALANG!L93+MADIUN!L93+BANYUWANGI!L93</f>
        <v>0</v>
      </c>
      <c r="M93" s="33">
        <f>KANWIL!M93+SURABAYA!M93+KEDIRI!M93+MALANG!M93+MADIUN!M93+BANYUWANGI!M93</f>
        <v>0</v>
      </c>
      <c r="N93" s="33">
        <f>KANWIL!N93+SURABAYA!N93+KEDIRI!N93+MALANG!N93+MADIUN!N93+BANYUWANGI!N93</f>
        <v>0</v>
      </c>
      <c r="O93" s="19">
        <f t="shared" si="25"/>
        <v>0</v>
      </c>
      <c r="P93" s="37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3">
        <f>KANWIL!F94+SURABAYA!F94+KEDIRI!F94+MALANG!F94+MADIUN!F94+BANYUWANGI!F94</f>
        <v>0</v>
      </c>
      <c r="G94" s="33">
        <f>KANWIL!G94+SURABAYA!G94+KEDIRI!G94+MALANG!G94+MADIUN!G94+BANYUWANGI!G94</f>
        <v>0</v>
      </c>
      <c r="H94" s="33">
        <f>KANWIL!H94+SURABAYA!H94+KEDIRI!H94+MALANG!H94+MADIUN!H94+BANYUWANGI!H94</f>
        <v>0</v>
      </c>
      <c r="I94" s="33">
        <f>KANWIL!I94+SURABAYA!I94+KEDIRI!I94+MALANG!I94+MADIUN!I94+BANYUWANGI!I94</f>
        <v>0</v>
      </c>
      <c r="J94" s="33">
        <f>KANWIL!J94+SURABAYA!J94+KEDIRI!J94+MALANG!J94+MADIUN!J94+BANYUWANGI!J94</f>
        <v>0</v>
      </c>
      <c r="K94" s="33">
        <f t="shared" si="24"/>
        <v>0</v>
      </c>
      <c r="L94" s="33">
        <f>KANWIL!L94+SURABAYA!L94+KEDIRI!L94+MALANG!L94+MADIUN!L94+BANYUWANGI!L94</f>
        <v>0</v>
      </c>
      <c r="M94" s="33">
        <f>KANWIL!M94+SURABAYA!M94+KEDIRI!M94+MALANG!M94+MADIUN!M94+BANYUWANGI!M94</f>
        <v>0</v>
      </c>
      <c r="N94" s="33">
        <f>KANWIL!N94+SURABAYA!N94+KEDIRI!N94+MALANG!N94+MADIUN!N94+BANYUWANGI!N94</f>
        <v>0</v>
      </c>
      <c r="O94" s="19">
        <f t="shared" si="25"/>
        <v>0</v>
      </c>
      <c r="P94" s="37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3">
        <f>KANWIL!F95+SURABAYA!F95+KEDIRI!F95+MALANG!F95+MADIUN!F95+BANYUWANGI!F95</f>
        <v>5891173</v>
      </c>
      <c r="G95" s="33">
        <f>KANWIL!G95+SURABAYA!G95+KEDIRI!G95+MALANG!G95+MADIUN!G95+BANYUWANGI!G95</f>
        <v>0</v>
      </c>
      <c r="H95" s="33">
        <f>KANWIL!H95+SURABAYA!H95+KEDIRI!H95+MALANG!H95+MADIUN!H95+BANYUWANGI!H95</f>
        <v>120801</v>
      </c>
      <c r="I95" s="33">
        <f>KANWIL!I95+SURABAYA!I95+KEDIRI!I95+MALANG!I95+MADIUN!I95+BANYUWANGI!I95</f>
        <v>155474</v>
      </c>
      <c r="J95" s="33">
        <f>KANWIL!J95+SURABAYA!J95+KEDIRI!J95+MALANG!J95+MADIUN!J95+BANYUWANGI!J95</f>
        <v>684089</v>
      </c>
      <c r="K95" s="33">
        <f t="shared" si="24"/>
        <v>6851537</v>
      </c>
      <c r="L95" s="33">
        <f>KANWIL!L95+SURABAYA!L95+KEDIRI!L95+MALANG!L95+MADIUN!L95+BANYUWANGI!L95</f>
        <v>0</v>
      </c>
      <c r="M95" s="33">
        <f>KANWIL!M95+SURABAYA!M95+KEDIRI!M95+MALANG!M95+MADIUN!M95+BANYUWANGI!M95</f>
        <v>0</v>
      </c>
      <c r="N95" s="33">
        <f>KANWIL!N95+SURABAYA!N95+KEDIRI!N95+MALANG!N95+MADIUN!N95+BANYUWANGI!N95</f>
        <v>0</v>
      </c>
      <c r="O95" s="19">
        <f t="shared" si="25"/>
        <v>0</v>
      </c>
      <c r="P95" s="37">
        <f>O95/K95</f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3">
        <f>KANWIL!F96+SURABAYA!F96+KEDIRI!F96+MALANG!F96+MADIUN!F96+BANYUWANGI!F96</f>
        <v>0</v>
      </c>
      <c r="G96" s="33">
        <f>KANWIL!G96+SURABAYA!G96+KEDIRI!G96+MALANG!G96+MADIUN!G96+BANYUWANGI!G96</f>
        <v>0</v>
      </c>
      <c r="H96" s="33">
        <f>KANWIL!H96+SURABAYA!H96+KEDIRI!H96+MALANG!H96+MADIUN!H96+BANYUWANGI!H96</f>
        <v>0</v>
      </c>
      <c r="I96" s="33">
        <f>KANWIL!I96+SURABAYA!I96+KEDIRI!I96+MALANG!I96+MADIUN!I96+BANYUWANGI!I96</f>
        <v>0</v>
      </c>
      <c r="J96" s="33">
        <f>KANWIL!J96+SURABAYA!J96+KEDIRI!J96+MALANG!J96+MADIUN!J96+BANYUWANGI!J96</f>
        <v>0</v>
      </c>
      <c r="K96" s="33">
        <f t="shared" si="24"/>
        <v>0</v>
      </c>
      <c r="L96" s="33">
        <f>KANWIL!L96+SURABAYA!L96+KEDIRI!L96+MALANG!L96+MADIUN!L96+BANYUWANGI!L96</f>
        <v>0</v>
      </c>
      <c r="M96" s="33">
        <f>KANWIL!M96+SURABAYA!M96+KEDIRI!M96+MALANG!M96+MADIUN!M96+BANYUWANGI!M96</f>
        <v>0</v>
      </c>
      <c r="N96" s="33">
        <f>KANWIL!N96+SURABAYA!N96+KEDIRI!N96+MALANG!N96+MADIUN!N96+BANYUWANGI!N96</f>
        <v>0</v>
      </c>
      <c r="O96" s="19">
        <f t="shared" si="25"/>
        <v>0</v>
      </c>
      <c r="P96" s="37">
        <v>0</v>
      </c>
    </row>
    <row r="97" spans="1:16" s="20" customFormat="1" x14ac:dyDescent="0.3">
      <c r="A97" s="20">
        <v>214</v>
      </c>
      <c r="B97" s="7"/>
      <c r="C97" s="8"/>
      <c r="D97" s="21"/>
      <c r="E97" s="24" t="s">
        <v>100</v>
      </c>
      <c r="F97" s="33">
        <f>KANWIL!F97+SURABAYA!F97+KEDIRI!F97+MALANG!F97+MADIUN!F97+BANYUWANGI!F97</f>
        <v>1119999796</v>
      </c>
      <c r="G97" s="33">
        <f>KANWIL!G97+SURABAYA!G97+KEDIRI!G97+MALANG!G97+MADIUN!G97+BANYUWANGI!G97</f>
        <v>0</v>
      </c>
      <c r="H97" s="33">
        <f>KANWIL!H97+SURABAYA!H97+KEDIRI!H97+MALANG!H97+MADIUN!H97+BANYUWANGI!H97</f>
        <v>22966136</v>
      </c>
      <c r="I97" s="33">
        <f>KANWIL!I97+SURABAYA!I97+KEDIRI!I97+MALANG!I97+MADIUN!I97+BANYUWANGI!I97</f>
        <v>29558023</v>
      </c>
      <c r="J97" s="33">
        <f>KANWIL!J97+SURABAYA!J97+KEDIRI!J97+MALANG!J97+MADIUN!J97+BANYUWANGI!J97</f>
        <v>130055576</v>
      </c>
      <c r="K97" s="33">
        <f t="shared" si="24"/>
        <v>1302579531</v>
      </c>
      <c r="L97" s="33">
        <f>KANWIL!L97+SURABAYA!L97+KEDIRI!L97+MALANG!L97+MADIUN!L97+BANYUWANGI!L97</f>
        <v>172499265.47</v>
      </c>
      <c r="M97" s="33">
        <f>KANWIL!M97+SURABAYA!M97+KEDIRI!M97+MALANG!M97+MADIUN!M97+BANYUWANGI!M97</f>
        <v>0</v>
      </c>
      <c r="N97" s="33">
        <f>KANWIL!N97+SURABAYA!N97+KEDIRI!N97+MALANG!N97+MADIUN!N97+BANYUWANGI!N97</f>
        <v>84036344.859999985</v>
      </c>
      <c r="O97" s="19">
        <f t="shared" si="25"/>
        <v>256535610.32999998</v>
      </c>
      <c r="P97" s="37">
        <f>O97/K97</f>
        <v>0.19694429723846166</v>
      </c>
    </row>
    <row r="98" spans="1:16" s="20" customFormat="1" x14ac:dyDescent="0.3">
      <c r="A98" s="20">
        <v>215</v>
      </c>
      <c r="B98" s="7"/>
      <c r="C98" s="8"/>
      <c r="D98" s="21"/>
      <c r="E98" s="24" t="s">
        <v>101</v>
      </c>
      <c r="F98" s="33">
        <f>KANWIL!F98+SURABAYA!F98+KEDIRI!F98+MALANG!F98+MADIUN!F98+BANYUWANGI!F98</f>
        <v>0</v>
      </c>
      <c r="G98" s="33">
        <f>KANWIL!G98+SURABAYA!G98+KEDIRI!G98+MALANG!G98+MADIUN!G98+BANYUWANGI!G98</f>
        <v>0</v>
      </c>
      <c r="H98" s="33">
        <f>KANWIL!H98+SURABAYA!H98+KEDIRI!H98+MALANG!H98+MADIUN!H98+BANYUWANGI!H98</f>
        <v>0</v>
      </c>
      <c r="I98" s="33">
        <f>KANWIL!I98+SURABAYA!I98+KEDIRI!I98+MALANG!I98+MADIUN!I98+BANYUWANGI!I98</f>
        <v>0</v>
      </c>
      <c r="J98" s="33">
        <f>KANWIL!J98+SURABAYA!J98+KEDIRI!J98+MALANG!J98+MADIUN!J98+BANYUWANGI!J98</f>
        <v>0</v>
      </c>
      <c r="K98" s="33">
        <f t="shared" si="24"/>
        <v>0</v>
      </c>
      <c r="L98" s="33">
        <f>KANWIL!L98+SURABAYA!L98+KEDIRI!L98+MALANG!L98+MADIUN!L98+BANYUWANGI!L98</f>
        <v>76739407.420000002</v>
      </c>
      <c r="M98" s="33">
        <f>KANWIL!M98+SURABAYA!M98+KEDIRI!M98+MALANG!M98+MADIUN!M98+BANYUWANGI!M98</f>
        <v>0</v>
      </c>
      <c r="N98" s="33">
        <f>KANWIL!N98+SURABAYA!N98+KEDIRI!N98+MALANG!N98+MADIUN!N98+BANYUWANGI!N98</f>
        <v>32716001.589999992</v>
      </c>
      <c r="O98" s="19">
        <f t="shared" si="25"/>
        <v>109455409.00999999</v>
      </c>
      <c r="P98" s="37">
        <v>0</v>
      </c>
    </row>
    <row r="99" spans="1:16" s="20" customFormat="1" x14ac:dyDescent="0.3">
      <c r="A99" s="20">
        <v>216</v>
      </c>
      <c r="B99" s="7"/>
      <c r="C99" s="8"/>
      <c r="D99" s="21"/>
      <c r="E99" s="24" t="s">
        <v>102</v>
      </c>
      <c r="F99" s="33">
        <f>KANWIL!F99+SURABAYA!F99+KEDIRI!F99+MALANG!F99+MADIUN!F99+BANYUWANGI!F99</f>
        <v>397278438</v>
      </c>
      <c r="G99" s="33">
        <f>KANWIL!G99+SURABAYA!G99+KEDIRI!G99+MALANG!G99+MADIUN!G99+BANYUWANGI!G99</f>
        <v>0</v>
      </c>
      <c r="H99" s="33">
        <f>KANWIL!H99+SURABAYA!H99+KEDIRI!H99+MALANG!H99+MADIUN!H99+BANYUWANGI!H99</f>
        <v>8146386</v>
      </c>
      <c r="I99" s="33">
        <f>KANWIL!I99+SURABAYA!I99+KEDIRI!I99+MALANG!I99+MADIUN!I99+BANYUWANGI!I99</f>
        <v>10484613</v>
      </c>
      <c r="J99" s="33">
        <f>KANWIL!J99+SURABAYA!J99+KEDIRI!J99+MALANG!J99+MADIUN!J99+BANYUWANGI!J99</f>
        <v>46132398</v>
      </c>
      <c r="K99" s="33">
        <f t="shared" si="24"/>
        <v>462041835</v>
      </c>
      <c r="L99" s="33">
        <f>KANWIL!L99+SURABAYA!L99+KEDIRI!L99+MALANG!L99+MADIUN!L99+BANYUWANGI!L99</f>
        <v>128022903.92000002</v>
      </c>
      <c r="M99" s="33">
        <f>KANWIL!M99+SURABAYA!M99+KEDIRI!M99+MALANG!M99+MADIUN!M99+BANYUWANGI!M99</f>
        <v>0</v>
      </c>
      <c r="N99" s="33">
        <f>KANWIL!N99+SURABAYA!N99+KEDIRI!N99+MALANG!N99+MADIUN!N99+BANYUWANGI!N99</f>
        <v>56721401.139999993</v>
      </c>
      <c r="O99" s="19">
        <f t="shared" si="25"/>
        <v>184744305.06</v>
      </c>
      <c r="P99" s="37">
        <f>O99/K99</f>
        <v>0.39984324159737616</v>
      </c>
    </row>
    <row r="100" spans="1:16" s="20" customFormat="1" x14ac:dyDescent="0.3">
      <c r="A100" s="20">
        <v>210</v>
      </c>
      <c r="B100" s="7"/>
      <c r="C100" s="8"/>
      <c r="D100" s="21"/>
      <c r="E100" s="24" t="s">
        <v>103</v>
      </c>
      <c r="F100" s="33">
        <f>KANWIL!F100+SURABAYA!F100+KEDIRI!F100+MALANG!F100+MADIUN!F100+BANYUWANGI!F100</f>
        <v>0</v>
      </c>
      <c r="G100" s="33">
        <f>KANWIL!G100+SURABAYA!G100+KEDIRI!G100+MALANG!G100+MADIUN!G100+BANYUWANGI!G100</f>
        <v>0</v>
      </c>
      <c r="H100" s="33">
        <f>KANWIL!H100+SURABAYA!H100+KEDIRI!H100+MALANG!H100+MADIUN!H100+BANYUWANGI!H100</f>
        <v>0</v>
      </c>
      <c r="I100" s="33">
        <f>KANWIL!I100+SURABAYA!I100+KEDIRI!I100+MALANG!I100+MADIUN!I100+BANYUWANGI!I100</f>
        <v>0</v>
      </c>
      <c r="J100" s="33">
        <f>KANWIL!J100+SURABAYA!J100+KEDIRI!J100+MALANG!J100+MADIUN!J100+BANYUWANGI!J100</f>
        <v>0</v>
      </c>
      <c r="K100" s="33">
        <f t="shared" si="24"/>
        <v>0</v>
      </c>
      <c r="L100" s="33">
        <f>KANWIL!L100+SURABAYA!L100+KEDIRI!L100+MALANG!L100+MADIUN!L100+BANYUWANGI!L100</f>
        <v>0</v>
      </c>
      <c r="M100" s="33">
        <f>KANWIL!M100+SURABAYA!M100+KEDIRI!M100+MALANG!M100+MADIUN!M100+BANYUWANGI!M100</f>
        <v>0</v>
      </c>
      <c r="N100" s="33">
        <f>KANWIL!N100+SURABAYA!N100+KEDIRI!N100+MALANG!N100+MADIUN!N100+BANYUWANGI!N100</f>
        <v>0</v>
      </c>
      <c r="O100" s="19">
        <f t="shared" si="25"/>
        <v>0</v>
      </c>
      <c r="P100" s="37">
        <v>0</v>
      </c>
    </row>
    <row r="101" spans="1:16" s="20" customFormat="1" x14ac:dyDescent="0.3">
      <c r="A101" s="20">
        <v>217</v>
      </c>
      <c r="B101" s="7"/>
      <c r="C101" s="8"/>
      <c r="D101" s="21"/>
      <c r="E101" s="24" t="s">
        <v>104</v>
      </c>
      <c r="F101" s="33">
        <f>KANWIL!F101+SURABAYA!F101+KEDIRI!F101+MALANG!F101+MADIUN!F101+BANYUWANGI!F101</f>
        <v>789878130</v>
      </c>
      <c r="G101" s="33">
        <f>KANWIL!G101+SURABAYA!G101+KEDIRI!G101+MALANG!G101+MADIUN!G101+BANYUWANGI!G101</f>
        <v>0</v>
      </c>
      <c r="H101" s="33">
        <f>KANWIL!H101+SURABAYA!H101+KEDIRI!H101+MALANG!H101+MADIUN!H101+BANYUWANGI!H101</f>
        <v>16196834</v>
      </c>
      <c r="I101" s="33">
        <f>KANWIL!I101+SURABAYA!I101+KEDIRI!I101+MALANG!I101+MADIUN!I101+BANYUWANGI!I101</f>
        <v>20845749</v>
      </c>
      <c r="J101" s="33">
        <f>KANWIL!J101+SURABAYA!J101+KEDIRI!J101+MALANG!J101+MADIUN!J101+BANYUWANGI!J101</f>
        <v>91721494</v>
      </c>
      <c r="K101" s="33">
        <f t="shared" si="24"/>
        <v>918642207</v>
      </c>
      <c r="L101" s="33">
        <f>KANWIL!L101+SURABAYA!L101+KEDIRI!L101+MALANG!L101+MADIUN!L101+BANYUWANGI!L101</f>
        <v>682375083.84000003</v>
      </c>
      <c r="M101" s="33">
        <f>KANWIL!M101+SURABAYA!M101+KEDIRI!M101+MALANG!M101+MADIUN!M101+BANYUWANGI!M101</f>
        <v>0</v>
      </c>
      <c r="N101" s="33">
        <f>KANWIL!N101+SURABAYA!N101+KEDIRI!N101+MALANG!N101+MADIUN!N101+BANYUWANGI!N101</f>
        <v>295261585.15999997</v>
      </c>
      <c r="O101" s="19">
        <f t="shared" si="25"/>
        <v>977636669</v>
      </c>
      <c r="P101" s="37">
        <f>O101/K101</f>
        <v>1.064219193882521</v>
      </c>
    </row>
    <row r="102" spans="1:16" s="20" customFormat="1" x14ac:dyDescent="0.3">
      <c r="A102" s="20">
        <v>218</v>
      </c>
      <c r="B102" s="7"/>
      <c r="C102" s="8"/>
      <c r="D102" s="21"/>
      <c r="E102" s="24" t="s">
        <v>105</v>
      </c>
      <c r="F102" s="33">
        <f>KANWIL!F102+SURABAYA!F102+KEDIRI!F102+MALANG!F102+MADIUN!F102+BANYUWANGI!F102</f>
        <v>106739919</v>
      </c>
      <c r="G102" s="33">
        <f>KANWIL!G102+SURABAYA!G102+KEDIRI!G102+MALANG!G102+MADIUN!G102+BANYUWANGI!G102</f>
        <v>0</v>
      </c>
      <c r="H102" s="33">
        <f>KANWIL!H102+SURABAYA!H102+KEDIRI!H102+MALANG!H102+MADIUN!H102+BANYUWANGI!H102</f>
        <v>2188755</v>
      </c>
      <c r="I102" s="33">
        <f>KANWIL!I102+SURABAYA!I102+KEDIRI!I102+MALANG!I102+MADIUN!I102+BANYUWANGI!I102</f>
        <v>2816985</v>
      </c>
      <c r="J102" s="33">
        <f>KANWIL!J102+SURABAYA!J102+KEDIRI!J102+MALANG!J102+MADIUN!J102+BANYUWANGI!J102</f>
        <v>12394755</v>
      </c>
      <c r="K102" s="33">
        <f t="shared" si="24"/>
        <v>124140414</v>
      </c>
      <c r="L102" s="33">
        <f>KANWIL!L102+SURABAYA!L102+KEDIRI!L102+MALANG!L102+MADIUN!L102+BANYUWANGI!L102</f>
        <v>29598384.300000001</v>
      </c>
      <c r="M102" s="33">
        <f>KANWIL!M102+SURABAYA!M102+KEDIRI!M102+MALANG!M102+MADIUN!M102+BANYUWANGI!M102</f>
        <v>0</v>
      </c>
      <c r="N102" s="33">
        <f>KANWIL!N102+SURABAYA!N102+KEDIRI!N102+MALANG!N102+MADIUN!N102+BANYUWANGI!N102</f>
        <v>13091589.409999998</v>
      </c>
      <c r="O102" s="19">
        <f t="shared" si="25"/>
        <v>42689973.710000001</v>
      </c>
      <c r="P102" s="37">
        <f>O102/K102</f>
        <v>0.34388457662143773</v>
      </c>
    </row>
    <row r="103" spans="1:16" s="20" customFormat="1" x14ac:dyDescent="0.3">
      <c r="A103" s="20">
        <v>219</v>
      </c>
      <c r="B103" s="7"/>
      <c r="C103" s="8"/>
      <c r="D103" s="21"/>
      <c r="E103" s="24" t="s">
        <v>106</v>
      </c>
      <c r="F103" s="33">
        <f>KANWIL!F103+SURABAYA!F103+KEDIRI!F103+MALANG!F103+MADIUN!F103+BANYUWANGI!F103</f>
        <v>0</v>
      </c>
      <c r="G103" s="33">
        <f>KANWIL!G103+SURABAYA!G103+KEDIRI!G103+MALANG!G103+MADIUN!G103+BANYUWANGI!G103</f>
        <v>0</v>
      </c>
      <c r="H103" s="33">
        <f>KANWIL!H103+SURABAYA!H103+KEDIRI!H103+MALANG!H103+MADIUN!H103+BANYUWANGI!H103</f>
        <v>0</v>
      </c>
      <c r="I103" s="33">
        <f>KANWIL!I103+SURABAYA!I103+KEDIRI!I103+MALANG!I103+MADIUN!I103+BANYUWANGI!I103</f>
        <v>0</v>
      </c>
      <c r="J103" s="33">
        <f>KANWIL!J103+SURABAYA!J103+KEDIRI!J103+MALANG!J103+MADIUN!J103+BANYUWANGI!J103</f>
        <v>0</v>
      </c>
      <c r="K103" s="33">
        <f t="shared" si="24"/>
        <v>0</v>
      </c>
      <c r="L103" s="33">
        <f>KANWIL!L103+SURABAYA!L103+KEDIRI!L103+MALANG!L103+MADIUN!L103+BANYUWANGI!L103</f>
        <v>0</v>
      </c>
      <c r="M103" s="33">
        <f>KANWIL!M103+SURABAYA!M103+KEDIRI!M103+MALANG!M103+MADIUN!M103+BANYUWANGI!M103</f>
        <v>0</v>
      </c>
      <c r="N103" s="33">
        <f>KANWIL!N103+SURABAYA!N103+KEDIRI!N103+MALANG!N103+MADIUN!N103+BANYUWANGI!N103</f>
        <v>0</v>
      </c>
      <c r="O103" s="19">
        <f t="shared" si="25"/>
        <v>0</v>
      </c>
      <c r="P103" s="37">
        <v>0</v>
      </c>
    </row>
    <row r="104" spans="1:16" s="20" customFormat="1" x14ac:dyDescent="0.3">
      <c r="A104" s="20">
        <v>220</v>
      </c>
      <c r="B104" s="7"/>
      <c r="C104" s="8"/>
      <c r="D104" s="21"/>
      <c r="E104" s="24" t="s">
        <v>107</v>
      </c>
      <c r="F104" s="33">
        <f>KANWIL!F104+SURABAYA!F104+KEDIRI!F104+MALANG!F104+MADIUN!F104+BANYUWANGI!F104</f>
        <v>255526064</v>
      </c>
      <c r="G104" s="33">
        <f>KANWIL!G104+SURABAYA!G104+KEDIRI!G104+MALANG!G104+MADIUN!G104+BANYUWANGI!G104</f>
        <v>0</v>
      </c>
      <c r="H104" s="33">
        <f>KANWIL!H104+SURABAYA!H104+KEDIRI!H104+MALANG!H104+MADIUN!H104+BANYUWANGI!H104</f>
        <v>5239685</v>
      </c>
      <c r="I104" s="33">
        <f>KANWIL!I104+SURABAYA!I104+KEDIRI!I104+MALANG!I104+MADIUN!I104+BANYUWANGI!I104</f>
        <v>6743613</v>
      </c>
      <c r="J104" s="33">
        <f>KANWIL!J104+SURABAYA!J104+KEDIRI!J104+MALANG!J104+MADIUN!J104+BANYUWANGI!J104</f>
        <v>29671960</v>
      </c>
      <c r="K104" s="33">
        <f t="shared" si="24"/>
        <v>297181322</v>
      </c>
      <c r="L104" s="33">
        <f>KANWIL!L104+SURABAYA!L104+KEDIRI!L104+MALANG!L104+MADIUN!L104+BANYUWANGI!L104</f>
        <v>58917148.990000002</v>
      </c>
      <c r="M104" s="33">
        <f>KANWIL!M104+SURABAYA!M104+KEDIRI!M104+MALANG!M104+MADIUN!M104+BANYUWANGI!M104</f>
        <v>0</v>
      </c>
      <c r="N104" s="33">
        <f>KANWIL!N104+SURABAYA!N104+KEDIRI!N104+MALANG!N104+MADIUN!N104+BANYUWANGI!N104</f>
        <v>26240699.009999994</v>
      </c>
      <c r="O104" s="19">
        <f t="shared" si="25"/>
        <v>85157848</v>
      </c>
      <c r="P104" s="37">
        <f>O104/K104</f>
        <v>0.28655181768119331</v>
      </c>
    </row>
    <row r="105" spans="1:16" s="20" customFormat="1" x14ac:dyDescent="0.3">
      <c r="A105" s="20">
        <v>0</v>
      </c>
      <c r="B105" s="7"/>
      <c r="C105" s="8"/>
      <c r="D105" s="21"/>
      <c r="E105" s="24" t="s">
        <v>108</v>
      </c>
      <c r="F105" s="33">
        <f>KANWIL!F105+SURABAYA!F105+KEDIRI!F105+MALANG!F105+MADIUN!F105+BANYUWANGI!F105</f>
        <v>0</v>
      </c>
      <c r="G105" s="33">
        <f>KANWIL!G105+SURABAYA!G105+KEDIRI!G105+MALANG!G105+MADIUN!G105+BANYUWANGI!G105</f>
        <v>0</v>
      </c>
      <c r="H105" s="33">
        <f>KANWIL!H105+SURABAYA!H105+KEDIRI!H105+MALANG!H105+MADIUN!H105+BANYUWANGI!H105</f>
        <v>0</v>
      </c>
      <c r="I105" s="33">
        <f>KANWIL!I105+SURABAYA!I105+KEDIRI!I105+MALANG!I105+MADIUN!I105+BANYUWANGI!I105</f>
        <v>0</v>
      </c>
      <c r="J105" s="33">
        <f>KANWIL!J105+SURABAYA!J105+KEDIRI!J105+MALANG!J105+MADIUN!J105+BANYUWANGI!J105</f>
        <v>0</v>
      </c>
      <c r="K105" s="33">
        <f t="shared" si="24"/>
        <v>0</v>
      </c>
      <c r="L105" s="33">
        <f>KANWIL!L105+SURABAYA!L105+KEDIRI!L105+MALANG!L105+MADIUN!L105+BANYUWANGI!L105</f>
        <v>0</v>
      </c>
      <c r="M105" s="33">
        <f>KANWIL!M105+SURABAYA!M105+KEDIRI!M105+MALANG!M105+MADIUN!M105+BANYUWANGI!M105</f>
        <v>0</v>
      </c>
      <c r="N105" s="33">
        <f>KANWIL!N105+SURABAYA!N105+KEDIRI!N105+MALANG!N105+MADIUN!N105+BANYUWANGI!N105</f>
        <v>0</v>
      </c>
      <c r="O105" s="19">
        <f t="shared" si="25"/>
        <v>0</v>
      </c>
      <c r="P105" s="37">
        <v>0</v>
      </c>
    </row>
    <row r="106" spans="1:16" s="20" customFormat="1" x14ac:dyDescent="0.3">
      <c r="A106" s="20">
        <v>225</v>
      </c>
      <c r="B106" s="7"/>
      <c r="C106" s="8"/>
      <c r="D106" s="21"/>
      <c r="E106" s="24" t="s">
        <v>109</v>
      </c>
      <c r="F106" s="33">
        <f>KANWIL!F106+SURABAYA!F106+KEDIRI!F106+MALANG!F106+MADIUN!F106+BANYUWANGI!F106</f>
        <v>0</v>
      </c>
      <c r="G106" s="33">
        <f>KANWIL!G106+SURABAYA!G106+KEDIRI!G106+MALANG!G106+MADIUN!G106+BANYUWANGI!G106</f>
        <v>0</v>
      </c>
      <c r="H106" s="33">
        <f>KANWIL!H106+SURABAYA!H106+KEDIRI!H106+MALANG!H106+MADIUN!H106+BANYUWANGI!H106</f>
        <v>0</v>
      </c>
      <c r="I106" s="33">
        <f>KANWIL!I106+SURABAYA!I106+KEDIRI!I106+MALANG!I106+MADIUN!I106+BANYUWANGI!I106</f>
        <v>0</v>
      </c>
      <c r="J106" s="33">
        <f>KANWIL!J106+SURABAYA!J106+KEDIRI!J106+MALANG!J106+MADIUN!J106+BANYUWANGI!J106</f>
        <v>0</v>
      </c>
      <c r="K106" s="33">
        <f t="shared" si="24"/>
        <v>0</v>
      </c>
      <c r="L106" s="33">
        <f>KANWIL!L106+SURABAYA!L106+KEDIRI!L106+MALANG!L106+MADIUN!L106+BANYUWANGI!L106</f>
        <v>0</v>
      </c>
      <c r="M106" s="33">
        <f>KANWIL!M106+SURABAYA!M106+KEDIRI!M106+MALANG!M106+MADIUN!M106+BANYUWANGI!M106</f>
        <v>0</v>
      </c>
      <c r="N106" s="33">
        <f>KANWIL!N106+SURABAYA!N106+KEDIRI!N106+MALANG!N106+MADIUN!N106+BANYUWANGI!N106</f>
        <v>0</v>
      </c>
      <c r="O106" s="19">
        <f t="shared" si="25"/>
        <v>0</v>
      </c>
      <c r="P106" s="37">
        <v>0</v>
      </c>
    </row>
    <row r="107" spans="1:16" s="20" customFormat="1" x14ac:dyDescent="0.3">
      <c r="A107" s="20">
        <v>229</v>
      </c>
      <c r="B107" s="7"/>
      <c r="C107" s="8"/>
      <c r="D107" s="21"/>
      <c r="E107" s="24" t="s">
        <v>110</v>
      </c>
      <c r="F107" s="33">
        <f>KANWIL!F107+SURABAYA!F107+KEDIRI!F107+MALANG!F107+MADIUN!F107+BANYUWANGI!F107</f>
        <v>0</v>
      </c>
      <c r="G107" s="33">
        <f>KANWIL!G107+SURABAYA!G107+KEDIRI!G107+MALANG!G107+MADIUN!G107+BANYUWANGI!G107</f>
        <v>0</v>
      </c>
      <c r="H107" s="33">
        <f>KANWIL!H107+SURABAYA!H107+KEDIRI!H107+MALANG!H107+MADIUN!H107+BANYUWANGI!H107</f>
        <v>0</v>
      </c>
      <c r="I107" s="33">
        <f>KANWIL!I107+SURABAYA!I107+KEDIRI!I107+MALANG!I107+MADIUN!I107+BANYUWANGI!I107</f>
        <v>0</v>
      </c>
      <c r="J107" s="33">
        <f>KANWIL!J107+SURABAYA!J107+KEDIRI!J107+MALANG!J107+MADIUN!J107+BANYUWANGI!J107</f>
        <v>0</v>
      </c>
      <c r="K107" s="33">
        <f t="shared" si="24"/>
        <v>0</v>
      </c>
      <c r="L107" s="33">
        <f>KANWIL!L107+SURABAYA!L107+KEDIRI!L107+MALANG!L107+MADIUN!L107+BANYUWANGI!L107</f>
        <v>0</v>
      </c>
      <c r="M107" s="33">
        <f>KANWIL!M107+SURABAYA!M107+KEDIRI!M107+MALANG!M107+MADIUN!M107+BANYUWANGI!M107</f>
        <v>0</v>
      </c>
      <c r="N107" s="33">
        <f>KANWIL!N107+SURABAYA!N107+KEDIRI!N107+MALANG!N107+MADIUN!N107+BANYUWANGI!N107</f>
        <v>0</v>
      </c>
      <c r="O107" s="19">
        <f t="shared" si="25"/>
        <v>0</v>
      </c>
      <c r="P107" s="37">
        <v>0</v>
      </c>
    </row>
    <row r="108" spans="1:16" s="20" customFormat="1" x14ac:dyDescent="0.3">
      <c r="A108" s="20">
        <v>230</v>
      </c>
      <c r="B108" s="7"/>
      <c r="C108" s="8"/>
      <c r="D108" s="21"/>
      <c r="E108" s="24" t="s">
        <v>111</v>
      </c>
      <c r="F108" s="33">
        <f>KANWIL!F108+SURABAYA!F108+KEDIRI!F108+MALANG!F108+MADIUN!F108+BANYUWANGI!F108</f>
        <v>0</v>
      </c>
      <c r="G108" s="33">
        <f>KANWIL!G108+SURABAYA!G108+KEDIRI!G108+MALANG!G108+MADIUN!G108+BANYUWANGI!G108</f>
        <v>0</v>
      </c>
      <c r="H108" s="33">
        <f>KANWIL!H108+SURABAYA!H108+KEDIRI!H108+MALANG!H108+MADIUN!H108+BANYUWANGI!H108</f>
        <v>0</v>
      </c>
      <c r="I108" s="33">
        <f>KANWIL!I108+SURABAYA!I108+KEDIRI!I108+MALANG!I108+MADIUN!I108+BANYUWANGI!I108</f>
        <v>0</v>
      </c>
      <c r="J108" s="33">
        <f>KANWIL!J108+SURABAYA!J108+KEDIRI!J108+MALANG!J108+MADIUN!J108+BANYUWANGI!J108</f>
        <v>0</v>
      </c>
      <c r="K108" s="33">
        <f t="shared" si="24"/>
        <v>0</v>
      </c>
      <c r="L108" s="33">
        <f>KANWIL!L108+SURABAYA!L108+KEDIRI!L108+MALANG!L108+MADIUN!L108+BANYUWANGI!L108</f>
        <v>0</v>
      </c>
      <c r="M108" s="33">
        <f>KANWIL!M108+SURABAYA!M108+KEDIRI!M108+MALANG!M108+MADIUN!M108+BANYUWANGI!M108</f>
        <v>0</v>
      </c>
      <c r="N108" s="33">
        <f>KANWIL!N108+SURABAYA!N108+KEDIRI!N108+MALANG!N108+MADIUN!N108+BANYUWANGI!N108</f>
        <v>0</v>
      </c>
      <c r="O108" s="19">
        <f t="shared" si="25"/>
        <v>0</v>
      </c>
      <c r="P108" s="37">
        <v>0</v>
      </c>
    </row>
    <row r="109" spans="1:16" s="20" customFormat="1" x14ac:dyDescent="0.3">
      <c r="A109" s="20">
        <v>231</v>
      </c>
      <c r="B109" s="7"/>
      <c r="C109" s="8"/>
      <c r="D109" s="21"/>
      <c r="E109" s="24" t="s">
        <v>112</v>
      </c>
      <c r="F109" s="33">
        <f>KANWIL!F109+SURABAYA!F109+KEDIRI!F109+MALANG!F109+MADIUN!F109+BANYUWANGI!F109</f>
        <v>248809577</v>
      </c>
      <c r="G109" s="33">
        <f>KANWIL!G109+SURABAYA!G109+KEDIRI!G109+MALANG!G109+MADIUN!G109+BANYUWANGI!G109</f>
        <v>0</v>
      </c>
      <c r="H109" s="33">
        <f>KANWIL!H109+SURABAYA!H109+KEDIRI!H109+MALANG!H109+MADIUN!H109+BANYUWANGI!H109</f>
        <v>5101960</v>
      </c>
      <c r="I109" s="33">
        <f>KANWIL!I109+SURABAYA!I109+KEDIRI!I109+MALANG!I109+MADIUN!I109+BANYUWANGI!I109</f>
        <v>6566359</v>
      </c>
      <c r="J109" s="33">
        <f>KANWIL!J109+SURABAYA!J109+KEDIRI!J109+MALANG!J109+MADIUN!J109+BANYUWANGI!J109</f>
        <v>28892034</v>
      </c>
      <c r="K109" s="33">
        <f t="shared" si="24"/>
        <v>289369930</v>
      </c>
      <c r="L109" s="33">
        <f>KANWIL!L109+SURABAYA!L109+KEDIRI!L109+MALANG!L109+MADIUN!L109+BANYUWANGI!L109</f>
        <v>104879907.17</v>
      </c>
      <c r="M109" s="33">
        <f>KANWIL!M109+SURABAYA!M109+KEDIRI!M109+MALANG!M109+MADIUN!M109+BANYUWANGI!M109</f>
        <v>0</v>
      </c>
      <c r="N109" s="33">
        <f>KANWIL!N109+SURABAYA!N109+KEDIRI!N109+MALANG!N109+MADIUN!N109+BANYUWANGI!N109</f>
        <v>40817669.839999989</v>
      </c>
      <c r="O109" s="19">
        <f t="shared" si="25"/>
        <v>145697577.00999999</v>
      </c>
      <c r="P109" s="37">
        <f t="shared" ref="P109:P117" si="26">O109/K109</f>
        <v>0.50349936847273657</v>
      </c>
    </row>
    <row r="110" spans="1:16" s="20" customFormat="1" x14ac:dyDescent="0.3">
      <c r="A110" s="20">
        <v>255</v>
      </c>
      <c r="B110" s="7"/>
      <c r="C110" s="8"/>
      <c r="D110" s="21"/>
      <c r="E110" s="24" t="s">
        <v>113</v>
      </c>
      <c r="F110" s="33">
        <f>KANWIL!F110+SURABAYA!F110+KEDIRI!F110+MALANG!F110+MADIUN!F110+BANYUWANGI!F110</f>
        <v>4750447629</v>
      </c>
      <c r="G110" s="33">
        <f>KANWIL!G110+SURABAYA!G110+KEDIRI!G110+MALANG!G110+MADIUN!G110+BANYUWANGI!G110</f>
        <v>0</v>
      </c>
      <c r="H110" s="33">
        <f>KANWIL!H110+SURABAYA!H110+KEDIRI!H110+MALANG!H110+MADIUN!H110+BANYUWANGI!H110</f>
        <v>97410224</v>
      </c>
      <c r="I110" s="33">
        <f>KANWIL!I110+SURABAYA!I110+KEDIRI!I110+MALANG!I110+MADIUN!I110+BANYUWANGI!I110</f>
        <v>125369521</v>
      </c>
      <c r="J110" s="33">
        <f>KANWIL!J110+SURABAYA!J110+KEDIRI!J110+MALANG!J110+MADIUN!J110+BANYUWANGI!J110</f>
        <v>551627064</v>
      </c>
      <c r="K110" s="33">
        <f t="shared" si="24"/>
        <v>5524854438</v>
      </c>
      <c r="L110" s="33">
        <f>KANWIL!L110+SURABAYA!L110+KEDIRI!L110+MALANG!L110+MADIUN!L110+BANYUWANGI!L110</f>
        <v>2597710719.8300004</v>
      </c>
      <c r="M110" s="33">
        <f>KANWIL!M110+SURABAYA!M110+KEDIRI!M110+MALANG!M110+MADIUN!M110+BANYUWANGI!M110</f>
        <v>0</v>
      </c>
      <c r="N110" s="33">
        <f>KANWIL!N110+SURABAYA!N110+KEDIRI!N110+MALANG!N110+MADIUN!N110+BANYUWANGI!N110</f>
        <v>1402382705.51</v>
      </c>
      <c r="O110" s="19">
        <f t="shared" si="25"/>
        <v>4000093425.3400002</v>
      </c>
      <c r="P110" s="37">
        <f t="shared" si="26"/>
        <v>0.7240178850373542</v>
      </c>
    </row>
    <row r="111" spans="1:16" s="20" customFormat="1" x14ac:dyDescent="0.3">
      <c r="A111" s="20">
        <v>200</v>
      </c>
      <c r="B111" s="7"/>
      <c r="C111" s="8"/>
      <c r="D111" s="21"/>
      <c r="E111" s="24" t="s">
        <v>114</v>
      </c>
      <c r="F111" s="33">
        <f>KANWIL!F111+SURABAYA!F111+KEDIRI!F111+MALANG!F111+MADIUN!F111+BANYUWANGI!F111</f>
        <v>61019039</v>
      </c>
      <c r="G111" s="33">
        <f>KANWIL!G111+SURABAYA!G111+KEDIRI!G111+MALANG!G111+MADIUN!G111+BANYUWANGI!G111</f>
        <v>0</v>
      </c>
      <c r="H111" s="33">
        <f>KANWIL!H111+SURABAYA!H111+KEDIRI!H111+MALANG!H111+MADIUN!H111+BANYUWANGI!H111</f>
        <v>1251226</v>
      </c>
      <c r="I111" s="33">
        <f>KANWIL!I111+SURABAYA!I111+KEDIRI!I111+MALANG!I111+MADIUN!I111+BANYUWANGI!I111</f>
        <v>1610360</v>
      </c>
      <c r="J111" s="33">
        <f>KANWIL!J111+SURABAYA!J111+KEDIRI!J111+MALANG!J111+MADIUN!J111+BANYUWANGI!J111</f>
        <v>7085596</v>
      </c>
      <c r="K111" s="33">
        <f t="shared" si="24"/>
        <v>70966221</v>
      </c>
      <c r="L111" s="33">
        <f>KANWIL!L111+SURABAYA!L111+KEDIRI!L111+MALANG!L111+MADIUN!L111+BANYUWANGI!L111</f>
        <v>55852892.060000002</v>
      </c>
      <c r="M111" s="33">
        <f>KANWIL!M111+SURABAYA!M111+KEDIRI!M111+MALANG!M111+MADIUN!M111+BANYUWANGI!M111</f>
        <v>0</v>
      </c>
      <c r="N111" s="33">
        <f>KANWIL!N111+SURABAYA!N111+KEDIRI!N111+MALANG!N111+MADIUN!N111+BANYUWANGI!N111</f>
        <v>24513855.239999998</v>
      </c>
      <c r="O111" s="19">
        <f t="shared" si="25"/>
        <v>80366747.299999997</v>
      </c>
      <c r="P111" s="37">
        <f t="shared" si="26"/>
        <v>1.1324648004013065</v>
      </c>
    </row>
    <row r="112" spans="1:16" s="20" customFormat="1" x14ac:dyDescent="0.3">
      <c r="A112" s="20">
        <v>201</v>
      </c>
      <c r="B112" s="7"/>
      <c r="C112" s="8"/>
      <c r="D112" s="21"/>
      <c r="E112" s="24" t="s">
        <v>115</v>
      </c>
      <c r="F112" s="33">
        <f>KANWIL!F112+SURABAYA!F112+KEDIRI!F112+MALANG!F112+MADIUN!F112+BANYUWANGI!F112</f>
        <v>16432515</v>
      </c>
      <c r="G112" s="33">
        <f>KANWIL!G112+SURABAYA!G112+KEDIRI!G112+MALANG!G112+MADIUN!G112+BANYUWANGI!G112</f>
        <v>0</v>
      </c>
      <c r="H112" s="33">
        <f>KANWIL!H112+SURABAYA!H112+KEDIRI!H112+MALANG!H112+MADIUN!H112+BANYUWANGI!H112</f>
        <v>336957</v>
      </c>
      <c r="I112" s="33">
        <f>KANWIL!I112+SURABAYA!I112+KEDIRI!I112+MALANG!I112+MADIUN!I112+BANYUWANGI!I112</f>
        <v>433672</v>
      </c>
      <c r="J112" s="33">
        <f>KANWIL!J112+SURABAYA!J112+KEDIRI!J112+MALANG!J112+MADIUN!J112+BANYUWANGI!J112</f>
        <v>1908162</v>
      </c>
      <c r="K112" s="33">
        <f t="shared" si="24"/>
        <v>19111306</v>
      </c>
      <c r="L112" s="33">
        <f>KANWIL!L112+SURABAYA!L112+KEDIRI!L112+MALANG!L112+MADIUN!L112+BANYUWANGI!L112</f>
        <v>0</v>
      </c>
      <c r="M112" s="33">
        <f>KANWIL!M112+SURABAYA!M112+KEDIRI!M112+MALANG!M112+MADIUN!M112+BANYUWANGI!M112</f>
        <v>0</v>
      </c>
      <c r="N112" s="33">
        <f>KANWIL!N112+SURABAYA!N112+KEDIRI!N112+MALANG!N112+MADIUN!N112+BANYUWANGI!N112</f>
        <v>0</v>
      </c>
      <c r="O112" s="19">
        <f t="shared" si="25"/>
        <v>0</v>
      </c>
      <c r="P112" s="37">
        <f t="shared" si="26"/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3">
        <f>KANWIL!F113+SURABAYA!F113+KEDIRI!F113+MALANG!F113+MADIUN!F113+BANYUWANGI!F113</f>
        <v>53763616</v>
      </c>
      <c r="G113" s="33">
        <f>KANWIL!G113+SURABAYA!G113+KEDIRI!G113+MALANG!G113+MADIUN!G113+BANYUWANGI!G113</f>
        <v>0</v>
      </c>
      <c r="H113" s="33">
        <f>KANWIL!H113+SURABAYA!H113+KEDIRI!H113+MALANG!H113+MADIUN!H113+BANYUWANGI!H113</f>
        <v>1102450</v>
      </c>
      <c r="I113" s="33">
        <f>KANWIL!I113+SURABAYA!I113+KEDIRI!I113+MALANG!I113+MADIUN!I113+BANYUWANGI!I113</f>
        <v>1418879</v>
      </c>
      <c r="J113" s="33">
        <f>KANWIL!J113+SURABAYA!J113+KEDIRI!J113+MALANG!J113+MADIUN!J113+BANYUWANGI!J113</f>
        <v>6243089</v>
      </c>
      <c r="K113" s="33">
        <f t="shared" si="24"/>
        <v>62528034</v>
      </c>
      <c r="L113" s="33">
        <f>KANWIL!L113+SURABAYA!L113+KEDIRI!L113+MALANG!L113+MADIUN!L113+BANYUWANGI!L113</f>
        <v>0</v>
      </c>
      <c r="M113" s="33">
        <f>KANWIL!M113+SURABAYA!M113+KEDIRI!M113+MALANG!M113+MADIUN!M113+BANYUWANGI!M113</f>
        <v>0</v>
      </c>
      <c r="N113" s="33">
        <f>KANWIL!N113+SURABAYA!N113+KEDIRI!N113+MALANG!N113+MADIUN!N113+BANYUWANGI!N113</f>
        <v>0</v>
      </c>
      <c r="O113" s="19">
        <f t="shared" si="25"/>
        <v>0</v>
      </c>
      <c r="P113" s="37">
        <f t="shared" si="26"/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3">
        <f>KANWIL!F114+SURABAYA!F114+KEDIRI!F114+MALANG!F114+MADIUN!F114+BANYUWANGI!F114</f>
        <v>8137592</v>
      </c>
      <c r="G114" s="33">
        <f>KANWIL!G114+SURABAYA!G114+KEDIRI!G114+MALANG!G114+MADIUN!G114+BANYUWANGI!G114</f>
        <v>0</v>
      </c>
      <c r="H114" s="33">
        <f>KANWIL!H114+SURABAYA!H114+KEDIRI!H114+MALANG!H114+MADIUN!H114+BANYUWANGI!H114</f>
        <v>166866</v>
      </c>
      <c r="I114" s="33">
        <f>KANWIL!I114+SURABAYA!I114+KEDIRI!I114+MALANG!I114+MADIUN!I114+BANYUWANGI!I114</f>
        <v>214758</v>
      </c>
      <c r="J114" s="33">
        <f>KANWIL!J114+SURABAYA!J114+KEDIRI!J114+MALANG!J114+MADIUN!J114+BANYUWANGI!J114</f>
        <v>944946</v>
      </c>
      <c r="K114" s="33">
        <f t="shared" si="24"/>
        <v>9464162</v>
      </c>
      <c r="L114" s="33">
        <f>KANWIL!L114+SURABAYA!L114+KEDIRI!L114+MALANG!L114+MADIUN!L114+BANYUWANGI!L114</f>
        <v>0</v>
      </c>
      <c r="M114" s="33">
        <f>KANWIL!M114+SURABAYA!M114+KEDIRI!M114+MALANG!M114+MADIUN!M114+BANYUWANGI!M114</f>
        <v>0</v>
      </c>
      <c r="N114" s="33">
        <f>KANWIL!N114+SURABAYA!N114+KEDIRI!N114+MALANG!N114+MADIUN!N114+BANYUWANGI!N114</f>
        <v>0</v>
      </c>
      <c r="O114" s="19">
        <f t="shared" si="25"/>
        <v>0</v>
      </c>
      <c r="P114" s="37">
        <f t="shared" si="26"/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3">
        <f>KANWIL!F115+SURABAYA!F115+KEDIRI!F115+MALANG!F115+MADIUN!F115+BANYUWANGI!F115</f>
        <v>4195626</v>
      </c>
      <c r="G115" s="33">
        <f>KANWIL!G115+SURABAYA!G115+KEDIRI!G115+MALANG!G115+MADIUN!G115+BANYUWANGI!G115</f>
        <v>0</v>
      </c>
      <c r="H115" s="33">
        <f>KANWIL!H115+SURABAYA!H115+KEDIRI!H115+MALANG!H115+MADIUN!H115+BANYUWANGI!H115</f>
        <v>86034</v>
      </c>
      <c r="I115" s="33">
        <f>KANWIL!I115+SURABAYA!I115+KEDIRI!I115+MALANG!I115+MADIUN!I115+BANYUWANGI!I115</f>
        <v>110730</v>
      </c>
      <c r="J115" s="33">
        <f>KANWIL!J115+SURABAYA!J115+KEDIRI!J115+MALANG!J115+MADIUN!J115+BANYUWANGI!J115</f>
        <v>487200</v>
      </c>
      <c r="K115" s="33">
        <f t="shared" si="24"/>
        <v>4879590</v>
      </c>
      <c r="L115" s="33">
        <f>KANWIL!L115+SURABAYA!L115+KEDIRI!L115+MALANG!L115+MADIUN!L115+BANYUWANGI!L115</f>
        <v>0</v>
      </c>
      <c r="M115" s="33">
        <f>KANWIL!M115+SURABAYA!M115+KEDIRI!M115+MALANG!M115+MADIUN!M115+BANYUWANGI!M115</f>
        <v>0</v>
      </c>
      <c r="N115" s="33">
        <f>KANWIL!N115+SURABAYA!N115+KEDIRI!N115+MALANG!N115+MADIUN!N115+BANYUWANGI!N115</f>
        <v>0</v>
      </c>
      <c r="O115" s="19">
        <f t="shared" si="25"/>
        <v>0</v>
      </c>
      <c r="P115" s="37">
        <f t="shared" si="26"/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3">
        <f>KANWIL!F116+SURABAYA!F116+KEDIRI!F116+MALANG!F116+MADIUN!F116+BANYUWANGI!F116</f>
        <v>3607054</v>
      </c>
      <c r="G116" s="33">
        <f>KANWIL!G116+SURABAYA!G116+KEDIRI!G116+MALANG!G116+MADIUN!G116+BANYUWANGI!G116</f>
        <v>0</v>
      </c>
      <c r="H116" s="33">
        <f>KANWIL!H116+SURABAYA!H116+KEDIRI!H116+MALANG!H116+MADIUN!H116+BANYUWANGI!H116</f>
        <v>73965</v>
      </c>
      <c r="I116" s="33">
        <f>KANWIL!I116+SURABAYA!I116+KEDIRI!I116+MALANG!I116+MADIUN!I116+BANYUWANGI!I116</f>
        <v>95195</v>
      </c>
      <c r="J116" s="33">
        <f>KANWIL!J116+SURABAYA!J116+KEDIRI!J116+MALANG!J116+MADIUN!J116+BANYUWANGI!J116</f>
        <v>418855</v>
      </c>
      <c r="K116" s="33">
        <f t="shared" si="24"/>
        <v>4195069</v>
      </c>
      <c r="L116" s="33">
        <f>KANWIL!L116+SURABAYA!L116+KEDIRI!L116+MALANG!L116+MADIUN!L116+BANYUWANGI!L116</f>
        <v>0</v>
      </c>
      <c r="M116" s="33">
        <f>KANWIL!M116+SURABAYA!M116+KEDIRI!M116+MALANG!M116+MADIUN!M116+BANYUWANGI!M116</f>
        <v>0</v>
      </c>
      <c r="N116" s="33">
        <f>KANWIL!N116+SURABAYA!N116+KEDIRI!N116+MALANG!N116+MADIUN!N116+BANYUWANGI!N116</f>
        <v>0</v>
      </c>
      <c r="O116" s="19">
        <f t="shared" si="25"/>
        <v>0</v>
      </c>
      <c r="P116" s="37">
        <f t="shared" si="26"/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3">
        <f>KANWIL!F117+SURABAYA!F117+KEDIRI!F117+MALANG!F117+MADIUN!F117+BANYUWANGI!F117</f>
        <v>39432627</v>
      </c>
      <c r="G117" s="33">
        <f>KANWIL!G117+SURABAYA!G117+KEDIRI!G117+MALANG!G117+MADIUN!G117+BANYUWANGI!G117</f>
        <v>0</v>
      </c>
      <c r="H117" s="33">
        <f>KANWIL!H117+SURABAYA!H117+KEDIRI!H117+MALANG!H117+MADIUN!H117+BANYUWANGI!H117</f>
        <v>808587</v>
      </c>
      <c r="I117" s="33">
        <f>KANWIL!I117+SURABAYA!I117+KEDIRI!I117+MALANG!I117+MADIUN!I117+BANYUWANGI!I117</f>
        <v>1040671</v>
      </c>
      <c r="J117" s="33">
        <f>KANWIL!J117+SURABAYA!J117+KEDIRI!J117+MALANG!J117+MADIUN!J117+BANYUWANGI!J117</f>
        <v>4578960</v>
      </c>
      <c r="K117" s="33">
        <f t="shared" si="24"/>
        <v>45860845</v>
      </c>
      <c r="L117" s="33">
        <f>KANWIL!L117+SURABAYA!L117+KEDIRI!L117+MALANG!L117+MADIUN!L117+BANYUWANGI!L117</f>
        <v>29623278.18</v>
      </c>
      <c r="M117" s="33">
        <f>KANWIL!M117+SURABAYA!M117+KEDIRI!M117+MALANG!M117+MADIUN!M117+BANYUWANGI!M117</f>
        <v>0</v>
      </c>
      <c r="N117" s="33">
        <f>KANWIL!N117+SURABAYA!N117+KEDIRI!N117+MALANG!N117+MADIUN!N117+BANYUWANGI!N117</f>
        <v>15187552.829999998</v>
      </c>
      <c r="O117" s="19">
        <f t="shared" si="25"/>
        <v>44810831.009999998</v>
      </c>
      <c r="P117" s="37">
        <f t="shared" si="26"/>
        <v>0.97710434707428517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3">
        <f>KANWIL!F118+SURABAYA!F118+KEDIRI!F118+MALANG!F118+MADIUN!F118+BANYUWANGI!F118</f>
        <v>0</v>
      </c>
      <c r="G118" s="33">
        <f>KANWIL!G118+SURABAYA!G118+KEDIRI!G118+MALANG!G118+MADIUN!G118+BANYUWANGI!G118</f>
        <v>0</v>
      </c>
      <c r="H118" s="33">
        <f>KANWIL!H118+SURABAYA!H118+KEDIRI!H118+MALANG!H118+MADIUN!H118+BANYUWANGI!H118</f>
        <v>0</v>
      </c>
      <c r="I118" s="33">
        <f>KANWIL!I118+SURABAYA!I118+KEDIRI!I118+MALANG!I118+MADIUN!I118+BANYUWANGI!I118</f>
        <v>0</v>
      </c>
      <c r="J118" s="33">
        <f>KANWIL!J118+SURABAYA!J118+KEDIRI!J118+MALANG!J118+MADIUN!J118+BANYUWANGI!J118</f>
        <v>0</v>
      </c>
      <c r="K118" s="33">
        <f t="shared" si="24"/>
        <v>0</v>
      </c>
      <c r="L118" s="33">
        <f>KANWIL!L118+SURABAYA!L118+KEDIRI!L118+MALANG!L118+MADIUN!L118+BANYUWANGI!L118</f>
        <v>0</v>
      </c>
      <c r="M118" s="33">
        <f>KANWIL!M118+SURABAYA!M118+KEDIRI!M118+MALANG!M118+MADIUN!M118+BANYUWANGI!M118</f>
        <v>0</v>
      </c>
      <c r="N118" s="33">
        <f>KANWIL!N118+SURABAYA!N118+KEDIRI!N118+MALANG!N118+MADIUN!N118+BANYUWANGI!N118</f>
        <v>0</v>
      </c>
      <c r="O118" s="19">
        <f t="shared" si="25"/>
        <v>0</v>
      </c>
      <c r="P118" s="37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3">
        <f>KANWIL!F119+SURABAYA!F119+KEDIRI!F119+MALANG!F119+MADIUN!F119+BANYUWANGI!F119</f>
        <v>0</v>
      </c>
      <c r="G119" s="33">
        <f>KANWIL!G119+SURABAYA!G119+KEDIRI!G119+MALANG!G119+MADIUN!G119+BANYUWANGI!G119</f>
        <v>0</v>
      </c>
      <c r="H119" s="33">
        <f>KANWIL!H119+SURABAYA!H119+KEDIRI!H119+MALANG!H119+MADIUN!H119+BANYUWANGI!H119</f>
        <v>0</v>
      </c>
      <c r="I119" s="33">
        <f>KANWIL!I119+SURABAYA!I119+KEDIRI!I119+MALANG!I119+MADIUN!I119+BANYUWANGI!I119</f>
        <v>0</v>
      </c>
      <c r="J119" s="33">
        <f>KANWIL!J119+SURABAYA!J119+KEDIRI!J119+MALANG!J119+MADIUN!J119+BANYUWANGI!J119</f>
        <v>0</v>
      </c>
      <c r="K119" s="33">
        <f t="shared" ref="K119:K141" si="27">SUM(F119:J119)</f>
        <v>0</v>
      </c>
      <c r="L119" s="33">
        <f>KANWIL!L119+SURABAYA!L119+KEDIRI!L119+MALANG!L119+MADIUN!L119+BANYUWANGI!L119</f>
        <v>0</v>
      </c>
      <c r="M119" s="33">
        <f>KANWIL!M119+SURABAYA!M119+KEDIRI!M119+MALANG!M119+MADIUN!M119+BANYUWANGI!M119</f>
        <v>0</v>
      </c>
      <c r="N119" s="33">
        <f>KANWIL!N119+SURABAYA!N119+KEDIRI!N119+MALANG!N119+MADIUN!N119+BANYUWANGI!N119</f>
        <v>0</v>
      </c>
      <c r="O119" s="19">
        <f t="shared" ref="O119:O141" si="28">SUM(L119:N119)</f>
        <v>0</v>
      </c>
      <c r="P119" s="37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3">
        <f>KANWIL!F120+SURABAYA!F120+KEDIRI!F120+MALANG!F120+MADIUN!F120+BANYUWANGI!F120</f>
        <v>0</v>
      </c>
      <c r="G120" s="33">
        <f>KANWIL!G120+SURABAYA!G120+KEDIRI!G120+MALANG!G120+MADIUN!G120+BANYUWANGI!G120</f>
        <v>0</v>
      </c>
      <c r="H120" s="33">
        <f>KANWIL!H120+SURABAYA!H120+KEDIRI!H120+MALANG!H120+MADIUN!H120+BANYUWANGI!H120</f>
        <v>0</v>
      </c>
      <c r="I120" s="33">
        <f>KANWIL!I120+SURABAYA!I120+KEDIRI!I120+MALANG!I120+MADIUN!I120+BANYUWANGI!I120</f>
        <v>0</v>
      </c>
      <c r="J120" s="33">
        <f>KANWIL!J120+SURABAYA!J120+KEDIRI!J120+MALANG!J120+MADIUN!J120+BANYUWANGI!J120</f>
        <v>0</v>
      </c>
      <c r="K120" s="33">
        <f t="shared" si="27"/>
        <v>0</v>
      </c>
      <c r="L120" s="33">
        <f>KANWIL!L120+SURABAYA!L120+KEDIRI!L120+MALANG!L120+MADIUN!L120+BANYUWANGI!L120</f>
        <v>0</v>
      </c>
      <c r="M120" s="33">
        <f>KANWIL!M120+SURABAYA!M120+KEDIRI!M120+MALANG!M120+MADIUN!M120+BANYUWANGI!M120</f>
        <v>0</v>
      </c>
      <c r="N120" s="33">
        <f>KANWIL!N120+SURABAYA!N120+KEDIRI!N120+MALANG!N120+MADIUN!N120+BANYUWANGI!N120</f>
        <v>0</v>
      </c>
      <c r="O120" s="19">
        <f t="shared" si="28"/>
        <v>0</v>
      </c>
      <c r="P120" s="37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3">
        <f>KANWIL!F121+SURABAYA!F121+KEDIRI!F121+MALANG!F121+MADIUN!F121+BANYUWANGI!F121</f>
        <v>0</v>
      </c>
      <c r="G121" s="33">
        <f>KANWIL!G121+SURABAYA!G121+KEDIRI!G121+MALANG!G121+MADIUN!G121+BANYUWANGI!G121</f>
        <v>0</v>
      </c>
      <c r="H121" s="33">
        <f>KANWIL!H121+SURABAYA!H121+KEDIRI!H121+MALANG!H121+MADIUN!H121+BANYUWANGI!H121</f>
        <v>0</v>
      </c>
      <c r="I121" s="33">
        <f>KANWIL!I121+SURABAYA!I121+KEDIRI!I121+MALANG!I121+MADIUN!I121+BANYUWANGI!I121</f>
        <v>0</v>
      </c>
      <c r="J121" s="33">
        <f>KANWIL!J121+SURABAYA!J121+KEDIRI!J121+MALANG!J121+MADIUN!J121+BANYUWANGI!J121</f>
        <v>0</v>
      </c>
      <c r="K121" s="33">
        <f t="shared" si="27"/>
        <v>0</v>
      </c>
      <c r="L121" s="33">
        <f>KANWIL!L121+SURABAYA!L121+KEDIRI!L121+MALANG!L121+MADIUN!L121+BANYUWANGI!L121</f>
        <v>0</v>
      </c>
      <c r="M121" s="33">
        <f>KANWIL!M121+SURABAYA!M121+KEDIRI!M121+MALANG!M121+MADIUN!M121+BANYUWANGI!M121</f>
        <v>0</v>
      </c>
      <c r="N121" s="33">
        <f>KANWIL!N121+SURABAYA!N121+KEDIRI!N121+MALANG!N121+MADIUN!N121+BANYUWANGI!N121</f>
        <v>0</v>
      </c>
      <c r="O121" s="19">
        <f t="shared" si="28"/>
        <v>0</v>
      </c>
      <c r="P121" s="37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3">
        <f>KANWIL!F122+SURABAYA!F122+KEDIRI!F122+MALANG!F122+MADIUN!F122+BANYUWANGI!F122</f>
        <v>187778306</v>
      </c>
      <c r="G122" s="33">
        <f>KANWIL!G122+SURABAYA!G122+KEDIRI!G122+MALANG!G122+MADIUN!G122+BANYUWANGI!G122</f>
        <v>0</v>
      </c>
      <c r="H122" s="33">
        <f>KANWIL!H122+SURABAYA!H122+KEDIRI!H122+MALANG!H122+MADIUN!H122+BANYUWANGI!H122</f>
        <v>3850486</v>
      </c>
      <c r="I122" s="33">
        <f>KANWIL!I122+SURABAYA!I122+KEDIRI!I122+MALANG!I122+MADIUN!I122+BANYUWANGI!I122</f>
        <v>4955675</v>
      </c>
      <c r="J122" s="33">
        <f>KANWIL!J122+SURABAYA!J122+KEDIRI!J122+MALANG!J122+MADIUN!J122+BANYUWANGI!J122</f>
        <v>21805019</v>
      </c>
      <c r="K122" s="33">
        <f t="shared" si="27"/>
        <v>218389486</v>
      </c>
      <c r="L122" s="33">
        <f>KANWIL!L122+SURABAYA!L122+KEDIRI!L122+MALANG!L122+MADIUN!L122+BANYUWANGI!L122</f>
        <v>38453292.659999996</v>
      </c>
      <c r="M122" s="33">
        <f>KANWIL!M122+SURABAYA!M122+KEDIRI!M122+MALANG!M122+MADIUN!M122+BANYUWANGI!M122</f>
        <v>0</v>
      </c>
      <c r="N122" s="33">
        <f>KANWIL!N122+SURABAYA!N122+KEDIRI!N122+MALANG!N122+MADIUN!N122+BANYUWANGI!N122</f>
        <v>17740114.339999996</v>
      </c>
      <c r="O122" s="19">
        <f t="shared" si="28"/>
        <v>56193406.999999993</v>
      </c>
      <c r="P122" s="37">
        <f>O122/K122</f>
        <v>0.25730820667804488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3">
        <f>KANWIL!F123+SURABAYA!F123+KEDIRI!F123+MALANG!F123+MADIUN!F123+BANYUWANGI!F123</f>
        <v>0</v>
      </c>
      <c r="G123" s="33">
        <f>KANWIL!G123+SURABAYA!G123+KEDIRI!G123+MALANG!G123+MADIUN!G123+BANYUWANGI!G123</f>
        <v>0</v>
      </c>
      <c r="H123" s="33">
        <f>KANWIL!H123+SURABAYA!H123+KEDIRI!H123+MALANG!H123+MADIUN!H123+BANYUWANGI!H123</f>
        <v>0</v>
      </c>
      <c r="I123" s="33">
        <f>KANWIL!I123+SURABAYA!I123+KEDIRI!I123+MALANG!I123+MADIUN!I123+BANYUWANGI!I123</f>
        <v>0</v>
      </c>
      <c r="J123" s="33">
        <f>KANWIL!J123+SURABAYA!J123+KEDIRI!J123+MALANG!J123+MADIUN!J123+BANYUWANGI!J123</f>
        <v>0</v>
      </c>
      <c r="K123" s="33">
        <f t="shared" si="27"/>
        <v>0</v>
      </c>
      <c r="L123" s="33">
        <f>KANWIL!L123+SURABAYA!L123+KEDIRI!L123+MALANG!L123+MADIUN!L123+BANYUWANGI!L123</f>
        <v>0</v>
      </c>
      <c r="M123" s="33">
        <f>KANWIL!M123+SURABAYA!M123+KEDIRI!M123+MALANG!M123+MADIUN!M123+BANYUWANGI!M123</f>
        <v>0</v>
      </c>
      <c r="N123" s="33">
        <f>KANWIL!N123+SURABAYA!N123+KEDIRI!N123+MALANG!N123+MADIUN!N123+BANYUWANGI!N123</f>
        <v>0</v>
      </c>
      <c r="O123" s="19">
        <f t="shared" si="28"/>
        <v>0</v>
      </c>
      <c r="P123" s="37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3">
        <f>KANWIL!F124+SURABAYA!F124+KEDIRI!F124+MALANG!F124+MADIUN!F124+BANYUWANGI!F124</f>
        <v>94855945</v>
      </c>
      <c r="G124" s="33">
        <f>KANWIL!G124+SURABAYA!G124+KEDIRI!G124+MALANG!G124+MADIUN!G124+BANYUWANGI!G124</f>
        <v>0</v>
      </c>
      <c r="H124" s="33">
        <f>KANWIL!H124+SURABAYA!H124+KEDIRI!H124+MALANG!H124+MADIUN!H124+BANYUWANGI!H124</f>
        <v>1945067</v>
      </c>
      <c r="I124" s="33">
        <f>KANWIL!I124+SURABAYA!I124+KEDIRI!I124+MALANG!I124+MADIUN!I124+BANYUWANGI!I124</f>
        <v>2503354</v>
      </c>
      <c r="J124" s="33">
        <f>KANWIL!J124+SURABAYA!J124+KEDIRI!J124+MALANG!J124+MADIUN!J124+BANYUWANGI!J124</f>
        <v>11014775</v>
      </c>
      <c r="K124" s="33">
        <f t="shared" si="27"/>
        <v>110319141</v>
      </c>
      <c r="L124" s="33">
        <f>KANWIL!L124+SURABAYA!L124+KEDIRI!L124+MALANG!L124+MADIUN!L124+BANYUWANGI!L124</f>
        <v>2581884.65</v>
      </c>
      <c r="M124" s="33">
        <f>KANWIL!M124+SURABAYA!M124+KEDIRI!M124+MALANG!M124+MADIUN!M124+BANYUWANGI!M124</f>
        <v>0</v>
      </c>
      <c r="N124" s="33">
        <f>KANWIL!N124+SURABAYA!N124+KEDIRI!N124+MALANG!N124+MADIUN!N124+BANYUWANGI!N124</f>
        <v>1337215.3499999999</v>
      </c>
      <c r="O124" s="19">
        <f t="shared" si="28"/>
        <v>3919100</v>
      </c>
      <c r="P124" s="37">
        <f>O124/K124</f>
        <v>3.5525113452433428E-2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3">
        <f>KANWIL!F125+SURABAYA!F125+KEDIRI!F125+MALANG!F125+MADIUN!F125+BANYUWANGI!F125</f>
        <v>196397805</v>
      </c>
      <c r="G125" s="33">
        <f>KANWIL!G125+SURABAYA!G125+KEDIRI!G125+MALANG!G125+MADIUN!G125+BANYUWANGI!G125</f>
        <v>0</v>
      </c>
      <c r="H125" s="33">
        <f>KANWIL!H125+SURABAYA!H125+KEDIRI!H125+MALANG!H125+MADIUN!H125+BANYUWANGI!H125</f>
        <v>4027233</v>
      </c>
      <c r="I125" s="33">
        <f>KANWIL!I125+SURABAYA!I125+KEDIRI!I125+MALANG!I125+MADIUN!I125+BANYUWANGI!I125</f>
        <v>5183154</v>
      </c>
      <c r="J125" s="33">
        <f>KANWIL!J125+SURABAYA!J125+KEDIRI!J125+MALANG!J125+MADIUN!J125+BANYUWANGI!J125</f>
        <v>22805925</v>
      </c>
      <c r="K125" s="33">
        <f t="shared" si="27"/>
        <v>228414117</v>
      </c>
      <c r="L125" s="33">
        <f>KANWIL!L125+SURABAYA!L125+KEDIRI!L125+MALANG!L125+MADIUN!L125+BANYUWANGI!L125</f>
        <v>55681844.579999998</v>
      </c>
      <c r="M125" s="33">
        <f>KANWIL!M125+SURABAYA!M125+KEDIRI!M125+MALANG!M125+MADIUN!M125+BANYUWANGI!M125</f>
        <v>0</v>
      </c>
      <c r="N125" s="33">
        <f>KANWIL!N125+SURABAYA!N125+KEDIRI!N125+MALANG!N125+MADIUN!N125+BANYUWANGI!N125</f>
        <v>24937764.429999996</v>
      </c>
      <c r="O125" s="19">
        <f t="shared" si="28"/>
        <v>80619609.00999999</v>
      </c>
      <c r="P125" s="37">
        <f>O125/K125</f>
        <v>0.35295370561531442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3">
        <f>KANWIL!F126+SURABAYA!F126+KEDIRI!F126+MALANG!F126+MADIUN!F126+BANYUWANGI!F126</f>
        <v>0</v>
      </c>
      <c r="G126" s="33">
        <f>KANWIL!G126+SURABAYA!G126+KEDIRI!G126+MALANG!G126+MADIUN!G126+BANYUWANGI!G126</f>
        <v>0</v>
      </c>
      <c r="H126" s="33">
        <f>KANWIL!H126+SURABAYA!H126+KEDIRI!H126+MALANG!H126+MADIUN!H126+BANYUWANGI!H126</f>
        <v>0</v>
      </c>
      <c r="I126" s="33">
        <f>KANWIL!I126+SURABAYA!I126+KEDIRI!I126+MALANG!I126+MADIUN!I126+BANYUWANGI!I126</f>
        <v>0</v>
      </c>
      <c r="J126" s="33">
        <f>KANWIL!J126+SURABAYA!J126+KEDIRI!J126+MALANG!J126+MADIUN!J126+BANYUWANGI!J126</f>
        <v>0</v>
      </c>
      <c r="K126" s="33">
        <f t="shared" si="27"/>
        <v>0</v>
      </c>
      <c r="L126" s="33">
        <f>KANWIL!L126+SURABAYA!L126+KEDIRI!L126+MALANG!L126+MADIUN!L126+BANYUWANGI!L126</f>
        <v>0</v>
      </c>
      <c r="M126" s="33">
        <f>KANWIL!M126+SURABAYA!M126+KEDIRI!M126+MALANG!M126+MADIUN!M126+BANYUWANGI!M126</f>
        <v>0</v>
      </c>
      <c r="N126" s="33">
        <f>KANWIL!N126+SURABAYA!N126+KEDIRI!N126+MALANG!N126+MADIUN!N126+BANYUWANGI!N126</f>
        <v>0</v>
      </c>
      <c r="O126" s="19">
        <f t="shared" si="28"/>
        <v>0</v>
      </c>
      <c r="P126" s="37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3">
        <f>KANWIL!F127+SURABAYA!F127+KEDIRI!F127+MALANG!F127+MADIUN!F127+BANYUWANGI!F127</f>
        <v>0</v>
      </c>
      <c r="G127" s="33">
        <f>KANWIL!G127+SURABAYA!G127+KEDIRI!G127+MALANG!G127+MADIUN!G127+BANYUWANGI!G127</f>
        <v>0</v>
      </c>
      <c r="H127" s="33">
        <f>KANWIL!H127+SURABAYA!H127+KEDIRI!H127+MALANG!H127+MADIUN!H127+BANYUWANGI!H127</f>
        <v>0</v>
      </c>
      <c r="I127" s="33">
        <f>KANWIL!I127+SURABAYA!I127+KEDIRI!I127+MALANG!I127+MADIUN!I127+BANYUWANGI!I127</f>
        <v>0</v>
      </c>
      <c r="J127" s="33">
        <f>KANWIL!J127+SURABAYA!J127+KEDIRI!J127+MALANG!J127+MADIUN!J127+BANYUWANGI!J127</f>
        <v>0</v>
      </c>
      <c r="K127" s="33">
        <f t="shared" si="27"/>
        <v>0</v>
      </c>
      <c r="L127" s="33">
        <f>KANWIL!L127+SURABAYA!L127+KEDIRI!L127+MALANG!L127+MADIUN!L127+BANYUWANGI!L127</f>
        <v>0</v>
      </c>
      <c r="M127" s="33">
        <f>KANWIL!M127+SURABAYA!M127+KEDIRI!M127+MALANG!M127+MADIUN!M127+BANYUWANGI!M127</f>
        <v>0</v>
      </c>
      <c r="N127" s="33">
        <f>KANWIL!N127+SURABAYA!N127+KEDIRI!N127+MALANG!N127+MADIUN!N127+BANYUWANGI!N127</f>
        <v>0</v>
      </c>
      <c r="O127" s="19">
        <f t="shared" si="28"/>
        <v>0</v>
      </c>
      <c r="P127" s="37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3">
        <f>KANWIL!F128+SURABAYA!F128+KEDIRI!F128+MALANG!F128+MADIUN!F128+BANYUWANGI!F128</f>
        <v>728974725</v>
      </c>
      <c r="G128" s="33">
        <f>KANWIL!G128+SURABAYA!G128+KEDIRI!G128+MALANG!G128+MADIUN!G128+BANYUWANGI!G128</f>
        <v>0</v>
      </c>
      <c r="H128" s="33">
        <f>KANWIL!H128+SURABAYA!H128+KEDIRI!H128+MALANG!H128+MADIUN!H128+BANYUWANGI!H128</f>
        <v>14947978</v>
      </c>
      <c r="I128" s="33">
        <f>KANWIL!I128+SURABAYA!I128+KEDIRI!I128+MALANG!I128+MADIUN!I128+BANYUWANGI!I128</f>
        <v>19238441</v>
      </c>
      <c r="J128" s="33">
        <f>KANWIL!J128+SURABAYA!J128+KEDIRI!J128+MALANG!J128+MADIUN!J128+BANYUWANGI!J128</f>
        <v>84649325</v>
      </c>
      <c r="K128" s="33">
        <f t="shared" si="27"/>
        <v>847810469</v>
      </c>
      <c r="L128" s="33">
        <f>KANWIL!L128+SURABAYA!L128+KEDIRI!L128+MALANG!L128+MADIUN!L128+BANYUWANGI!L128</f>
        <v>291429409.44</v>
      </c>
      <c r="M128" s="33">
        <f>KANWIL!M128+SURABAYA!M128+KEDIRI!M128+MALANG!M128+MADIUN!M128+BANYUWANGI!M128</f>
        <v>0</v>
      </c>
      <c r="N128" s="33">
        <f>KANWIL!N128+SURABAYA!N128+KEDIRI!N128+MALANG!N128+MADIUN!N128+BANYUWANGI!N128</f>
        <v>125067255.06999998</v>
      </c>
      <c r="O128" s="19">
        <f t="shared" si="28"/>
        <v>416496664.50999999</v>
      </c>
      <c r="P128" s="37">
        <f>O128/K128</f>
        <v>0.49126152570545811</v>
      </c>
    </row>
    <row r="129" spans="1:16" s="20" customFormat="1" x14ac:dyDescent="0.3">
      <c r="A129" s="20">
        <v>252</v>
      </c>
      <c r="B129" s="7"/>
      <c r="C129" s="8"/>
      <c r="D129" s="21"/>
      <c r="E129" s="24" t="s">
        <v>132</v>
      </c>
      <c r="F129" s="33">
        <f>KANWIL!F129+SURABAYA!F129+KEDIRI!F129+MALANG!F129+MADIUN!F129+BANYUWANGI!F129</f>
        <v>236598186</v>
      </c>
      <c r="G129" s="33">
        <f>KANWIL!G129+SURABAYA!G129+KEDIRI!G129+MALANG!G129+MADIUN!G129+BANYUWANGI!G129</f>
        <v>0</v>
      </c>
      <c r="H129" s="33">
        <f>KANWIL!H129+SURABAYA!H129+KEDIRI!H129+MALANG!H129+MADIUN!H129+BANYUWANGI!H129</f>
        <v>4851560</v>
      </c>
      <c r="I129" s="33">
        <f>KANWIL!I129+SURABAYA!I129+KEDIRI!I129+MALANG!I129+MADIUN!I129+BANYUWANGI!I129</f>
        <v>6244086</v>
      </c>
      <c r="J129" s="33">
        <f>KANWIL!J129+SURABAYA!J129+KEDIRI!J129+MALANG!J129+MADIUN!J129+BANYUWANGI!J129</f>
        <v>27474036</v>
      </c>
      <c r="K129" s="33">
        <f t="shared" si="27"/>
        <v>275167868</v>
      </c>
      <c r="L129" s="33">
        <f>KANWIL!L129+SURABAYA!L129+KEDIRI!L129+MALANG!L129+MADIUN!L129+BANYUWANGI!L129</f>
        <v>86895874.24000001</v>
      </c>
      <c r="M129" s="33">
        <f>KANWIL!M129+SURABAYA!M129+KEDIRI!M129+MALANG!M129+MADIUN!M129+BANYUWANGI!M129</f>
        <v>0</v>
      </c>
      <c r="N129" s="33">
        <f>KANWIL!N129+SURABAYA!N129+KEDIRI!N129+MALANG!N129+MADIUN!N129+BANYUWANGI!N129</f>
        <v>41809013.79999999</v>
      </c>
      <c r="O129" s="19">
        <f t="shared" si="28"/>
        <v>128704888.03999999</v>
      </c>
      <c r="P129" s="37">
        <f>O129/K129</f>
        <v>0.46773225731428786</v>
      </c>
    </row>
    <row r="130" spans="1:16" s="20" customFormat="1" x14ac:dyDescent="0.3">
      <c r="A130" s="20">
        <v>253</v>
      </c>
      <c r="B130" s="7"/>
      <c r="C130" s="8"/>
      <c r="D130" s="21"/>
      <c r="E130" s="24" t="s">
        <v>133</v>
      </c>
      <c r="F130" s="33">
        <f>KANWIL!F130+SURABAYA!F130+KEDIRI!F130+MALANG!F130+MADIUN!F130+BANYUWANGI!F130</f>
        <v>45166372</v>
      </c>
      <c r="G130" s="33">
        <f>KANWIL!G130+SURABAYA!G130+KEDIRI!G130+MALANG!G130+MADIUN!G130+BANYUWANGI!G130</f>
        <v>0</v>
      </c>
      <c r="H130" s="33">
        <f>KANWIL!H130+SURABAYA!H130+KEDIRI!H130+MALANG!H130+MADIUN!H130+BANYUWANGI!H130</f>
        <v>926158</v>
      </c>
      <c r="I130" s="33">
        <f>KANWIL!I130+SURABAYA!I130+KEDIRI!I130+MALANG!I130+MADIUN!I130+BANYUWANGI!I130</f>
        <v>1191990</v>
      </c>
      <c r="J130" s="33">
        <f>KANWIL!J130+SURABAYA!J130+KEDIRI!J130+MALANG!J130+MADIUN!J130+BANYUWANGI!J130</f>
        <v>5244768</v>
      </c>
      <c r="K130" s="33">
        <f t="shared" si="27"/>
        <v>52529288</v>
      </c>
      <c r="L130" s="33">
        <f>KANWIL!L130+SURABAYA!L130+KEDIRI!L130+MALANG!L130+MADIUN!L130+BANYUWANGI!L130</f>
        <v>17668710.509999998</v>
      </c>
      <c r="M130" s="33">
        <f>KANWIL!M130+SURABAYA!M130+KEDIRI!M130+MALANG!M130+MADIUN!M130+BANYUWANGI!M130</f>
        <v>0</v>
      </c>
      <c r="N130" s="33">
        <f>KANWIL!N130+SURABAYA!N130+KEDIRI!N130+MALANG!N130+MADIUN!N130+BANYUWANGI!N130</f>
        <v>6341923.4899999993</v>
      </c>
      <c r="O130" s="19">
        <f t="shared" si="28"/>
        <v>24010633.999999996</v>
      </c>
      <c r="P130" s="37">
        <f>O130/K130</f>
        <v>0.45709041401817585</v>
      </c>
    </row>
    <row r="131" spans="1:16" s="20" customFormat="1" x14ac:dyDescent="0.3">
      <c r="A131" s="20">
        <v>254</v>
      </c>
      <c r="B131" s="7"/>
      <c r="C131" s="8"/>
      <c r="D131" s="21"/>
      <c r="E131" s="24" t="s">
        <v>134</v>
      </c>
      <c r="F131" s="33">
        <f>KANWIL!F131+SURABAYA!F131+KEDIRI!F131+MALANG!F131+MADIUN!F131+BANYUWANGI!F131</f>
        <v>11623668</v>
      </c>
      <c r="G131" s="33">
        <f>KANWIL!G131+SURABAYA!G131+KEDIRI!G131+MALANG!G131+MADIUN!G131+BANYUWANGI!G131</f>
        <v>0</v>
      </c>
      <c r="H131" s="33">
        <f>KANWIL!H131+SURABAYA!H131+KEDIRI!H131+MALANG!H131+MADIUN!H131+BANYUWANGI!H131</f>
        <v>238349</v>
      </c>
      <c r="I131" s="33">
        <f>KANWIL!I131+SURABAYA!I131+KEDIRI!I131+MALANG!I131+MADIUN!I131+BANYUWANGI!I131</f>
        <v>306762</v>
      </c>
      <c r="J131" s="33">
        <f>KANWIL!J131+SURABAYA!J131+KEDIRI!J131+MALANG!J131+MADIUN!J131+BANYUWANGI!J131</f>
        <v>1349752</v>
      </c>
      <c r="K131" s="33">
        <f t="shared" si="27"/>
        <v>13518531</v>
      </c>
      <c r="L131" s="33">
        <f>KANWIL!L131+SURABAYA!L131+KEDIRI!L131+MALANG!L131+MADIUN!L131+BANYUWANGI!L131</f>
        <v>5368508.5199999996</v>
      </c>
      <c r="M131" s="33">
        <f>KANWIL!M131+SURABAYA!M131+KEDIRI!M131+MALANG!M131+MADIUN!M131+BANYUWANGI!M131</f>
        <v>0</v>
      </c>
      <c r="N131" s="33">
        <f>KANWIL!N131+SURABAYA!N131+KEDIRI!N131+MALANG!N131+MADIUN!N131+BANYUWANGI!N131</f>
        <v>2092186.48</v>
      </c>
      <c r="O131" s="19">
        <f t="shared" si="28"/>
        <v>7460695</v>
      </c>
      <c r="P131" s="37">
        <f>O131/K131</f>
        <v>0.55188651784724241</v>
      </c>
    </row>
    <row r="132" spans="1:16" s="20" customFormat="1" x14ac:dyDescent="0.3">
      <c r="A132" s="20">
        <v>233</v>
      </c>
      <c r="B132" s="7"/>
      <c r="C132" s="8"/>
      <c r="D132" s="21"/>
      <c r="E132" s="24" t="s">
        <v>135</v>
      </c>
      <c r="F132" s="33">
        <f>KANWIL!F132+SURABAYA!F132+KEDIRI!F132+MALANG!F132+MADIUN!F132+BANYUWANGI!F132</f>
        <v>0</v>
      </c>
      <c r="G132" s="33">
        <f>KANWIL!G132+SURABAYA!G132+KEDIRI!G132+MALANG!G132+MADIUN!G132+BANYUWANGI!G132</f>
        <v>0</v>
      </c>
      <c r="H132" s="33">
        <f>KANWIL!H132+SURABAYA!H132+KEDIRI!H132+MALANG!H132+MADIUN!H132+BANYUWANGI!H132</f>
        <v>0</v>
      </c>
      <c r="I132" s="33">
        <f>KANWIL!I132+SURABAYA!I132+KEDIRI!I132+MALANG!I132+MADIUN!I132+BANYUWANGI!I132</f>
        <v>0</v>
      </c>
      <c r="J132" s="33">
        <f>KANWIL!J132+SURABAYA!J132+KEDIRI!J132+MALANG!J132+MADIUN!J132+BANYUWANGI!J132</f>
        <v>0</v>
      </c>
      <c r="K132" s="33">
        <f t="shared" si="27"/>
        <v>0</v>
      </c>
      <c r="L132" s="33">
        <f>KANWIL!L132+SURABAYA!L132+KEDIRI!L132+MALANG!L132+MADIUN!L132+BANYUWANGI!L132</f>
        <v>0</v>
      </c>
      <c r="M132" s="33">
        <f>KANWIL!M132+SURABAYA!M132+KEDIRI!M132+MALANG!M132+MADIUN!M132+BANYUWANGI!M132</f>
        <v>0</v>
      </c>
      <c r="N132" s="33">
        <f>KANWIL!N132+SURABAYA!N132+KEDIRI!N132+MALANG!N132+MADIUN!N132+BANYUWANGI!N132</f>
        <v>0</v>
      </c>
      <c r="O132" s="19">
        <f t="shared" si="28"/>
        <v>0</v>
      </c>
      <c r="P132" s="37">
        <v>0</v>
      </c>
    </row>
    <row r="133" spans="1:16" s="20" customFormat="1" x14ac:dyDescent="0.3">
      <c r="A133" s="20">
        <v>234</v>
      </c>
      <c r="B133" s="7"/>
      <c r="C133" s="8"/>
      <c r="D133" s="21"/>
      <c r="E133" s="24" t="s">
        <v>136</v>
      </c>
      <c r="F133" s="33">
        <f>KANWIL!F133+SURABAYA!F133+KEDIRI!F133+MALANG!F133+MADIUN!F133+BANYUWANGI!F133</f>
        <v>2010633</v>
      </c>
      <c r="G133" s="33">
        <f>KANWIL!G133+SURABAYA!G133+KEDIRI!G133+MALANG!G133+MADIUN!G133+BANYUWANGI!G133</f>
        <v>0</v>
      </c>
      <c r="H133" s="33">
        <f>KANWIL!H133+SURABAYA!H133+KEDIRI!H133+MALANG!H133+MADIUN!H133+BANYUWANGI!H133</f>
        <v>41230</v>
      </c>
      <c r="I133" s="33">
        <f>KANWIL!I133+SURABAYA!I133+KEDIRI!I133+MALANG!I133+MADIUN!I133+BANYUWANGI!I133</f>
        <v>53065</v>
      </c>
      <c r="J133" s="33">
        <f>KANWIL!J133+SURABAYA!J133+KEDIRI!J133+MALANG!J133+MADIUN!J133+BANYUWANGI!J133</f>
        <v>233475</v>
      </c>
      <c r="K133" s="33">
        <f t="shared" si="27"/>
        <v>2338403</v>
      </c>
      <c r="L133" s="33">
        <f>KANWIL!L133+SURABAYA!L133+KEDIRI!L133+MALANG!L133+MADIUN!L133+BANYUWANGI!L133</f>
        <v>2807275</v>
      </c>
      <c r="M133" s="33">
        <f>KANWIL!M133+SURABAYA!M133+KEDIRI!M133+MALANG!M133+MADIUN!M133+BANYUWANGI!M133</f>
        <v>0</v>
      </c>
      <c r="N133" s="33">
        <f>KANWIL!N133+SURABAYA!N133+KEDIRI!N133+MALANG!N133+MADIUN!N133+BANYUWANGI!N133</f>
        <v>1192724.9999999998</v>
      </c>
      <c r="O133" s="19">
        <f t="shared" si="28"/>
        <v>4000000</v>
      </c>
      <c r="P133" s="37">
        <f>O133/K133</f>
        <v>1.7105691362866025</v>
      </c>
    </row>
    <row r="134" spans="1:16" s="20" customFormat="1" x14ac:dyDescent="0.3">
      <c r="A134" s="20">
        <v>237</v>
      </c>
      <c r="B134" s="7"/>
      <c r="C134" s="8"/>
      <c r="D134" s="21"/>
      <c r="E134" s="24" t="s">
        <v>137</v>
      </c>
      <c r="F134" s="33">
        <f>KANWIL!F134+SURABAYA!F134+KEDIRI!F134+MALANG!F134+MADIUN!F134+BANYUWANGI!F134</f>
        <v>0</v>
      </c>
      <c r="G134" s="33">
        <f>KANWIL!G134+SURABAYA!G134+KEDIRI!G134+MALANG!G134+MADIUN!G134+BANYUWANGI!G134</f>
        <v>0</v>
      </c>
      <c r="H134" s="33">
        <f>KANWIL!H134+SURABAYA!H134+KEDIRI!H134+MALANG!H134+MADIUN!H134+BANYUWANGI!H134</f>
        <v>0</v>
      </c>
      <c r="I134" s="33">
        <f>KANWIL!I134+SURABAYA!I134+KEDIRI!I134+MALANG!I134+MADIUN!I134+BANYUWANGI!I134</f>
        <v>0</v>
      </c>
      <c r="J134" s="33">
        <f>KANWIL!J134+SURABAYA!J134+KEDIRI!J134+MALANG!J134+MADIUN!J134+BANYUWANGI!J134</f>
        <v>0</v>
      </c>
      <c r="K134" s="33">
        <f t="shared" si="27"/>
        <v>0</v>
      </c>
      <c r="L134" s="33">
        <f>KANWIL!L134+SURABAYA!L134+KEDIRI!L134+MALANG!L134+MADIUN!L134+BANYUWANGI!L134</f>
        <v>0</v>
      </c>
      <c r="M134" s="33">
        <f>KANWIL!M134+SURABAYA!M134+KEDIRI!M134+MALANG!M134+MADIUN!M134+BANYUWANGI!M134</f>
        <v>0</v>
      </c>
      <c r="N134" s="33">
        <f>KANWIL!N134+SURABAYA!N134+KEDIRI!N134+MALANG!N134+MADIUN!N134+BANYUWANGI!N134</f>
        <v>0</v>
      </c>
      <c r="O134" s="19">
        <f t="shared" si="28"/>
        <v>0</v>
      </c>
      <c r="P134" s="37">
        <v>0</v>
      </c>
    </row>
    <row r="135" spans="1:16" s="20" customFormat="1" x14ac:dyDescent="0.3">
      <c r="A135" s="20">
        <v>256</v>
      </c>
      <c r="B135" s="7"/>
      <c r="C135" s="8"/>
      <c r="D135" s="21"/>
      <c r="E135" s="24" t="s">
        <v>138</v>
      </c>
      <c r="F135" s="33">
        <f>KANWIL!F135+SURABAYA!F135+KEDIRI!F135+MALANG!F135+MADIUN!F135+BANYUWANGI!F135</f>
        <v>1601791553</v>
      </c>
      <c r="G135" s="33">
        <f>KANWIL!G135+SURABAYA!G135+KEDIRI!G135+MALANG!G135+MADIUN!G135+BANYUWANGI!G135</f>
        <v>0</v>
      </c>
      <c r="H135" s="33">
        <f>KANWIL!H135+SURABAYA!H135+KEDIRI!H135+MALANG!H135+MADIUN!H135+BANYUWANGI!H135</f>
        <v>32845509</v>
      </c>
      <c r="I135" s="33">
        <f>KANWIL!I135+SURABAYA!I135+KEDIRI!I135+MALANG!I135+MADIUN!I135+BANYUWANGI!I135</f>
        <v>42273036</v>
      </c>
      <c r="J135" s="33">
        <f>KANWIL!J135+SURABAYA!J135+KEDIRI!J135+MALANG!J135+MADIUN!J135+BANYUWANGI!J135</f>
        <v>186001750</v>
      </c>
      <c r="K135" s="33">
        <f t="shared" si="27"/>
        <v>1862911848</v>
      </c>
      <c r="L135" s="33">
        <f>KANWIL!L135+SURABAYA!L135+KEDIRI!L135+MALANG!L135+MADIUN!L135+BANYUWANGI!L135</f>
        <v>809070674.3599999</v>
      </c>
      <c r="M135" s="33">
        <f>KANWIL!M135+SURABAYA!M135+KEDIRI!M135+MALANG!M135+MADIUN!M135+BANYUWANGI!M135</f>
        <v>0</v>
      </c>
      <c r="N135" s="33">
        <f>KANWIL!N135+SURABAYA!N135+KEDIRI!N135+MALANG!N135+MADIUN!N135+BANYUWANGI!N135</f>
        <v>338188176.50999993</v>
      </c>
      <c r="O135" s="19">
        <f t="shared" si="28"/>
        <v>1147258850.8699999</v>
      </c>
      <c r="P135" s="37">
        <f t="shared" ref="P135:P140" si="29">O135/K135</f>
        <v>0.6158417276167325</v>
      </c>
    </row>
    <row r="136" spans="1:16" s="20" customFormat="1" x14ac:dyDescent="0.3">
      <c r="A136" s="20">
        <v>261</v>
      </c>
      <c r="B136" s="7"/>
      <c r="C136" s="8"/>
      <c r="D136" s="21"/>
      <c r="E136" s="24" t="s">
        <v>139</v>
      </c>
      <c r="F136" s="33">
        <f>KANWIL!F136+SURABAYA!F136+KEDIRI!F136+MALANG!F136+MADIUN!F136+BANYUWANGI!F136</f>
        <v>820</v>
      </c>
      <c r="G136" s="33">
        <f>KANWIL!G136+SURABAYA!G136+KEDIRI!G136+MALANG!G136+MADIUN!G136+BANYUWANGI!G136</f>
        <v>0</v>
      </c>
      <c r="H136" s="33">
        <f>KANWIL!H136+SURABAYA!H136+KEDIRI!H136+MALANG!H136+MADIUN!H136+BANYUWANGI!H136</f>
        <v>17</v>
      </c>
      <c r="I136" s="33">
        <f>KANWIL!I136+SURABAYA!I136+KEDIRI!I136+MALANG!I136+MADIUN!I136+BANYUWANGI!I136</f>
        <v>22</v>
      </c>
      <c r="J136" s="33">
        <f>KANWIL!J136+SURABAYA!J136+KEDIRI!J136+MALANG!J136+MADIUN!J136+BANYUWANGI!J136</f>
        <v>95</v>
      </c>
      <c r="K136" s="33">
        <f t="shared" si="27"/>
        <v>954</v>
      </c>
      <c r="L136" s="33">
        <f>KANWIL!L136+SURABAYA!L136+KEDIRI!L136+MALANG!L136+MADIUN!L136+BANYUWANGI!L136</f>
        <v>0</v>
      </c>
      <c r="M136" s="33">
        <f>KANWIL!M136+SURABAYA!M136+KEDIRI!M136+MALANG!M136+MADIUN!M136+BANYUWANGI!M136</f>
        <v>0</v>
      </c>
      <c r="N136" s="33">
        <f>KANWIL!N136+SURABAYA!N136+KEDIRI!N136+MALANG!N136+MADIUN!N136+BANYUWANGI!N136</f>
        <v>0</v>
      </c>
      <c r="O136" s="19">
        <f t="shared" si="28"/>
        <v>0</v>
      </c>
      <c r="P136" s="37">
        <f t="shared" si="29"/>
        <v>0</v>
      </c>
    </row>
    <row r="137" spans="1:16" s="20" customFormat="1" x14ac:dyDescent="0.3">
      <c r="A137" s="20">
        <v>227</v>
      </c>
      <c r="B137" s="7"/>
      <c r="C137" s="8"/>
      <c r="D137" s="21"/>
      <c r="E137" s="24" t="s">
        <v>140</v>
      </c>
      <c r="F137" s="33">
        <f>KANWIL!F137+SURABAYA!F137+KEDIRI!F137+MALANG!F137+MADIUN!F137+BANYUWANGI!F137</f>
        <v>492632237</v>
      </c>
      <c r="G137" s="33">
        <f>KANWIL!G137+SURABAYA!G137+KEDIRI!G137+MALANG!G137+MADIUN!G137+BANYUWANGI!G137</f>
        <v>0</v>
      </c>
      <c r="H137" s="33">
        <f>KANWIL!H137+SURABAYA!H137+KEDIRI!H137+MALANG!H137+MADIUN!H137+BANYUWANGI!H137</f>
        <v>10101661</v>
      </c>
      <c r="I137" s="33">
        <f>KANWIL!I137+SURABAYA!I137+KEDIRI!I137+MALANG!I137+MADIUN!I137+BANYUWANGI!I137</f>
        <v>13001106</v>
      </c>
      <c r="J137" s="33">
        <f>KANWIL!J137+SURABAYA!J137+KEDIRI!J137+MALANG!J137+MADIUN!J137+BANYUWANGI!J137</f>
        <v>57204983</v>
      </c>
      <c r="K137" s="33">
        <f t="shared" si="27"/>
        <v>572939987</v>
      </c>
      <c r="L137" s="33">
        <f>KANWIL!L137+SURABAYA!L137+KEDIRI!L137+MALANG!L137+MADIUN!L137+BANYUWANGI!L137</f>
        <v>-1743620.5</v>
      </c>
      <c r="M137" s="33">
        <f>KANWIL!M137+SURABAYA!M137+KEDIRI!M137+MALANG!M137+MADIUN!M137+BANYUWANGI!M137</f>
        <v>0</v>
      </c>
      <c r="N137" s="33">
        <f>KANWIL!N137+SURABAYA!N137+KEDIRI!N137+MALANG!N137+MADIUN!N137+BANYUWANGI!N137</f>
        <v>1743620.4999999998</v>
      </c>
      <c r="O137" s="19">
        <f t="shared" si="28"/>
        <v>0</v>
      </c>
      <c r="P137" s="37">
        <f t="shared" si="29"/>
        <v>0</v>
      </c>
    </row>
    <row r="138" spans="1:16" s="20" customFormat="1" x14ac:dyDescent="0.3">
      <c r="A138" s="20">
        <v>226</v>
      </c>
      <c r="B138" s="7"/>
      <c r="C138" s="8"/>
      <c r="D138" s="21"/>
      <c r="E138" s="24" t="s">
        <v>141</v>
      </c>
      <c r="F138" s="33">
        <f>KANWIL!F138+SURABAYA!F138+KEDIRI!F138+MALANG!F138+MADIUN!F138+BANYUWANGI!F138</f>
        <v>415810</v>
      </c>
      <c r="G138" s="33">
        <f>KANWIL!G138+SURABAYA!G138+KEDIRI!G138+MALANG!G138+MADIUN!G138+BANYUWANGI!G138</f>
        <v>0</v>
      </c>
      <c r="H138" s="33">
        <f>KANWIL!H138+SURABAYA!H138+KEDIRI!H138+MALANG!H138+MADIUN!H138+BANYUWANGI!H138</f>
        <v>8526</v>
      </c>
      <c r="I138" s="33">
        <f>KANWIL!I138+SURABAYA!I138+KEDIRI!I138+MALANG!I138+MADIUN!I138+BANYUWANGI!I138</f>
        <v>10974</v>
      </c>
      <c r="J138" s="33">
        <f>KANWIL!J138+SURABAYA!J138+KEDIRI!J138+MALANG!J138+MADIUN!J138+BANYUWANGI!J138</f>
        <v>48282</v>
      </c>
      <c r="K138" s="33">
        <f t="shared" si="27"/>
        <v>483592</v>
      </c>
      <c r="L138" s="33">
        <f>KANWIL!L138+SURABAYA!L138+KEDIRI!L138+MALANG!L138+MADIUN!L138+BANYUWANGI!L138</f>
        <v>0</v>
      </c>
      <c r="M138" s="33">
        <f>KANWIL!M138+SURABAYA!M138+KEDIRI!M138+MALANG!M138+MADIUN!M138+BANYUWANGI!M138</f>
        <v>0</v>
      </c>
      <c r="N138" s="33">
        <f>KANWIL!N138+SURABAYA!N138+KEDIRI!N138+MALANG!N138+MADIUN!N138+BANYUWANGI!N138</f>
        <v>0</v>
      </c>
      <c r="O138" s="19">
        <f t="shared" si="28"/>
        <v>0</v>
      </c>
      <c r="P138" s="37">
        <f t="shared" si="29"/>
        <v>0</v>
      </c>
    </row>
    <row r="139" spans="1:16" s="20" customFormat="1" x14ac:dyDescent="0.3">
      <c r="A139" s="20">
        <v>228</v>
      </c>
      <c r="B139" s="7"/>
      <c r="C139" s="8"/>
      <c r="D139" s="21"/>
      <c r="E139" s="24" t="s">
        <v>142</v>
      </c>
      <c r="F139" s="33">
        <f>KANWIL!F139+SURABAYA!F139+KEDIRI!F139+MALANG!F139+MADIUN!F139+BANYUWANGI!F139</f>
        <v>2226237</v>
      </c>
      <c r="G139" s="33">
        <f>KANWIL!G139+SURABAYA!G139+KEDIRI!G139+MALANG!G139+MADIUN!G139+BANYUWANGI!G139</f>
        <v>0</v>
      </c>
      <c r="H139" s="33">
        <f>KANWIL!H139+SURABAYA!H139+KEDIRI!H139+MALANG!H139+MADIUN!H139+BANYUWANGI!H139</f>
        <v>45648</v>
      </c>
      <c r="I139" s="33">
        <f>KANWIL!I139+SURABAYA!I139+KEDIRI!I139+MALANG!I139+MADIUN!I139+BANYUWANGI!I139</f>
        <v>58752</v>
      </c>
      <c r="J139" s="33">
        <f>KANWIL!J139+SURABAYA!J139+KEDIRI!J139+MALANG!J139+MADIUN!J139+BANYUWANGI!J139</f>
        <v>258510</v>
      </c>
      <c r="K139" s="33">
        <f t="shared" si="27"/>
        <v>2589147</v>
      </c>
      <c r="L139" s="33">
        <f>KANWIL!L139+SURABAYA!L139+KEDIRI!L139+MALANG!L139+MADIUN!L139+BANYUWANGI!L139</f>
        <v>0</v>
      </c>
      <c r="M139" s="33">
        <f>KANWIL!M139+SURABAYA!M139+KEDIRI!M139+MALANG!M139+MADIUN!M139+BANYUWANGI!M139</f>
        <v>0</v>
      </c>
      <c r="N139" s="33">
        <f>KANWIL!N139+SURABAYA!N139+KEDIRI!N139+MALANG!N139+MADIUN!N139+BANYUWANGI!N139</f>
        <v>0</v>
      </c>
      <c r="O139" s="19">
        <f t="shared" si="28"/>
        <v>0</v>
      </c>
      <c r="P139" s="37">
        <f t="shared" si="29"/>
        <v>0</v>
      </c>
    </row>
    <row r="140" spans="1:16" s="20" customFormat="1" x14ac:dyDescent="0.3">
      <c r="A140" s="20">
        <v>260</v>
      </c>
      <c r="B140" s="7"/>
      <c r="C140" s="8"/>
      <c r="D140" s="21"/>
      <c r="E140" s="24" t="s">
        <v>143</v>
      </c>
      <c r="F140" s="33">
        <f>KANWIL!F140+SURABAYA!F140+KEDIRI!F140+MALANG!F140+MADIUN!F140+BANYUWANGI!F140</f>
        <v>257950</v>
      </c>
      <c r="G140" s="33">
        <f>KANWIL!G140+SURABAYA!G140+KEDIRI!G140+MALANG!G140+MADIUN!G140+BANYUWANGI!G140</f>
        <v>0</v>
      </c>
      <c r="H140" s="33">
        <f>KANWIL!H140+SURABAYA!H140+KEDIRI!H140+MALANG!H140+MADIUN!H140+BANYUWANGI!H140</f>
        <v>5289</v>
      </c>
      <c r="I140" s="33">
        <f>KANWIL!I140+SURABAYA!I140+KEDIRI!I140+MALANG!I140+MADIUN!I140+BANYUWANGI!I140</f>
        <v>6808</v>
      </c>
      <c r="J140" s="33">
        <f>KANWIL!J140+SURABAYA!J140+KEDIRI!J140+MALANG!J140+MADIUN!J140+BANYUWANGI!J140</f>
        <v>29953</v>
      </c>
      <c r="K140" s="33">
        <f t="shared" si="27"/>
        <v>300000</v>
      </c>
      <c r="L140" s="33">
        <f>KANWIL!L140+SURABAYA!L140+KEDIRI!L140+MALANG!L140+MADIUN!L140+BANYUWANGI!L140</f>
        <v>0</v>
      </c>
      <c r="M140" s="33">
        <f>KANWIL!M140+SURABAYA!M140+KEDIRI!M140+MALANG!M140+MADIUN!M140+BANYUWANGI!M140</f>
        <v>0</v>
      </c>
      <c r="N140" s="33">
        <f>KANWIL!N140+SURABAYA!N140+KEDIRI!N140+MALANG!N140+MADIUN!N140+BANYUWANGI!N140</f>
        <v>0</v>
      </c>
      <c r="O140" s="19">
        <f t="shared" si="28"/>
        <v>0</v>
      </c>
      <c r="P140" s="37">
        <f t="shared" si="29"/>
        <v>0</v>
      </c>
    </row>
    <row r="141" spans="1:16" s="20" customFormat="1" x14ac:dyDescent="0.3">
      <c r="A141" s="20">
        <v>238</v>
      </c>
      <c r="B141" s="7"/>
      <c r="C141" s="8"/>
      <c r="D141" s="21"/>
      <c r="E141" s="24" t="s">
        <v>144</v>
      </c>
      <c r="F141" s="33">
        <f>KANWIL!F141+SURABAYA!F141+KEDIRI!F141+MALANG!F141+MADIUN!F141+BANYUWANGI!F141</f>
        <v>0</v>
      </c>
      <c r="G141" s="33">
        <f>KANWIL!G141+SURABAYA!G141+KEDIRI!G141+MALANG!G141+MADIUN!G141+BANYUWANGI!G141</f>
        <v>0</v>
      </c>
      <c r="H141" s="33">
        <f>KANWIL!H141+SURABAYA!H141+KEDIRI!H141+MALANG!H141+MADIUN!H141+BANYUWANGI!H141</f>
        <v>0</v>
      </c>
      <c r="I141" s="33">
        <f>KANWIL!I141+SURABAYA!I141+KEDIRI!I141+MALANG!I141+MADIUN!I141+BANYUWANGI!I141</f>
        <v>0</v>
      </c>
      <c r="J141" s="33">
        <f>KANWIL!J141+SURABAYA!J141+KEDIRI!J141+MALANG!J141+MADIUN!J141+BANYUWANGI!J141</f>
        <v>0</v>
      </c>
      <c r="K141" s="33">
        <f t="shared" si="27"/>
        <v>0</v>
      </c>
      <c r="L141" s="33">
        <f>KANWIL!L141+SURABAYA!L141+KEDIRI!L141+MALANG!L141+MADIUN!L141+BANYUWANGI!L141</f>
        <v>0</v>
      </c>
      <c r="M141" s="33">
        <f>KANWIL!M141+SURABAYA!M141+KEDIRI!M141+MALANG!M141+MADIUN!M141+BANYUWANGI!M141</f>
        <v>0</v>
      </c>
      <c r="N141" s="33">
        <f>KANWIL!N141+SURABAYA!N141+KEDIRI!N141+MALANG!N141+MADIUN!N141+BANYUWANGI!N141</f>
        <v>0</v>
      </c>
      <c r="O141" s="19">
        <f t="shared" si="28"/>
        <v>0</v>
      </c>
      <c r="P141" s="37">
        <v>0</v>
      </c>
    </row>
    <row r="142" spans="1:16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21764173095</v>
      </c>
      <c r="G142" s="32">
        <f t="shared" ref="G142:K142" si="30">SUM(G55:G141)</f>
        <v>0</v>
      </c>
      <c r="H142" s="32">
        <f t="shared" si="30"/>
        <v>446284893</v>
      </c>
      <c r="I142" s="32">
        <f t="shared" si="30"/>
        <v>574380404</v>
      </c>
      <c r="J142" s="32">
        <f t="shared" si="30"/>
        <v>2527279079</v>
      </c>
      <c r="K142" s="32">
        <f t="shared" si="30"/>
        <v>25312117471</v>
      </c>
      <c r="L142" s="32">
        <f t="shared" ref="L142" si="31">SUM(L55:L141)</f>
        <v>9976198877.3400021</v>
      </c>
      <c r="M142" s="32">
        <f t="shared" ref="M142" si="32">SUM(M55:M141)</f>
        <v>0</v>
      </c>
      <c r="N142" s="32">
        <f t="shared" ref="N142" si="33">SUM(N55:N141)</f>
        <v>4683849090.3799982</v>
      </c>
      <c r="O142" s="16">
        <f t="shared" ref="O142" si="34">SUM(O55:O141)</f>
        <v>14660047967.720001</v>
      </c>
      <c r="P142" s="37">
        <f>O142/K142</f>
        <v>0.57917114143121229</v>
      </c>
    </row>
    <row r="143" spans="1:16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19"/>
    </row>
    <row r="144" spans="1:16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19"/>
    </row>
    <row r="145" spans="1:16" s="20" customFormat="1" x14ac:dyDescent="0.3">
      <c r="A145" s="20">
        <v>269</v>
      </c>
      <c r="B145" s="7"/>
      <c r="C145" s="8"/>
      <c r="D145" s="21"/>
      <c r="E145" s="24" t="s">
        <v>147</v>
      </c>
      <c r="F145" s="33">
        <f>KANWIL!F145+SURABAYA!F145+KEDIRI!F145+MALANG!F145+MADIUN!F145+BANYUWANGI!F145</f>
        <v>353818838</v>
      </c>
      <c r="G145" s="33">
        <f>KANWIL!G145+SURABAYA!G145+KEDIRI!G145+MALANG!G145+MADIUN!G145+BANYUWANGI!G145</f>
        <v>0</v>
      </c>
      <c r="H145" s="33">
        <f>KANWIL!H145+SURABAYA!H145+KEDIRI!H145+MALANG!H145+MADIUN!H145+BANYUWANGI!H145</f>
        <v>7255227</v>
      </c>
      <c r="I145" s="33">
        <f>KANWIL!I145+SURABAYA!I145+KEDIRI!I145+MALANG!I145+MADIUN!I145+BANYUWANGI!I145</f>
        <v>9337667</v>
      </c>
      <c r="J145" s="33">
        <f>KANWIL!J145+SURABAYA!J145+KEDIRI!J145+MALANG!J145+MADIUN!J145+BANYUWANGI!J145</f>
        <v>41085821</v>
      </c>
      <c r="K145" s="33">
        <f t="shared" ref="K145:K159" si="35">SUM(F145:J145)</f>
        <v>411497553</v>
      </c>
      <c r="L145" s="33">
        <f>KANWIL!L145+SURABAYA!L145+KEDIRI!L145+MALANG!L145+MADIUN!L145+BANYUWANGI!L145</f>
        <v>228928937.91</v>
      </c>
      <c r="M145" s="33">
        <f>KANWIL!M145+SURABAYA!M145+KEDIRI!M145+MALANG!M145+MADIUN!M145+BANYUWANGI!M145</f>
        <v>0</v>
      </c>
      <c r="N145" s="33">
        <f>KANWIL!N145+SURABAYA!N145+KEDIRI!N145+MALANG!N145+MADIUN!N145+BANYUWANGI!N145</f>
        <v>100530398.16999999</v>
      </c>
      <c r="O145" s="19">
        <f t="shared" ref="O145:O159" si="36">SUM(L145:N145)</f>
        <v>329459336.07999998</v>
      </c>
      <c r="P145" s="37">
        <f>O145/K145</f>
        <v>0.80063498234216712</v>
      </c>
    </row>
    <row r="146" spans="1:16" s="20" customFormat="1" x14ac:dyDescent="0.3">
      <c r="A146" s="20">
        <v>270</v>
      </c>
      <c r="B146" s="7"/>
      <c r="C146" s="8"/>
      <c r="D146" s="21"/>
      <c r="E146" s="24" t="s">
        <v>148</v>
      </c>
      <c r="F146" s="33">
        <f>KANWIL!F146+SURABAYA!F146+KEDIRI!F146+MALANG!F146+MADIUN!F146+BANYUWANGI!F146</f>
        <v>96852368</v>
      </c>
      <c r="G146" s="33">
        <f>KANWIL!G146+SURABAYA!G146+KEDIRI!G146+MALANG!G146+MADIUN!G146+BANYUWANGI!G146</f>
        <v>0</v>
      </c>
      <c r="H146" s="33">
        <f>KANWIL!H146+SURABAYA!H146+KEDIRI!H146+MALANG!H146+MADIUN!H146+BANYUWANGI!H146</f>
        <v>1986005</v>
      </c>
      <c r="I146" s="33">
        <f>KANWIL!I146+SURABAYA!I146+KEDIRI!I146+MALANG!I146+MADIUN!I146+BANYUWANGI!I146</f>
        <v>2556040</v>
      </c>
      <c r="J146" s="33">
        <f>KANWIL!J146+SURABAYA!J146+KEDIRI!J146+MALANG!J146+MADIUN!J146+BANYUWANGI!J146</f>
        <v>11246601</v>
      </c>
      <c r="K146" s="33">
        <f t="shared" si="35"/>
        <v>112641014</v>
      </c>
      <c r="L146" s="33">
        <f>KANWIL!L146+SURABAYA!L146+KEDIRI!L146+MALANG!L146+MADIUN!L146+BANYUWANGI!L146</f>
        <v>14210401.34</v>
      </c>
      <c r="M146" s="33">
        <f>KANWIL!M146+SURABAYA!M146+KEDIRI!M146+MALANG!M146+MADIUN!M146+BANYUWANGI!M146</f>
        <v>0</v>
      </c>
      <c r="N146" s="33">
        <f>KANWIL!N146+SURABAYA!N146+KEDIRI!N146+MALANG!N146+MADIUN!N146+BANYUWANGI!N146</f>
        <v>6240265.2999999989</v>
      </c>
      <c r="O146" s="19">
        <f t="shared" si="36"/>
        <v>20450666.640000001</v>
      </c>
      <c r="P146" s="37">
        <f>O146/K146</f>
        <v>0.18155613052275968</v>
      </c>
    </row>
    <row r="147" spans="1:16" s="20" customFormat="1" x14ac:dyDescent="0.3">
      <c r="A147" s="20">
        <v>271</v>
      </c>
      <c r="B147" s="7"/>
      <c r="C147" s="8"/>
      <c r="D147" s="21"/>
      <c r="E147" s="24" t="s">
        <v>149</v>
      </c>
      <c r="F147" s="33">
        <f>KANWIL!F147+SURABAYA!F147+KEDIRI!F147+MALANG!F147+MADIUN!F147+BANYUWANGI!F147</f>
        <v>0</v>
      </c>
      <c r="G147" s="33">
        <f>KANWIL!G147+SURABAYA!G147+KEDIRI!G147+MALANG!G147+MADIUN!G147+BANYUWANGI!G147</f>
        <v>0</v>
      </c>
      <c r="H147" s="33">
        <f>KANWIL!H147+SURABAYA!H147+KEDIRI!H147+MALANG!H147+MADIUN!H147+BANYUWANGI!H147</f>
        <v>0</v>
      </c>
      <c r="I147" s="33">
        <f>KANWIL!I147+SURABAYA!I147+KEDIRI!I147+MALANG!I147+MADIUN!I147+BANYUWANGI!I147</f>
        <v>0</v>
      </c>
      <c r="J147" s="33">
        <f>KANWIL!J147+SURABAYA!J147+KEDIRI!J147+MALANG!J147+MADIUN!J147+BANYUWANGI!J147</f>
        <v>0</v>
      </c>
      <c r="K147" s="33">
        <f t="shared" si="35"/>
        <v>0</v>
      </c>
      <c r="L147" s="33">
        <f>KANWIL!L147+SURABAYA!L147+KEDIRI!L147+MALANG!L147+MADIUN!L147+BANYUWANGI!L147</f>
        <v>1097900.6000000001</v>
      </c>
      <c r="M147" s="33">
        <f>KANWIL!M147+SURABAYA!M147+KEDIRI!M147+MALANG!M147+MADIUN!M147+BANYUWANGI!M147</f>
        <v>0</v>
      </c>
      <c r="N147" s="33">
        <f>KANWIL!N147+SURABAYA!N147+KEDIRI!N147+MALANG!N147+MADIUN!N147+BANYUWANGI!N147</f>
        <v>402066.05999999994</v>
      </c>
      <c r="O147" s="19">
        <f t="shared" si="36"/>
        <v>1499966.6600000001</v>
      </c>
      <c r="P147" s="37">
        <v>0</v>
      </c>
    </row>
    <row r="148" spans="1:16" s="20" customFormat="1" x14ac:dyDescent="0.3">
      <c r="A148" s="20">
        <v>272</v>
      </c>
      <c r="B148" s="7"/>
      <c r="C148" s="8"/>
      <c r="D148" s="21"/>
      <c r="E148" s="24" t="s">
        <v>150</v>
      </c>
      <c r="F148" s="33">
        <f>KANWIL!F148+SURABAYA!F148+KEDIRI!F148+MALANG!F148+MADIUN!F148+BANYUWANGI!F148</f>
        <v>927316620</v>
      </c>
      <c r="G148" s="33">
        <f>KANWIL!G148+SURABAYA!G148+KEDIRI!G148+MALANG!G148+MADIUN!G148+BANYUWANGI!G148</f>
        <v>0</v>
      </c>
      <c r="H148" s="33">
        <f>KANWIL!H148+SURABAYA!H148+KEDIRI!H148+MALANG!H148+MADIUN!H148+BANYUWANGI!H148</f>
        <v>19015075</v>
      </c>
      <c r="I148" s="33">
        <f>KANWIL!I148+SURABAYA!I148+KEDIRI!I148+MALANG!I148+MADIUN!I148+BANYUWANGI!I148</f>
        <v>24472902</v>
      </c>
      <c r="J148" s="33">
        <f>KANWIL!J148+SURABAYA!J148+KEDIRI!J148+MALANG!J148+MADIUN!J148+BANYUWANGI!J148</f>
        <v>107680999</v>
      </c>
      <c r="K148" s="33">
        <f t="shared" si="35"/>
        <v>1078485596</v>
      </c>
      <c r="L148" s="33">
        <f>KANWIL!L148+SURABAYA!L148+KEDIRI!L148+MALANG!L148+MADIUN!L148+BANYUWANGI!L148</f>
        <v>593559241.77999997</v>
      </c>
      <c r="M148" s="33">
        <f>KANWIL!M148+SURABAYA!M148+KEDIRI!M148+MALANG!M148+MADIUN!M148+BANYUWANGI!M148</f>
        <v>0</v>
      </c>
      <c r="N148" s="33">
        <f>KANWIL!N148+SURABAYA!N148+KEDIRI!N148+MALANG!N148+MADIUN!N148+BANYUWANGI!N148</f>
        <v>259346365.84999996</v>
      </c>
      <c r="O148" s="19">
        <f t="shared" si="36"/>
        <v>852905607.62999988</v>
      </c>
      <c r="P148" s="37">
        <f>O148/K148</f>
        <v>0.79083634569932626</v>
      </c>
    </row>
    <row r="149" spans="1:16" s="20" customFormat="1" x14ac:dyDescent="0.3">
      <c r="A149" s="20">
        <v>273</v>
      </c>
      <c r="B149" s="7"/>
      <c r="C149" s="8"/>
      <c r="D149" s="21"/>
      <c r="E149" s="24" t="s">
        <v>151</v>
      </c>
      <c r="F149" s="33">
        <f>KANWIL!F149+SURABAYA!F149+KEDIRI!F149+MALANG!F149+MADIUN!F149+BANYUWANGI!F149</f>
        <v>0</v>
      </c>
      <c r="G149" s="33">
        <f>KANWIL!G149+SURABAYA!G149+KEDIRI!G149+MALANG!G149+MADIUN!G149+BANYUWANGI!G149</f>
        <v>0</v>
      </c>
      <c r="H149" s="33">
        <f>KANWIL!H149+SURABAYA!H149+KEDIRI!H149+MALANG!H149+MADIUN!H149+BANYUWANGI!H149</f>
        <v>0</v>
      </c>
      <c r="I149" s="33">
        <f>KANWIL!I149+SURABAYA!I149+KEDIRI!I149+MALANG!I149+MADIUN!I149+BANYUWANGI!I149</f>
        <v>0</v>
      </c>
      <c r="J149" s="33">
        <f>KANWIL!J149+SURABAYA!J149+KEDIRI!J149+MALANG!J149+MADIUN!J149+BANYUWANGI!J149</f>
        <v>0</v>
      </c>
      <c r="K149" s="33">
        <f t="shared" si="35"/>
        <v>0</v>
      </c>
      <c r="L149" s="33">
        <f>KANWIL!L149+SURABAYA!L149+KEDIRI!L149+MALANG!L149+MADIUN!L149+BANYUWANGI!L149</f>
        <v>407949366.69</v>
      </c>
      <c r="M149" s="33">
        <f>KANWIL!M149+SURABAYA!M149+KEDIRI!M149+MALANG!M149+MADIUN!M149+BANYUWANGI!M149</f>
        <v>0</v>
      </c>
      <c r="N149" s="33">
        <f>KANWIL!N149+SURABAYA!N149+KEDIRI!N149+MALANG!N149+MADIUN!N149+BANYUWANGI!N149</f>
        <v>178287616.62</v>
      </c>
      <c r="O149" s="19">
        <f t="shared" si="36"/>
        <v>586236983.30999994</v>
      </c>
      <c r="P149" s="37">
        <v>0</v>
      </c>
    </row>
    <row r="150" spans="1:16" s="20" customFormat="1" x14ac:dyDescent="0.3">
      <c r="A150" s="20">
        <v>265</v>
      </c>
      <c r="B150" s="7"/>
      <c r="C150" s="8"/>
      <c r="D150" s="21"/>
      <c r="E150" s="24" t="s">
        <v>152</v>
      </c>
      <c r="F150" s="33">
        <f>KANWIL!F150+SURABAYA!F150+KEDIRI!F150+MALANG!F150+MADIUN!F150+BANYUWANGI!F150</f>
        <v>445223</v>
      </c>
      <c r="G150" s="33">
        <f>KANWIL!G150+SURABAYA!G150+KEDIRI!G150+MALANG!G150+MADIUN!G150+BANYUWANGI!G150</f>
        <v>0</v>
      </c>
      <c r="H150" s="33">
        <f>KANWIL!H150+SURABAYA!H150+KEDIRI!H150+MALANG!H150+MADIUN!H150+BANYUWANGI!H150</f>
        <v>9129</v>
      </c>
      <c r="I150" s="33">
        <f>KANWIL!I150+SURABAYA!I150+KEDIRI!I150+MALANG!I150+MADIUN!I150+BANYUWANGI!I150</f>
        <v>11751</v>
      </c>
      <c r="J150" s="33">
        <f>KANWIL!J150+SURABAYA!J150+KEDIRI!J150+MALANG!J150+MADIUN!J150+BANYUWANGI!J150</f>
        <v>51699</v>
      </c>
      <c r="K150" s="33">
        <f t="shared" si="35"/>
        <v>517802</v>
      </c>
      <c r="L150" s="33">
        <f>KANWIL!L150+SURABAYA!L150+KEDIRI!L150+MALANG!L150+MADIUN!L150+BANYUWANGI!L150</f>
        <v>0</v>
      </c>
      <c r="M150" s="33">
        <f>KANWIL!M150+SURABAYA!M150+KEDIRI!M150+MALANG!M150+MADIUN!M150+BANYUWANGI!M150</f>
        <v>0</v>
      </c>
      <c r="N150" s="33">
        <f>KANWIL!N150+SURABAYA!N150+KEDIRI!N150+MALANG!N150+MADIUN!N150+BANYUWANGI!N150</f>
        <v>0</v>
      </c>
      <c r="O150" s="19">
        <f t="shared" si="36"/>
        <v>0</v>
      </c>
      <c r="P150" s="37">
        <f>O150/K150</f>
        <v>0</v>
      </c>
    </row>
    <row r="151" spans="1:16" s="20" customFormat="1" x14ac:dyDescent="0.3">
      <c r="A151" s="20">
        <v>266</v>
      </c>
      <c r="B151" s="7"/>
      <c r="C151" s="8"/>
      <c r="D151" s="21"/>
      <c r="E151" s="24" t="s">
        <v>153</v>
      </c>
      <c r="F151" s="33">
        <f>KANWIL!F151+SURABAYA!F151+KEDIRI!F151+MALANG!F151+MADIUN!F151+BANYUWANGI!F151</f>
        <v>114918992</v>
      </c>
      <c r="G151" s="33">
        <f>KANWIL!G151+SURABAYA!G151+KEDIRI!G151+MALANG!G151+MADIUN!G151+BANYUWANGI!G151</f>
        <v>0</v>
      </c>
      <c r="H151" s="33">
        <f>KANWIL!H151+SURABAYA!H151+KEDIRI!H151+MALANG!H151+MADIUN!H151+BANYUWANGI!H151</f>
        <v>2356470</v>
      </c>
      <c r="I151" s="33">
        <f>KANWIL!I151+SURABAYA!I151+KEDIRI!I151+MALANG!I151+MADIUN!I151+BANYUWANGI!I151</f>
        <v>3032838</v>
      </c>
      <c r="J151" s="33">
        <f>KANWIL!J151+SURABAYA!J151+KEDIRI!J151+MALANG!J151+MADIUN!J151+BANYUWANGI!J151</f>
        <v>13344517</v>
      </c>
      <c r="K151" s="33">
        <f t="shared" si="35"/>
        <v>133652817</v>
      </c>
      <c r="L151" s="33">
        <f>KANWIL!L151+SURABAYA!L151+KEDIRI!L151+MALANG!L151+MADIUN!L151+BANYUWANGI!L151</f>
        <v>0</v>
      </c>
      <c r="M151" s="33">
        <f>KANWIL!M151+SURABAYA!M151+KEDIRI!M151+MALANG!M151+MADIUN!M151+BANYUWANGI!M151</f>
        <v>0</v>
      </c>
      <c r="N151" s="33">
        <f>KANWIL!N151+SURABAYA!N151+KEDIRI!N151+MALANG!N151+MADIUN!N151+BANYUWANGI!N151</f>
        <v>0</v>
      </c>
      <c r="O151" s="19">
        <f t="shared" si="36"/>
        <v>0</v>
      </c>
      <c r="P151" s="37">
        <f>O151/K151</f>
        <v>0</v>
      </c>
    </row>
    <row r="152" spans="1:16" s="20" customFormat="1" x14ac:dyDescent="0.3">
      <c r="A152" s="20">
        <v>267</v>
      </c>
      <c r="B152" s="7"/>
      <c r="C152" s="8"/>
      <c r="D152" s="21"/>
      <c r="E152" s="24" t="s">
        <v>154</v>
      </c>
      <c r="F152" s="33">
        <f>KANWIL!F152+SURABAYA!F152+KEDIRI!F152+MALANG!F152+MADIUN!F152+BANYUWANGI!F152</f>
        <v>205512475</v>
      </c>
      <c r="G152" s="33">
        <f>KANWIL!G152+SURABAYA!G152+KEDIRI!G152+MALANG!G152+MADIUN!G152+BANYUWANGI!G152</f>
        <v>0</v>
      </c>
      <c r="H152" s="33">
        <f>KANWIL!H152+SURABAYA!H152+KEDIRI!H152+MALANG!H152+MADIUN!H152+BANYUWANGI!H152</f>
        <v>4214132</v>
      </c>
      <c r="I152" s="33">
        <f>KANWIL!I152+SURABAYA!I152+KEDIRI!I152+MALANG!I152+MADIUN!I152+BANYUWANGI!I152</f>
        <v>5423701</v>
      </c>
      <c r="J152" s="33">
        <f>KANWIL!J152+SURABAYA!J152+KEDIRI!J152+MALANG!J152+MADIUN!J152+BANYUWANGI!J152</f>
        <v>23864327</v>
      </c>
      <c r="K152" s="33">
        <f t="shared" si="35"/>
        <v>239014635</v>
      </c>
      <c r="L152" s="33">
        <f>KANWIL!L152+SURABAYA!L152+KEDIRI!L152+MALANG!L152+MADIUN!L152+BANYUWANGI!L152</f>
        <v>28972470.500000004</v>
      </c>
      <c r="M152" s="33">
        <f>KANWIL!M152+SURABAYA!M152+KEDIRI!M152+MALANG!M152+MADIUN!M152+BANYUWANGI!M152</f>
        <v>0</v>
      </c>
      <c r="N152" s="33">
        <f>KANWIL!N152+SURABAYA!N152+KEDIRI!N152+MALANG!N152+MADIUN!N152+BANYUWANGI!N152</f>
        <v>12532636.689999999</v>
      </c>
      <c r="O152" s="19">
        <f t="shared" si="36"/>
        <v>41505107.190000005</v>
      </c>
      <c r="P152" s="37">
        <f>O152/K152</f>
        <v>0.17365090296667401</v>
      </c>
    </row>
    <row r="153" spans="1:16" s="20" customFormat="1" x14ac:dyDescent="0.3">
      <c r="A153" s="20">
        <v>268</v>
      </c>
      <c r="B153" s="7"/>
      <c r="C153" s="8"/>
      <c r="D153" s="21"/>
      <c r="E153" s="24" t="s">
        <v>155</v>
      </c>
      <c r="F153" s="33">
        <f>KANWIL!F153+SURABAYA!F153+KEDIRI!F153+MALANG!F153+MADIUN!F153+BANYUWANGI!F153</f>
        <v>0</v>
      </c>
      <c r="G153" s="33">
        <f>KANWIL!G153+SURABAYA!G153+KEDIRI!G153+MALANG!G153+MADIUN!G153+BANYUWANGI!G153</f>
        <v>0</v>
      </c>
      <c r="H153" s="33">
        <f>KANWIL!H153+SURABAYA!H153+KEDIRI!H153+MALANG!H153+MADIUN!H153+BANYUWANGI!H153</f>
        <v>0</v>
      </c>
      <c r="I153" s="33">
        <f>KANWIL!I153+SURABAYA!I153+KEDIRI!I153+MALANG!I153+MADIUN!I153+BANYUWANGI!I153</f>
        <v>0</v>
      </c>
      <c r="J153" s="33">
        <f>KANWIL!J153+SURABAYA!J153+KEDIRI!J153+MALANG!J153+MADIUN!J153+BANYUWANGI!J153</f>
        <v>0</v>
      </c>
      <c r="K153" s="33">
        <f t="shared" si="35"/>
        <v>0</v>
      </c>
      <c r="L153" s="33">
        <f>KANWIL!L153+SURABAYA!L153+KEDIRI!L153+MALANG!L153+MADIUN!L153+BANYUWANGI!L153</f>
        <v>0</v>
      </c>
      <c r="M153" s="33">
        <f>KANWIL!M153+SURABAYA!M153+KEDIRI!M153+MALANG!M153+MADIUN!M153+BANYUWANGI!M153</f>
        <v>0</v>
      </c>
      <c r="N153" s="33">
        <f>KANWIL!N153+SURABAYA!N153+KEDIRI!N153+MALANG!N153+MADIUN!N153+BANYUWANGI!N153</f>
        <v>0</v>
      </c>
      <c r="O153" s="19">
        <f t="shared" si="36"/>
        <v>0</v>
      </c>
      <c r="P153" s="37">
        <v>0</v>
      </c>
    </row>
    <row r="154" spans="1:16" s="20" customFormat="1" x14ac:dyDescent="0.3">
      <c r="A154" s="20">
        <v>274</v>
      </c>
      <c r="B154" s="7"/>
      <c r="C154" s="8"/>
      <c r="D154" s="21"/>
      <c r="E154" s="24" t="s">
        <v>156</v>
      </c>
      <c r="F154" s="33">
        <f>KANWIL!F154+SURABAYA!F154+KEDIRI!F154+MALANG!F154+MADIUN!F154+BANYUWANGI!F154</f>
        <v>2130053687</v>
      </c>
      <c r="G154" s="33">
        <f>KANWIL!G154+SURABAYA!G154+KEDIRI!G154+MALANG!G154+MADIUN!G154+BANYUWANGI!G154</f>
        <v>0</v>
      </c>
      <c r="H154" s="33">
        <f>KANWIL!H154+SURABAYA!H154+KEDIRI!H154+MALANG!H154+MADIUN!H154+BANYUWANGI!H154</f>
        <v>43677780</v>
      </c>
      <c r="I154" s="33">
        <f>KANWIL!I154+SURABAYA!I154+KEDIRI!I154+MALANG!I154+MADIUN!I154+BANYUWANGI!I154</f>
        <v>56214452</v>
      </c>
      <c r="J154" s="33">
        <f>KANWIL!J154+SURABAYA!J154+KEDIRI!J154+MALANG!J154+MADIUN!J154+BANYUWANGI!J154</f>
        <v>247344114</v>
      </c>
      <c r="K154" s="33">
        <f t="shared" si="35"/>
        <v>2477290033</v>
      </c>
      <c r="L154" s="33">
        <f>KANWIL!L154+SURABAYA!L154+KEDIRI!L154+MALANG!L154+MADIUN!L154+BANYUWANGI!L154</f>
        <v>1052262176.2800001</v>
      </c>
      <c r="M154" s="33">
        <f>KANWIL!M154+SURABAYA!M154+KEDIRI!M154+MALANG!M154+MADIUN!M154+BANYUWANGI!M154</f>
        <v>0</v>
      </c>
      <c r="N154" s="33">
        <f>KANWIL!N154+SURABAYA!N154+KEDIRI!N154+MALANG!N154+MADIUN!N154+BANYUWANGI!N154</f>
        <v>460901897.3599999</v>
      </c>
      <c r="O154" s="19">
        <f t="shared" si="36"/>
        <v>1513164073.6399999</v>
      </c>
      <c r="P154" s="37">
        <f>O154/K154</f>
        <v>0.61081425811395895</v>
      </c>
    </row>
    <row r="155" spans="1:16" s="20" customFormat="1" x14ac:dyDescent="0.3">
      <c r="A155" s="20">
        <v>275</v>
      </c>
      <c r="B155" s="7"/>
      <c r="C155" s="8"/>
      <c r="D155" s="21"/>
      <c r="E155" s="24" t="s">
        <v>157</v>
      </c>
      <c r="F155" s="33">
        <f>KANWIL!F155+SURABAYA!F155+KEDIRI!F155+MALANG!F155+MADIUN!F155+BANYUWANGI!F155</f>
        <v>167705261</v>
      </c>
      <c r="G155" s="33">
        <f>KANWIL!G155+SURABAYA!G155+KEDIRI!G155+MALANG!G155+MADIUN!G155+BANYUWANGI!G155</f>
        <v>0</v>
      </c>
      <c r="H155" s="33">
        <f>KANWIL!H155+SURABAYA!H155+KEDIRI!H155+MALANG!H155+MADIUN!H155+BANYUWANGI!H155</f>
        <v>3438877</v>
      </c>
      <c r="I155" s="33">
        <f>KANWIL!I155+SURABAYA!I155+KEDIRI!I155+MALANG!I155+MADIUN!I155+BANYUWANGI!I155</f>
        <v>4425925</v>
      </c>
      <c r="J155" s="33">
        <f>KANWIL!J155+SURABAYA!J155+KEDIRI!J155+MALANG!J155+MADIUN!J155+BANYUWANGI!J155</f>
        <v>19474114</v>
      </c>
      <c r="K155" s="33">
        <f t="shared" si="35"/>
        <v>195044177</v>
      </c>
      <c r="L155" s="33">
        <f>KANWIL!L155+SURABAYA!L155+KEDIRI!L155+MALANG!L155+MADIUN!L155+BANYUWANGI!L155</f>
        <v>92813668.590000004</v>
      </c>
      <c r="M155" s="33">
        <f>KANWIL!M155+SURABAYA!M155+KEDIRI!M155+MALANG!M155+MADIUN!M155+BANYUWANGI!M155</f>
        <v>0</v>
      </c>
      <c r="N155" s="33">
        <f>KANWIL!N155+SURABAYA!N155+KEDIRI!N155+MALANG!N155+MADIUN!N155+BANYUWANGI!N155</f>
        <v>40584079.799999997</v>
      </c>
      <c r="O155" s="19">
        <f t="shared" si="36"/>
        <v>133397748.39</v>
      </c>
      <c r="P155" s="37">
        <f>O155/K155</f>
        <v>0.68393607254422162</v>
      </c>
    </row>
    <row r="156" spans="1:16" s="20" customFormat="1" x14ac:dyDescent="0.3">
      <c r="A156" s="20">
        <v>276</v>
      </c>
      <c r="B156" s="7"/>
      <c r="C156" s="8"/>
      <c r="D156" s="21"/>
      <c r="E156" s="24" t="s">
        <v>158</v>
      </c>
      <c r="F156" s="33">
        <f>KANWIL!F156+SURABAYA!F156+KEDIRI!F156+MALANG!F156+MADIUN!F156+BANYUWANGI!F156</f>
        <v>1262219669</v>
      </c>
      <c r="G156" s="33">
        <f>KANWIL!G156+SURABAYA!G156+KEDIRI!G156+MALANG!G156+MADIUN!G156+BANYUWANGI!G156</f>
        <v>0</v>
      </c>
      <c r="H156" s="33">
        <f>KANWIL!H156+SURABAYA!H156+KEDIRI!H156+MALANG!H156+MADIUN!H156+BANYUWANGI!H156</f>
        <v>25882425</v>
      </c>
      <c r="I156" s="33">
        <f>KANWIL!I156+SURABAYA!I156+KEDIRI!I156+MALANG!I156+MADIUN!I156+BANYUWANGI!I156</f>
        <v>33311361</v>
      </c>
      <c r="J156" s="33">
        <f>KANWIL!J156+SURABAYA!J156+KEDIRI!J156+MALANG!J156+MADIUN!J156+BANYUWANGI!J156</f>
        <v>146570300</v>
      </c>
      <c r="K156" s="33">
        <f t="shared" si="35"/>
        <v>1467983755</v>
      </c>
      <c r="L156" s="33">
        <f>KANWIL!L156+SURABAYA!L156+KEDIRI!L156+MALANG!L156+MADIUN!L156+BANYUWANGI!L156</f>
        <v>596369892.26999998</v>
      </c>
      <c r="M156" s="33">
        <f>KANWIL!M156+SURABAYA!M156+KEDIRI!M156+MALANG!M156+MADIUN!M156+BANYUWANGI!M156</f>
        <v>0</v>
      </c>
      <c r="N156" s="33">
        <f>KANWIL!N156+SURABAYA!N156+KEDIRI!N156+MALANG!N156+MADIUN!N156+BANYUWANGI!N156</f>
        <v>260009227.93000001</v>
      </c>
      <c r="O156" s="19">
        <f t="shared" si="36"/>
        <v>856379120.20000005</v>
      </c>
      <c r="P156" s="37">
        <f>O156/K156</f>
        <v>0.58337097892476342</v>
      </c>
    </row>
    <row r="157" spans="1:16" s="20" customFormat="1" x14ac:dyDescent="0.3">
      <c r="A157" s="20">
        <v>277</v>
      </c>
      <c r="B157" s="7"/>
      <c r="C157" s="8"/>
      <c r="D157" s="21"/>
      <c r="E157" s="24" t="s">
        <v>159</v>
      </c>
      <c r="F157" s="33">
        <f>KANWIL!F157+SURABAYA!F157+KEDIRI!F157+MALANG!F157+MADIUN!F157+BANYUWANGI!F157</f>
        <v>0</v>
      </c>
      <c r="G157" s="33">
        <f>KANWIL!G157+SURABAYA!G157+KEDIRI!G157+MALANG!G157+MADIUN!G157+BANYUWANGI!G157</f>
        <v>0</v>
      </c>
      <c r="H157" s="33">
        <f>KANWIL!H157+SURABAYA!H157+KEDIRI!H157+MALANG!H157+MADIUN!H157+BANYUWANGI!H157</f>
        <v>0</v>
      </c>
      <c r="I157" s="33">
        <f>KANWIL!I157+SURABAYA!I157+KEDIRI!I157+MALANG!I157+MADIUN!I157+BANYUWANGI!I157</f>
        <v>0</v>
      </c>
      <c r="J157" s="33">
        <f>KANWIL!J157+SURABAYA!J157+KEDIRI!J157+MALANG!J157+MADIUN!J157+BANYUWANGI!J157</f>
        <v>0</v>
      </c>
      <c r="K157" s="33">
        <f t="shared" si="35"/>
        <v>0</v>
      </c>
      <c r="L157" s="33">
        <f>KANWIL!L157+SURABAYA!L157+KEDIRI!L157+MALANG!L157+MADIUN!L157+BANYUWANGI!L157</f>
        <v>0</v>
      </c>
      <c r="M157" s="33">
        <f>KANWIL!M157+SURABAYA!M157+KEDIRI!M157+MALANG!M157+MADIUN!M157+BANYUWANGI!M157</f>
        <v>0</v>
      </c>
      <c r="N157" s="33">
        <f>KANWIL!N157+SURABAYA!N157+KEDIRI!N157+MALANG!N157+MADIUN!N157+BANYUWANGI!N157</f>
        <v>0</v>
      </c>
      <c r="O157" s="19">
        <f t="shared" si="36"/>
        <v>0</v>
      </c>
      <c r="P157" s="37">
        <v>0</v>
      </c>
    </row>
    <row r="158" spans="1:16" s="20" customFormat="1" x14ac:dyDescent="0.3">
      <c r="A158" s="20">
        <v>278</v>
      </c>
      <c r="B158" s="7"/>
      <c r="C158" s="8"/>
      <c r="D158" s="21"/>
      <c r="E158" s="24" t="s">
        <v>160</v>
      </c>
      <c r="F158" s="33">
        <f>KANWIL!F158+SURABAYA!F158+KEDIRI!F158+MALANG!F158+MADIUN!F158+BANYUWANGI!F158</f>
        <v>0</v>
      </c>
      <c r="G158" s="33">
        <f>KANWIL!G158+SURABAYA!G158+KEDIRI!G158+MALANG!G158+MADIUN!G158+BANYUWANGI!G158</f>
        <v>0</v>
      </c>
      <c r="H158" s="33">
        <f>KANWIL!H158+SURABAYA!H158+KEDIRI!H158+MALANG!H158+MADIUN!H158+BANYUWANGI!H158</f>
        <v>0</v>
      </c>
      <c r="I158" s="33">
        <f>KANWIL!I158+SURABAYA!I158+KEDIRI!I158+MALANG!I158+MADIUN!I158+BANYUWANGI!I158</f>
        <v>0</v>
      </c>
      <c r="J158" s="33">
        <f>KANWIL!J158+SURABAYA!J158+KEDIRI!J158+MALANG!J158+MADIUN!J158+BANYUWANGI!J158</f>
        <v>0</v>
      </c>
      <c r="K158" s="33">
        <f t="shared" si="35"/>
        <v>0</v>
      </c>
      <c r="L158" s="33">
        <f>KANWIL!L158+SURABAYA!L158+KEDIRI!L158+MALANG!L158+MADIUN!L158+BANYUWANGI!L158</f>
        <v>0</v>
      </c>
      <c r="M158" s="33">
        <f>KANWIL!M158+SURABAYA!M158+KEDIRI!M158+MALANG!M158+MADIUN!M158+BANYUWANGI!M158</f>
        <v>0</v>
      </c>
      <c r="N158" s="33">
        <f>KANWIL!N158+SURABAYA!N158+KEDIRI!N158+MALANG!N158+MADIUN!N158+BANYUWANGI!N158</f>
        <v>5231188.9800000004</v>
      </c>
      <c r="O158" s="19">
        <f t="shared" si="36"/>
        <v>5231188.9800000004</v>
      </c>
      <c r="P158" s="37">
        <v>0</v>
      </c>
    </row>
    <row r="159" spans="1:16" s="20" customFormat="1" x14ac:dyDescent="0.3">
      <c r="A159" s="20">
        <v>279</v>
      </c>
      <c r="B159" s="7"/>
      <c r="C159" s="8"/>
      <c r="D159" s="21"/>
      <c r="E159" s="24" t="s">
        <v>161</v>
      </c>
      <c r="F159" s="33">
        <f>KANWIL!F159+SURABAYA!F159+KEDIRI!F159+MALANG!F159+MADIUN!F159+BANYUWANGI!F159</f>
        <v>0</v>
      </c>
      <c r="G159" s="33">
        <f>KANWIL!G159+SURABAYA!G159+KEDIRI!G159+MALANG!G159+MADIUN!G159+BANYUWANGI!G159</f>
        <v>0</v>
      </c>
      <c r="H159" s="33">
        <f>KANWIL!H159+SURABAYA!H159+KEDIRI!H159+MALANG!H159+MADIUN!H159+BANYUWANGI!H159</f>
        <v>0</v>
      </c>
      <c r="I159" s="33">
        <f>KANWIL!I159+SURABAYA!I159+KEDIRI!I159+MALANG!I159+MADIUN!I159+BANYUWANGI!I159</f>
        <v>0</v>
      </c>
      <c r="J159" s="33">
        <f>KANWIL!J159+SURABAYA!J159+KEDIRI!J159+MALANG!J159+MADIUN!J159+BANYUWANGI!J159</f>
        <v>0</v>
      </c>
      <c r="K159" s="33">
        <f t="shared" si="35"/>
        <v>0</v>
      </c>
      <c r="L159" s="33">
        <f>KANWIL!L159+SURABAYA!L159+KEDIRI!L159+MALANG!L159+MADIUN!L159+BANYUWANGI!L159</f>
        <v>0</v>
      </c>
      <c r="M159" s="33">
        <f>KANWIL!M159+SURABAYA!M159+KEDIRI!M159+MALANG!M159+MADIUN!M159+BANYUWANGI!M159</f>
        <v>0</v>
      </c>
      <c r="N159" s="33">
        <f>KANWIL!N159+SURABAYA!N159+KEDIRI!N159+MALANG!N159+MADIUN!N159+BANYUWANGI!N159</f>
        <v>0</v>
      </c>
      <c r="O159" s="19">
        <f t="shared" si="36"/>
        <v>0</v>
      </c>
      <c r="P159" s="37">
        <v>0</v>
      </c>
    </row>
    <row r="160" spans="1:16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5258843133</v>
      </c>
      <c r="G160" s="32">
        <f t="shared" ref="G160:K160" si="37">SUM(G145:G159)</f>
        <v>0</v>
      </c>
      <c r="H160" s="32">
        <f t="shared" si="37"/>
        <v>107835120</v>
      </c>
      <c r="I160" s="32">
        <f t="shared" si="37"/>
        <v>138786637</v>
      </c>
      <c r="J160" s="32">
        <f t="shared" si="37"/>
        <v>610662492</v>
      </c>
      <c r="K160" s="32">
        <f t="shared" si="37"/>
        <v>6116127382</v>
      </c>
      <c r="L160" s="32">
        <f t="shared" ref="L160" si="38">SUM(L145:L159)</f>
        <v>3016164055.96</v>
      </c>
      <c r="M160" s="32">
        <f t="shared" ref="M160" si="39">SUM(M145:M159)</f>
        <v>0</v>
      </c>
      <c r="N160" s="32">
        <f t="shared" ref="N160" si="40">SUM(N145:N159)</f>
        <v>1324065742.76</v>
      </c>
      <c r="O160" s="16">
        <f t="shared" ref="O160" si="41">SUM(O145:O159)</f>
        <v>4340229798.7199993</v>
      </c>
      <c r="P160" s="37">
        <f>O160/K160</f>
        <v>0.70963692016838364</v>
      </c>
    </row>
    <row r="161" spans="1:21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9"/>
      <c r="P161" s="19"/>
    </row>
    <row r="162" spans="1:21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67048938600</v>
      </c>
      <c r="G162" s="32">
        <f t="shared" ref="G162:K162" si="42">SUM(G52,G142,G160)</f>
        <v>0</v>
      </c>
      <c r="H162" s="32">
        <f t="shared" si="42"/>
        <v>1374870886</v>
      </c>
      <c r="I162" s="32">
        <f t="shared" si="42"/>
        <v>1769495013</v>
      </c>
      <c r="J162" s="32">
        <f t="shared" si="42"/>
        <v>7785794528</v>
      </c>
      <c r="K162" s="32">
        <f t="shared" si="42"/>
        <v>77979099027</v>
      </c>
      <c r="L162" s="32">
        <f t="shared" ref="L162:M162" si="43">SUM(L52,L142,L160)</f>
        <v>28062734872.910004</v>
      </c>
      <c r="M162" s="32">
        <f t="shared" si="43"/>
        <v>0</v>
      </c>
      <c r="N162" s="32">
        <f t="shared" ref="N162" si="44">SUM(N52,N142,N160)</f>
        <v>12685791764.249998</v>
      </c>
      <c r="O162" s="16">
        <f t="shared" ref="O162" si="45">SUM(O160,O142,O52)</f>
        <v>40748526637.160004</v>
      </c>
      <c r="P162" s="37">
        <f>O162/K162</f>
        <v>0.52255703317437618</v>
      </c>
      <c r="R162" s="67"/>
    </row>
    <row r="163" spans="1:21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9"/>
      <c r="P163" s="19"/>
    </row>
    <row r="164" spans="1:21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32">
        <f>KANWIL!L164+SURABAYA!L164+KEDIRI!L164+MALANG!L164+MADIUN!L164+BANYUWANGI!L164</f>
        <v>3797284.2600000002</v>
      </c>
      <c r="M164" s="32">
        <f>KANWIL!M164+SURABAYA!M164+KEDIRI!M164+MALANG!M164+MADIUN!M164+BANYUWANGI!M164</f>
        <v>0</v>
      </c>
      <c r="N164" s="32">
        <f>KANWIL!N164+SURABAYA!N164+KEDIRI!N164+MALANG!N164+MADIUN!N164+BANYUWANGI!N164</f>
        <v>323169872.35999995</v>
      </c>
      <c r="O164" s="16">
        <f>SUM(L164:N164)</f>
        <v>326967156.61999995</v>
      </c>
      <c r="P164" s="16">
        <v>0</v>
      </c>
    </row>
    <row r="165" spans="1:21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19"/>
    </row>
    <row r="166" spans="1:21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296549258290</v>
      </c>
      <c r="G166" s="32">
        <f t="shared" ref="G166:M166" si="46">G23+G25-G162+G164</f>
        <v>9607420733</v>
      </c>
      <c r="H166" s="32">
        <f t="shared" si="46"/>
        <v>11885511311</v>
      </c>
      <c r="I166" s="32">
        <f t="shared" si="46"/>
        <v>13269773235</v>
      </c>
      <c r="J166" s="32">
        <f t="shared" si="46"/>
        <v>2648224171</v>
      </c>
      <c r="K166" s="32">
        <f t="shared" si="46"/>
        <v>333960187740</v>
      </c>
      <c r="L166" s="32">
        <f t="shared" si="46"/>
        <v>170170398882.07986</v>
      </c>
      <c r="M166" s="32">
        <f t="shared" si="46"/>
        <v>15467701438.469999</v>
      </c>
      <c r="N166" s="32">
        <f>N23+N25-N162+N164</f>
        <v>19429550072.535965</v>
      </c>
      <c r="O166" s="16">
        <f>O23+O25-O162+O164</f>
        <v>205067650393.08591</v>
      </c>
      <c r="P166" s="37">
        <f>O166/K166</f>
        <v>0.61404819472894312</v>
      </c>
      <c r="U166" s="47"/>
    </row>
    <row r="167" spans="1:21" s="7" customFormat="1" x14ac:dyDescent="0.3">
      <c r="C167" s="8"/>
      <c r="D167" s="25"/>
      <c r="E167" s="26"/>
      <c r="F167" s="35">
        <f>KANWIL!F166+SURABAYA!F166+KEDIRI!F166+MALANG!F166+MADIUN!F166+BANYUWANGI!F166</f>
        <v>296549258290</v>
      </c>
      <c r="G167" s="35">
        <f>KANWIL!G166+SURABAYA!G166+KEDIRI!G166+MALANG!G166+MADIUN!G166+BANYUWANGI!G166</f>
        <v>9607420733</v>
      </c>
      <c r="H167" s="35">
        <f>KANWIL!H166+SURABAYA!H166+KEDIRI!H166+MALANG!H166+MADIUN!H166+BANYUWANGI!H166</f>
        <v>11885511311</v>
      </c>
      <c r="I167" s="35">
        <f>KANWIL!I166+SURABAYA!I166+KEDIRI!I166+MALANG!I166+MADIUN!I166+BANYUWANGI!I166</f>
        <v>13269773235</v>
      </c>
      <c r="J167" s="35">
        <f>KANWIL!J166+SURABAYA!J166+KEDIRI!J166+MALANG!J166+MADIUN!J166+BANYUWANGI!J166</f>
        <v>2648224171</v>
      </c>
      <c r="K167" s="35">
        <f>KANWIL!K166+SURABAYA!K166+KEDIRI!K166+MALANG!K166+MADIUN!K166+BANYUWANGI!K166</f>
        <v>333960187740</v>
      </c>
      <c r="L167" s="35">
        <f>KANWIL!L166+SURABAYA!L166+KEDIRI!L166+MALANG!L166+MADIUN!L166+BANYUWANGI!L166</f>
        <v>170170398882.07996</v>
      </c>
      <c r="M167" s="35">
        <f>KANWIL!M166+SURABAYA!M166+KEDIRI!M166+MALANG!M166+MADIUN!M166+BANYUWANGI!M166</f>
        <v>15467701438.469999</v>
      </c>
      <c r="N167" s="35">
        <f>KANWIL!N166+SURABAYA!N166+KEDIRI!N166+MALANG!N166+MADIUN!N166+BANYUWANGI!N166</f>
        <v>19429550072.535969</v>
      </c>
      <c r="O167" s="35">
        <f>KANWIL!O166+SURABAYA!O166+KEDIRI!O166+MALANG!O166+MADIUN!O166+BANYUWANGI!O166</f>
        <v>205067650393.08597</v>
      </c>
    </row>
    <row r="168" spans="1:21" x14ac:dyDescent="0.3">
      <c r="F168" s="34">
        <f>F166-F167</f>
        <v>0</v>
      </c>
      <c r="G168" s="34">
        <f t="shared" ref="G168:K168" si="47">G166-G167</f>
        <v>0</v>
      </c>
      <c r="H168" s="34">
        <f t="shared" si="47"/>
        <v>0</v>
      </c>
      <c r="I168" s="34">
        <f t="shared" si="47"/>
        <v>0</v>
      </c>
      <c r="J168" s="34">
        <f t="shared" si="47"/>
        <v>0</v>
      </c>
      <c r="K168" s="34">
        <f t="shared" si="47"/>
        <v>0</v>
      </c>
      <c r="L168" s="34">
        <f t="shared" ref="L168" si="48">L166-L167</f>
        <v>0</v>
      </c>
      <c r="M168" s="34">
        <f t="shared" ref="M168" si="49">M166-M167</f>
        <v>0</v>
      </c>
      <c r="N168" s="34">
        <f t="shared" ref="N168" si="50">N166-N167</f>
        <v>0</v>
      </c>
      <c r="O168" s="34">
        <f t="shared" ref="O168" si="51">O166-O167</f>
        <v>0</v>
      </c>
      <c r="P168" s="38" t="s">
        <v>166</v>
      </c>
    </row>
    <row r="169" spans="1:21" x14ac:dyDescent="0.3">
      <c r="J169" s="46" t="s">
        <v>167</v>
      </c>
      <c r="K169" s="66">
        <f>K162/K11</f>
        <v>6.3601410295931832E-2</v>
      </c>
      <c r="N169" s="45" t="s">
        <v>167</v>
      </c>
      <c r="O169" s="66">
        <f>O162/O11</f>
        <v>5.4054543222006896E-2</v>
      </c>
      <c r="P169" s="37">
        <f>O169/K169</f>
        <v>0.84989535562962848</v>
      </c>
    </row>
    <row r="172" spans="1:21" x14ac:dyDescent="0.3">
      <c r="K172" s="55"/>
      <c r="O172" s="55"/>
    </row>
    <row r="174" spans="1:21" x14ac:dyDescent="0.3">
      <c r="K174" s="48"/>
    </row>
    <row r="175" spans="1:21" x14ac:dyDescent="0.3">
      <c r="K175" s="52"/>
    </row>
  </sheetData>
  <mergeCells count="3">
    <mergeCell ref="D5:E6"/>
    <mergeCell ref="F5:K5"/>
    <mergeCell ref="L5:O5"/>
  </mergeCells>
  <conditionalFormatting sqref="A1:A1048576">
    <cfRule type="duplicateValues" dxfId="80" priority="26"/>
  </conditionalFormatting>
  <conditionalFormatting sqref="D7:O167">
    <cfRule type="expression" dxfId="79" priority="25">
      <formula>IF(MOD(ROW(),2)=0,TRUE,FALSE)</formula>
    </cfRule>
  </conditionalFormatting>
  <conditionalFormatting sqref="D8:P166 F167:O167">
    <cfRule type="expression" dxfId="78" priority="7">
      <formula>IF($C8="Y2",1,0)</formula>
    </cfRule>
    <cfRule type="expression" dxfId="77" priority="8">
      <formula>IF($C8="X2",1,0)</formula>
    </cfRule>
    <cfRule type="expression" dxfId="76" priority="9">
      <formula>IF($C8="X1",1,0)</formula>
    </cfRule>
  </conditionalFormatting>
  <conditionalFormatting sqref="L166:O166">
    <cfRule type="cellIs" dxfId="75" priority="1" operator="lessThan">
      <formula>0</formula>
    </cfRule>
  </conditionalFormatting>
  <conditionalFormatting sqref="P7:P166">
    <cfRule type="expression" dxfId="74" priority="10">
      <formula>IF(MOD(ROW(),2)=0,TRUE,FALSE)</formula>
    </cfRule>
  </conditionalFormatting>
  <conditionalFormatting sqref="P29:P52 P55:P142 P145:P162">
    <cfRule type="cellIs" dxfId="73" priority="6" operator="greaterThan">
      <formula>1</formula>
    </cfRule>
  </conditionalFormatting>
  <conditionalFormatting sqref="P169">
    <cfRule type="expression" dxfId="72" priority="2">
      <formula>IF($C169="Y2",1,0)</formula>
    </cfRule>
    <cfRule type="expression" dxfId="71" priority="3">
      <formula>IF($C169="X2",1,0)</formula>
    </cfRule>
    <cfRule type="expression" dxfId="70" priority="4">
      <formula>IF($C169="X1",1,0)</formula>
    </cfRule>
    <cfRule type="expression" dxfId="69" priority="5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61B5-38A0-48B0-9B69-EAAE2F1AC873}">
  <sheetPr>
    <tabColor rgb="FFB4D0CB"/>
    <pageSetUpPr fitToPage="1"/>
  </sheetPr>
  <dimension ref="A1:S168"/>
  <sheetViews>
    <sheetView showGridLines="0" tabSelected="1" zoomScale="80" zoomScaleNormal="80" workbookViewId="0">
      <pane xSplit="5" ySplit="6" topLeftCell="F133" activePane="bottomRight" state="frozen"/>
      <selection pane="topRight" activeCell="BA157" sqref="BA157"/>
      <selection pane="bottomLeft" activeCell="BA157" sqref="BA157"/>
      <selection pane="bottomRight" activeCell="Q145" sqref="Q145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57.140625" style="1" customWidth="1"/>
    <col min="6" max="6" width="27.5703125" style="1" bestFit="1" customWidth="1"/>
    <col min="7" max="7" width="10.28515625" style="1" bestFit="1" customWidth="1"/>
    <col min="8" max="10" width="23.5703125" style="1" bestFit="1" customWidth="1"/>
    <col min="11" max="11" width="24.85546875" style="1" bestFit="1" customWidth="1"/>
    <col min="12" max="12" width="23.5703125" style="1" bestFit="1" customWidth="1"/>
    <col min="13" max="13" width="10.28515625" style="1" bestFit="1" customWidth="1"/>
    <col min="14" max="14" width="21" style="1" customWidth="1"/>
    <col min="15" max="15" width="20.85546875" style="3" customWidth="1"/>
    <col min="16" max="16" width="9.7109375" style="36" customWidth="1"/>
    <col min="17" max="18" width="22.28515625" style="1" bestFit="1" customWidth="1"/>
    <col min="19" max="19" width="19.5703125" style="1" bestFit="1" customWidth="1"/>
    <col min="20" max="16384" width="8.85546875" style="1"/>
  </cols>
  <sheetData>
    <row r="1" spans="1:16" x14ac:dyDescent="0.3">
      <c r="D1" s="1" t="s">
        <v>0</v>
      </c>
    </row>
    <row r="2" spans="1:16" x14ac:dyDescent="0.3">
      <c r="D2" s="1" t="s">
        <v>1</v>
      </c>
    </row>
    <row r="4" spans="1:16" s="2" customFormat="1" ht="16.5" hidden="1" customHeight="1" x14ac:dyDescent="0.3">
      <c r="O4" s="4" t="e">
        <f>#REF!</f>
        <v>#REF!</v>
      </c>
      <c r="P4" s="36"/>
    </row>
    <row r="5" spans="1:16" s="5" customFormat="1" ht="33" customHeight="1" x14ac:dyDescent="0.25">
      <c r="C5" s="6"/>
      <c r="D5" s="72" t="s">
        <v>2</v>
      </c>
      <c r="E5" s="72"/>
      <c r="F5" s="74" t="s">
        <v>168</v>
      </c>
      <c r="G5" s="75"/>
      <c r="H5" s="75"/>
      <c r="I5" s="75"/>
      <c r="J5" s="75"/>
      <c r="K5" s="75"/>
      <c r="L5" s="78" t="s">
        <v>169</v>
      </c>
      <c r="M5" s="75"/>
      <c r="N5" s="75"/>
      <c r="O5" s="77"/>
      <c r="P5" s="39" t="s">
        <v>5</v>
      </c>
    </row>
    <row r="6" spans="1:16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16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40"/>
    </row>
    <row r="8" spans="1:16" s="12" customFormat="1" x14ac:dyDescent="0.3">
      <c r="C8" s="13" t="s">
        <v>13</v>
      </c>
      <c r="D8" s="14" t="s">
        <v>14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6">
        <f>SUM(L8:N8)</f>
        <v>0</v>
      </c>
      <c r="P8" s="41">
        <v>0</v>
      </c>
    </row>
    <row r="9" spans="1:16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42"/>
    </row>
    <row r="10" spans="1:16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43"/>
    </row>
    <row r="11" spans="1:16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22"/>
      <c r="G11" s="22"/>
      <c r="H11" s="22"/>
      <c r="I11" s="22"/>
      <c r="J11" s="22"/>
      <c r="K11" s="22"/>
      <c r="L11" s="22"/>
      <c r="M11" s="22"/>
      <c r="N11" s="22"/>
      <c r="O11" s="19">
        <f>SUM(L11:N11)</f>
        <v>0</v>
      </c>
      <c r="P11" s="41">
        <v>0</v>
      </c>
    </row>
    <row r="12" spans="1:16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22"/>
      <c r="G12" s="22"/>
      <c r="H12" s="22"/>
      <c r="I12" s="22"/>
      <c r="J12" s="22"/>
      <c r="K12" s="22"/>
      <c r="L12" s="22"/>
      <c r="M12" s="22"/>
      <c r="N12" s="22"/>
      <c r="O12" s="19">
        <f>SUM(L12:N12)</f>
        <v>0</v>
      </c>
      <c r="P12" s="41">
        <v>0</v>
      </c>
    </row>
    <row r="13" spans="1:16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22"/>
      <c r="G13" s="22"/>
      <c r="H13" s="22"/>
      <c r="I13" s="22"/>
      <c r="J13" s="22"/>
      <c r="K13" s="22"/>
      <c r="L13" s="22"/>
      <c r="M13" s="22"/>
      <c r="N13" s="22"/>
      <c r="O13" s="19">
        <f>SUM(L13:N13)</f>
        <v>0</v>
      </c>
      <c r="P13" s="41">
        <v>0</v>
      </c>
    </row>
    <row r="14" spans="1:16" s="23" customFormat="1" x14ac:dyDescent="0.3">
      <c r="B14" s="12"/>
      <c r="C14" s="13" t="s">
        <v>20</v>
      </c>
      <c r="D14" s="14"/>
      <c r="E14" s="15" t="s">
        <v>21</v>
      </c>
      <c r="F14" s="15"/>
      <c r="G14" s="15"/>
      <c r="H14" s="15"/>
      <c r="I14" s="15"/>
      <c r="J14" s="15"/>
      <c r="K14" s="15"/>
      <c r="L14" s="15"/>
      <c r="M14" s="15"/>
      <c r="N14" s="15"/>
      <c r="O14" s="16">
        <f t="shared" ref="O14" si="0">O11-O12-O13</f>
        <v>0</v>
      </c>
      <c r="P14" s="41">
        <v>0</v>
      </c>
    </row>
    <row r="15" spans="1:16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42"/>
    </row>
    <row r="16" spans="1:16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43"/>
    </row>
    <row r="17" spans="1:16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22"/>
      <c r="G17" s="22"/>
      <c r="H17" s="22"/>
      <c r="I17" s="22"/>
      <c r="J17" s="22"/>
      <c r="K17" s="22"/>
      <c r="L17" s="22"/>
      <c r="M17" s="22"/>
      <c r="N17" s="22"/>
      <c r="O17" s="19">
        <f>SUM(L17:N17)</f>
        <v>0</v>
      </c>
      <c r="P17" s="41">
        <v>0</v>
      </c>
    </row>
    <row r="18" spans="1:16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22"/>
      <c r="G18" s="22"/>
      <c r="H18" s="22"/>
      <c r="I18" s="22"/>
      <c r="J18" s="22"/>
      <c r="K18" s="22"/>
      <c r="L18" s="22"/>
      <c r="M18" s="22"/>
      <c r="N18" s="22"/>
      <c r="O18" s="19">
        <f>SUM(L18:N18)</f>
        <v>0</v>
      </c>
      <c r="P18" s="41">
        <v>0</v>
      </c>
    </row>
    <row r="19" spans="1:16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22"/>
      <c r="G19" s="22"/>
      <c r="H19" s="22"/>
      <c r="I19" s="22"/>
      <c r="J19" s="22"/>
      <c r="K19" s="22"/>
      <c r="L19" s="22"/>
      <c r="M19" s="22"/>
      <c r="N19" s="22"/>
      <c r="O19" s="19">
        <f>SUM(L19:N19)</f>
        <v>0</v>
      </c>
      <c r="P19" s="41">
        <v>0</v>
      </c>
    </row>
    <row r="20" spans="1:16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22"/>
      <c r="G20" s="22"/>
      <c r="H20" s="22"/>
      <c r="I20" s="22"/>
      <c r="J20" s="22"/>
      <c r="K20" s="22"/>
      <c r="L20" s="22"/>
      <c r="M20" s="22"/>
      <c r="N20" s="22"/>
      <c r="O20" s="19">
        <f>SUM(L20:N20)</f>
        <v>0</v>
      </c>
      <c r="P20" s="41">
        <v>0</v>
      </c>
    </row>
    <row r="21" spans="1:16" s="23" customFormat="1" x14ac:dyDescent="0.3">
      <c r="B21" s="12"/>
      <c r="C21" s="13" t="s">
        <v>20</v>
      </c>
      <c r="D21" s="14"/>
      <c r="E21" s="15" t="s">
        <v>28</v>
      </c>
      <c r="F21" s="15"/>
      <c r="G21" s="15"/>
      <c r="H21" s="15"/>
      <c r="I21" s="15"/>
      <c r="J21" s="15"/>
      <c r="K21" s="15"/>
      <c r="L21" s="15"/>
      <c r="M21" s="15"/>
      <c r="N21" s="15"/>
      <c r="O21" s="16">
        <f t="shared" ref="O21" si="1">O17+O18-O19-O20</f>
        <v>0</v>
      </c>
      <c r="P21" s="41">
        <v>0</v>
      </c>
    </row>
    <row r="22" spans="1:16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42"/>
    </row>
    <row r="23" spans="1:16" s="23" customFormat="1" x14ac:dyDescent="0.3">
      <c r="B23" s="12"/>
      <c r="C23" s="13" t="s">
        <v>13</v>
      </c>
      <c r="D23" s="14" t="s">
        <v>29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>
        <f t="shared" ref="O23" si="2">O14-O21</f>
        <v>0</v>
      </c>
      <c r="P23" s="41">
        <v>0</v>
      </c>
    </row>
    <row r="24" spans="1:16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42"/>
    </row>
    <row r="25" spans="1:16" s="23" customFormat="1" x14ac:dyDescent="0.3">
      <c r="B25" s="12">
        <v>19</v>
      </c>
      <c r="C25" s="13" t="s">
        <v>13</v>
      </c>
      <c r="D25" s="14" t="s">
        <v>30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9">
        <v>0</v>
      </c>
      <c r="P25" s="42">
        <v>0</v>
      </c>
    </row>
    <row r="26" spans="1:16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42"/>
    </row>
    <row r="27" spans="1:16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43"/>
    </row>
    <row r="28" spans="1:16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43"/>
    </row>
    <row r="29" spans="1:16" s="20" customFormat="1" x14ac:dyDescent="0.3">
      <c r="A29" s="20">
        <v>94</v>
      </c>
      <c r="B29" s="7"/>
      <c r="C29" s="8"/>
      <c r="D29" s="21"/>
      <c r="E29" s="24" t="s">
        <v>33</v>
      </c>
      <c r="F29" s="31">
        <v>1696793732</v>
      </c>
      <c r="G29" s="31">
        <v>0</v>
      </c>
      <c r="H29" s="31">
        <v>34793575</v>
      </c>
      <c r="I29" s="31">
        <v>44780247</v>
      </c>
      <c r="J29" s="31">
        <v>197033505</v>
      </c>
      <c r="K29" s="31">
        <f>SUM(F29:J29)</f>
        <v>1973401059</v>
      </c>
      <c r="L29" s="31">
        <v>774895270.36000001</v>
      </c>
      <c r="M29" s="31"/>
      <c r="N29" s="31">
        <v>340370165.67000002</v>
      </c>
      <c r="O29" s="19">
        <f>SUM(L29:N29)</f>
        <v>1115265436.03</v>
      </c>
      <c r="P29" s="41">
        <f t="shared" ref="P29:P34" si="3">O29/K29</f>
        <v>0.56514889912704758</v>
      </c>
    </row>
    <row r="30" spans="1:16" s="20" customFormat="1" x14ac:dyDescent="0.3">
      <c r="A30" s="20">
        <v>95</v>
      </c>
      <c r="B30" s="7"/>
      <c r="C30" s="8"/>
      <c r="D30" s="21"/>
      <c r="E30" s="24" t="s">
        <v>34</v>
      </c>
      <c r="F30" s="31">
        <v>43007556</v>
      </c>
      <c r="G30" s="31">
        <v>0</v>
      </c>
      <c r="H30" s="31">
        <v>881891</v>
      </c>
      <c r="I30" s="31">
        <v>1135017</v>
      </c>
      <c r="J30" s="31">
        <v>4994083</v>
      </c>
      <c r="K30" s="31">
        <f t="shared" ref="K30:K51" si="4">SUM(F30:J30)</f>
        <v>50018547</v>
      </c>
      <c r="L30" s="31">
        <v>16581526.699999999</v>
      </c>
      <c r="M30" s="31"/>
      <c r="N30" s="31">
        <v>6183014.2999999989</v>
      </c>
      <c r="O30" s="19">
        <f t="shared" ref="O30:O51" si="5">SUM(L30:N30)</f>
        <v>22764541</v>
      </c>
      <c r="P30" s="41">
        <f t="shared" si="3"/>
        <v>0.45512199704641559</v>
      </c>
    </row>
    <row r="31" spans="1:16" s="20" customFormat="1" x14ac:dyDescent="0.3">
      <c r="A31" s="20">
        <v>96</v>
      </c>
      <c r="B31" s="7"/>
      <c r="C31" s="8"/>
      <c r="D31" s="21"/>
      <c r="E31" s="24" t="s">
        <v>35</v>
      </c>
      <c r="F31" s="31">
        <v>180463354</v>
      </c>
      <c r="G31" s="31">
        <v>0</v>
      </c>
      <c r="H31" s="31">
        <v>3700488</v>
      </c>
      <c r="I31" s="31">
        <v>4762626</v>
      </c>
      <c r="J31" s="31">
        <v>20955598</v>
      </c>
      <c r="K31" s="31">
        <f t="shared" si="4"/>
        <v>209882066</v>
      </c>
      <c r="L31" s="31">
        <v>6418318.7999999998</v>
      </c>
      <c r="M31" s="31"/>
      <c r="N31" s="31">
        <v>2790681.1999999997</v>
      </c>
      <c r="O31" s="19">
        <f t="shared" si="5"/>
        <v>9209000</v>
      </c>
      <c r="P31" s="41">
        <f t="shared" si="3"/>
        <v>4.3877021869986738E-2</v>
      </c>
    </row>
    <row r="32" spans="1:16" s="20" customFormat="1" x14ac:dyDescent="0.3">
      <c r="A32" s="20">
        <v>97</v>
      </c>
      <c r="B32" s="7"/>
      <c r="C32" s="8"/>
      <c r="D32" s="21"/>
      <c r="E32" s="24" t="s">
        <v>36</v>
      </c>
      <c r="F32" s="31">
        <v>8268054</v>
      </c>
      <c r="G32" s="31">
        <v>0</v>
      </c>
      <c r="H32" s="31">
        <v>169540</v>
      </c>
      <c r="I32" s="31">
        <v>218203</v>
      </c>
      <c r="J32" s="31">
        <v>960095</v>
      </c>
      <c r="K32" s="31">
        <f t="shared" si="4"/>
        <v>9615892</v>
      </c>
      <c r="L32" s="31">
        <v>0</v>
      </c>
      <c r="M32" s="31"/>
      <c r="N32" s="31">
        <v>0</v>
      </c>
      <c r="O32" s="19">
        <f t="shared" si="5"/>
        <v>0</v>
      </c>
      <c r="P32" s="41">
        <f t="shared" si="3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1">
        <v>131045331</v>
      </c>
      <c r="G33" s="31">
        <v>0</v>
      </c>
      <c r="H33" s="31">
        <v>2687148</v>
      </c>
      <c r="I33" s="31">
        <v>3458430</v>
      </c>
      <c r="J33" s="31">
        <v>15217124</v>
      </c>
      <c r="K33" s="31">
        <f t="shared" si="4"/>
        <v>152408033</v>
      </c>
      <c r="L33" s="31">
        <v>0</v>
      </c>
      <c r="M33" s="31"/>
      <c r="N33" s="31">
        <v>0</v>
      </c>
      <c r="O33" s="19">
        <f t="shared" si="5"/>
        <v>0</v>
      </c>
      <c r="P33" s="41">
        <f t="shared" si="3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1">
        <v>2154273121</v>
      </c>
      <c r="G34" s="31">
        <v>0</v>
      </c>
      <c r="H34" s="31">
        <v>44174411</v>
      </c>
      <c r="I34" s="31">
        <v>56853630</v>
      </c>
      <c r="J34" s="31">
        <v>250156501</v>
      </c>
      <c r="K34" s="31">
        <f t="shared" si="4"/>
        <v>2505457663</v>
      </c>
      <c r="L34" s="31">
        <v>999438749.09000003</v>
      </c>
      <c r="M34" s="31"/>
      <c r="N34" s="31">
        <v>438887177.38999999</v>
      </c>
      <c r="O34" s="19">
        <f t="shared" si="5"/>
        <v>1438325926.48</v>
      </c>
      <c r="P34" s="41">
        <f t="shared" si="3"/>
        <v>0.57407712280309242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f t="shared" si="4"/>
        <v>0</v>
      </c>
      <c r="L35" s="31">
        <v>0</v>
      </c>
      <c r="M35" s="31"/>
      <c r="N35" s="31">
        <v>0</v>
      </c>
      <c r="O35" s="19">
        <f t="shared" si="5"/>
        <v>0</v>
      </c>
      <c r="P35" s="41">
        <v>0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f t="shared" si="4"/>
        <v>0</v>
      </c>
      <c r="L36" s="31">
        <v>0</v>
      </c>
      <c r="M36" s="31"/>
      <c r="N36" s="31">
        <v>0</v>
      </c>
      <c r="O36" s="19">
        <f t="shared" si="5"/>
        <v>0</v>
      </c>
      <c r="P36" s="41">
        <v>0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1">
        <v>198153866</v>
      </c>
      <c r="G37" s="31">
        <v>0</v>
      </c>
      <c r="H37" s="31">
        <v>4063241</v>
      </c>
      <c r="I37" s="31">
        <v>5229498</v>
      </c>
      <c r="J37" s="31">
        <v>23009839</v>
      </c>
      <c r="K37" s="31">
        <f t="shared" si="4"/>
        <v>230456444</v>
      </c>
      <c r="L37" s="31">
        <v>0</v>
      </c>
      <c r="M37" s="31"/>
      <c r="N37" s="31">
        <v>0</v>
      </c>
      <c r="O37" s="19">
        <f t="shared" si="5"/>
        <v>0</v>
      </c>
      <c r="P37" s="41">
        <f t="shared" ref="P37:P49" si="6">O37/K37</f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1">
        <v>50291539</v>
      </c>
      <c r="G38" s="31">
        <v>0</v>
      </c>
      <c r="H38" s="31">
        <v>1031252</v>
      </c>
      <c r="I38" s="31">
        <v>1327249</v>
      </c>
      <c r="J38" s="31">
        <v>5839908</v>
      </c>
      <c r="K38" s="31">
        <f t="shared" si="4"/>
        <v>58489948</v>
      </c>
      <c r="L38" s="31">
        <v>0</v>
      </c>
      <c r="M38" s="31"/>
      <c r="N38" s="31">
        <v>0</v>
      </c>
      <c r="O38" s="19">
        <f t="shared" si="5"/>
        <v>0</v>
      </c>
      <c r="P38" s="41">
        <f t="shared" si="6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1">
        <v>71343529</v>
      </c>
      <c r="G39" s="31">
        <v>0</v>
      </c>
      <c r="H39" s="31">
        <v>1462934</v>
      </c>
      <c r="I39" s="31">
        <v>1882834</v>
      </c>
      <c r="J39" s="31">
        <v>8284487</v>
      </c>
      <c r="K39" s="31">
        <f t="shared" si="4"/>
        <v>82973784</v>
      </c>
      <c r="L39" s="31">
        <v>0</v>
      </c>
      <c r="M39" s="31"/>
      <c r="N39" s="31">
        <v>0</v>
      </c>
      <c r="O39" s="19">
        <f t="shared" si="5"/>
        <v>0</v>
      </c>
      <c r="P39" s="41">
        <f t="shared" si="6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1">
        <v>10354282</v>
      </c>
      <c r="G40" s="31">
        <v>0</v>
      </c>
      <c r="H40" s="31">
        <v>212320</v>
      </c>
      <c r="I40" s="31">
        <v>273261</v>
      </c>
      <c r="J40" s="31">
        <v>1202350</v>
      </c>
      <c r="K40" s="31">
        <f t="shared" si="4"/>
        <v>12042213</v>
      </c>
      <c r="L40" s="31">
        <v>0</v>
      </c>
      <c r="M40" s="31"/>
      <c r="N40" s="31">
        <v>0</v>
      </c>
      <c r="O40" s="19">
        <f t="shared" si="5"/>
        <v>0</v>
      </c>
      <c r="P40" s="41">
        <f t="shared" si="6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1">
        <v>23991631</v>
      </c>
      <c r="G41" s="31">
        <v>0</v>
      </c>
      <c r="H41" s="31">
        <v>491960</v>
      </c>
      <c r="I41" s="31">
        <v>633165</v>
      </c>
      <c r="J41" s="31">
        <v>2785934</v>
      </c>
      <c r="K41" s="31">
        <f t="shared" si="4"/>
        <v>27902690</v>
      </c>
      <c r="L41" s="31">
        <v>0</v>
      </c>
      <c r="M41" s="31"/>
      <c r="N41" s="31">
        <v>0</v>
      </c>
      <c r="O41" s="19">
        <f t="shared" si="5"/>
        <v>0</v>
      </c>
      <c r="P41" s="41">
        <f t="shared" si="6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1">
        <v>401073878</v>
      </c>
      <c r="G42" s="31">
        <v>0</v>
      </c>
      <c r="H42" s="31">
        <v>8224214</v>
      </c>
      <c r="I42" s="31">
        <v>10584779</v>
      </c>
      <c r="J42" s="31">
        <v>46573128</v>
      </c>
      <c r="K42" s="31">
        <f t="shared" si="4"/>
        <v>466455999</v>
      </c>
      <c r="L42" s="31">
        <v>301878701.35000002</v>
      </c>
      <c r="M42" s="31"/>
      <c r="N42" s="31">
        <v>138070826.95999998</v>
      </c>
      <c r="O42" s="19">
        <f t="shared" si="5"/>
        <v>439949528.31</v>
      </c>
      <c r="P42" s="41">
        <f t="shared" si="6"/>
        <v>0.94317476729461036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1">
        <v>976585</v>
      </c>
      <c r="G43" s="31">
        <v>0</v>
      </c>
      <c r="H43" s="31">
        <v>20025</v>
      </c>
      <c r="I43" s="31">
        <v>25773</v>
      </c>
      <c r="J43" s="31">
        <v>113402</v>
      </c>
      <c r="K43" s="31">
        <f t="shared" si="4"/>
        <v>1135785</v>
      </c>
      <c r="L43" s="31">
        <v>0</v>
      </c>
      <c r="M43" s="31"/>
      <c r="N43" s="31">
        <v>0</v>
      </c>
      <c r="O43" s="19">
        <f t="shared" si="5"/>
        <v>0</v>
      </c>
      <c r="P43" s="41">
        <f t="shared" si="6"/>
        <v>0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1">
        <v>102363826</v>
      </c>
      <c r="G44" s="31">
        <v>0</v>
      </c>
      <c r="H44" s="31">
        <v>2099020</v>
      </c>
      <c r="I44" s="31">
        <v>2701494</v>
      </c>
      <c r="J44" s="31">
        <v>11886597</v>
      </c>
      <c r="K44" s="31">
        <f t="shared" si="4"/>
        <v>119050937</v>
      </c>
      <c r="L44" s="31">
        <v>33038265</v>
      </c>
      <c r="M44" s="31"/>
      <c r="N44" s="31">
        <v>14511734.999999998</v>
      </c>
      <c r="O44" s="19">
        <f t="shared" si="5"/>
        <v>47550000</v>
      </c>
      <c r="P44" s="41">
        <f t="shared" si="6"/>
        <v>0.3994088681553174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1">
        <v>990927668</v>
      </c>
      <c r="G45" s="31">
        <v>0</v>
      </c>
      <c r="H45" s="31">
        <v>20319450</v>
      </c>
      <c r="I45" s="31">
        <v>26151667</v>
      </c>
      <c r="J45" s="31">
        <v>115067581</v>
      </c>
      <c r="K45" s="31">
        <f t="shared" si="4"/>
        <v>1152466366</v>
      </c>
      <c r="L45" s="31">
        <v>490167948.10000002</v>
      </c>
      <c r="M45" s="31"/>
      <c r="N45" s="31">
        <v>215365384.89999998</v>
      </c>
      <c r="O45" s="19">
        <f t="shared" si="5"/>
        <v>705533333</v>
      </c>
      <c r="P45" s="41">
        <f t="shared" si="6"/>
        <v>0.61219429374653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1">
        <v>16470226</v>
      </c>
      <c r="G46" s="31">
        <v>0</v>
      </c>
      <c r="H46" s="31">
        <v>337730</v>
      </c>
      <c r="I46" s="31">
        <v>434667</v>
      </c>
      <c r="J46" s="31">
        <v>1912540</v>
      </c>
      <c r="K46" s="31">
        <f t="shared" si="4"/>
        <v>19155163</v>
      </c>
      <c r="L46" s="31">
        <v>0</v>
      </c>
      <c r="M46" s="31"/>
      <c r="N46" s="31">
        <v>0</v>
      </c>
      <c r="O46" s="19">
        <f t="shared" si="5"/>
        <v>0</v>
      </c>
      <c r="P46" s="41">
        <f t="shared" si="6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1">
        <v>158022668</v>
      </c>
      <c r="G47" s="31">
        <v>0</v>
      </c>
      <c r="H47" s="31">
        <v>3240331</v>
      </c>
      <c r="I47" s="31">
        <v>4170391</v>
      </c>
      <c r="J47" s="31">
        <v>18349762</v>
      </c>
      <c r="K47" s="31">
        <f t="shared" si="4"/>
        <v>183783152</v>
      </c>
      <c r="L47" s="31">
        <v>0</v>
      </c>
      <c r="M47" s="31"/>
      <c r="N47" s="31">
        <v>0</v>
      </c>
      <c r="O47" s="19">
        <f t="shared" si="5"/>
        <v>0</v>
      </c>
      <c r="P47" s="41">
        <f t="shared" si="6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1">
        <v>284009877</v>
      </c>
      <c r="G48" s="31">
        <v>0</v>
      </c>
      <c r="H48" s="31">
        <v>5823760</v>
      </c>
      <c r="I48" s="31">
        <v>7495332</v>
      </c>
      <c r="J48" s="31">
        <v>32979531</v>
      </c>
      <c r="K48" s="31">
        <f t="shared" si="4"/>
        <v>330308500</v>
      </c>
      <c r="L48" s="31">
        <v>82541295</v>
      </c>
      <c r="M48" s="31"/>
      <c r="N48" s="31">
        <v>35528705</v>
      </c>
      <c r="O48" s="19">
        <f t="shared" si="5"/>
        <v>118070000</v>
      </c>
      <c r="P48" s="41">
        <f t="shared" si="6"/>
        <v>0.3574537137251993</v>
      </c>
    </row>
    <row r="49" spans="1:18" s="20" customFormat="1" x14ac:dyDescent="0.3">
      <c r="A49" s="20">
        <v>124</v>
      </c>
      <c r="B49" s="7"/>
      <c r="C49" s="8"/>
      <c r="D49" s="21"/>
      <c r="E49" s="24" t="s">
        <v>53</v>
      </c>
      <c r="F49" s="31">
        <v>56223859</v>
      </c>
      <c r="G49" s="31">
        <v>0</v>
      </c>
      <c r="H49" s="31">
        <v>1152897</v>
      </c>
      <c r="I49" s="31">
        <v>1483809</v>
      </c>
      <c r="J49" s="31">
        <v>6528775</v>
      </c>
      <c r="K49" s="31">
        <f t="shared" si="4"/>
        <v>65389340</v>
      </c>
      <c r="L49" s="31">
        <v>0</v>
      </c>
      <c r="M49" s="31"/>
      <c r="N49" s="31">
        <v>0</v>
      </c>
      <c r="O49" s="19">
        <f t="shared" si="5"/>
        <v>0</v>
      </c>
      <c r="P49" s="41">
        <f t="shared" si="6"/>
        <v>0</v>
      </c>
    </row>
    <row r="50" spans="1:18" s="20" customFormat="1" x14ac:dyDescent="0.3">
      <c r="A50" s="20">
        <v>143</v>
      </c>
      <c r="B50" s="7"/>
      <c r="C50" s="8"/>
      <c r="D50" s="21"/>
      <c r="E50" s="24" t="s">
        <v>54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f t="shared" si="4"/>
        <v>0</v>
      </c>
      <c r="L50" s="31">
        <v>0</v>
      </c>
      <c r="M50" s="31"/>
      <c r="N50" s="31">
        <v>0</v>
      </c>
      <c r="O50" s="19">
        <f t="shared" si="5"/>
        <v>0</v>
      </c>
      <c r="P50" s="41">
        <v>0</v>
      </c>
    </row>
    <row r="51" spans="1:18" s="20" customFormat="1" x14ac:dyDescent="0.3">
      <c r="A51" s="20">
        <v>0</v>
      </c>
      <c r="B51" s="7"/>
      <c r="C51" s="8"/>
      <c r="D51" s="21"/>
      <c r="E51" s="24" t="s">
        <v>55</v>
      </c>
      <c r="F51" s="31">
        <v>91501256</v>
      </c>
      <c r="G51" s="31">
        <v>0</v>
      </c>
      <c r="H51" s="31">
        <v>1876277</v>
      </c>
      <c r="I51" s="31">
        <v>2414818</v>
      </c>
      <c r="J51" s="31">
        <v>10625224</v>
      </c>
      <c r="K51" s="31">
        <f t="shared" si="4"/>
        <v>106417575</v>
      </c>
      <c r="L51" s="31">
        <v>71207806.900000006</v>
      </c>
      <c r="M51" s="31"/>
      <c r="N51" s="31">
        <v>31558860.099999998</v>
      </c>
      <c r="O51" s="19">
        <f t="shared" si="5"/>
        <v>102766667</v>
      </c>
      <c r="P51" s="41">
        <f>O51/K51</f>
        <v>0.96569262173094994</v>
      </c>
    </row>
    <row r="52" spans="1:18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6669555838</v>
      </c>
      <c r="G52" s="32">
        <f t="shared" ref="G52:K52" si="7">SUM(G29:G51)</f>
        <v>0</v>
      </c>
      <c r="H52" s="32">
        <f t="shared" si="7"/>
        <v>136762464</v>
      </c>
      <c r="I52" s="32">
        <f t="shared" si="7"/>
        <v>176016890</v>
      </c>
      <c r="J52" s="32">
        <f t="shared" si="7"/>
        <v>774475964</v>
      </c>
      <c r="K52" s="32">
        <f t="shared" si="7"/>
        <v>7756811156</v>
      </c>
      <c r="L52" s="32">
        <f t="shared" ref="L52" si="8">SUM(L29:L51)</f>
        <v>2776167881.3000002</v>
      </c>
      <c r="M52" s="32">
        <f t="shared" ref="M52" si="9">SUM(M29:M51)</f>
        <v>0</v>
      </c>
      <c r="N52" s="32">
        <f t="shared" ref="N52" si="10">SUM(N29:N51)</f>
        <v>1223266550.52</v>
      </c>
      <c r="O52" s="16">
        <f t="shared" ref="O52" si="11">SUM(O29:O51)</f>
        <v>3999434431.8200002</v>
      </c>
      <c r="P52" s="41">
        <f>O52/K52</f>
        <v>0.51560291354087984</v>
      </c>
      <c r="R52" s="47"/>
    </row>
    <row r="53" spans="1:18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42"/>
    </row>
    <row r="54" spans="1:18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42"/>
    </row>
    <row r="55" spans="1:18" s="20" customFormat="1" x14ac:dyDescent="0.3">
      <c r="A55" s="20">
        <v>169</v>
      </c>
      <c r="B55" s="7"/>
      <c r="C55" s="8"/>
      <c r="D55" s="21"/>
      <c r="E55" s="24" t="s">
        <v>58</v>
      </c>
      <c r="F55" s="31">
        <v>436599</v>
      </c>
      <c r="G55" s="31">
        <v>0</v>
      </c>
      <c r="H55" s="31">
        <v>8953</v>
      </c>
      <c r="I55" s="31">
        <v>11522</v>
      </c>
      <c r="J55" s="31">
        <v>50698</v>
      </c>
      <c r="K55" s="31">
        <f t="shared" ref="K55:K118" si="12">SUM(F55:J55)</f>
        <v>507772</v>
      </c>
      <c r="L55" s="31">
        <v>0</v>
      </c>
      <c r="M55" s="31"/>
      <c r="N55" s="31">
        <v>0</v>
      </c>
      <c r="O55" s="19">
        <f>SUM(L55:N55)</f>
        <v>0</v>
      </c>
      <c r="P55" s="41">
        <f>O55/K55</f>
        <v>0</v>
      </c>
    </row>
    <row r="56" spans="1:18" s="20" customFormat="1" x14ac:dyDescent="0.3">
      <c r="A56" s="20">
        <v>171</v>
      </c>
      <c r="B56" s="7"/>
      <c r="C56" s="8"/>
      <c r="D56" s="21"/>
      <c r="E56" s="24" t="s">
        <v>59</v>
      </c>
      <c r="F56" s="31">
        <v>8349505</v>
      </c>
      <c r="G56" s="31">
        <v>0</v>
      </c>
      <c r="H56" s="31">
        <v>171211</v>
      </c>
      <c r="I56" s="31">
        <v>220353</v>
      </c>
      <c r="J56" s="31">
        <v>969554</v>
      </c>
      <c r="K56" s="31">
        <f t="shared" si="12"/>
        <v>9710623</v>
      </c>
      <c r="L56" s="31">
        <v>0</v>
      </c>
      <c r="M56" s="31"/>
      <c r="N56" s="31">
        <v>0</v>
      </c>
      <c r="O56" s="19">
        <f t="shared" ref="O56:O119" si="13">SUM(L56:N56)</f>
        <v>0</v>
      </c>
      <c r="P56" s="41">
        <f>O56/K56</f>
        <v>0</v>
      </c>
    </row>
    <row r="57" spans="1:18" s="20" customFormat="1" x14ac:dyDescent="0.3">
      <c r="A57" s="20">
        <v>175</v>
      </c>
      <c r="B57" s="7"/>
      <c r="C57" s="8"/>
      <c r="D57" s="21"/>
      <c r="E57" s="24" t="s">
        <v>60</v>
      </c>
      <c r="F57" s="31">
        <v>2646050</v>
      </c>
      <c r="G57" s="31">
        <v>0</v>
      </c>
      <c r="H57" s="31">
        <v>54259</v>
      </c>
      <c r="I57" s="31">
        <v>69832</v>
      </c>
      <c r="J57" s="31">
        <v>307262</v>
      </c>
      <c r="K57" s="31">
        <f t="shared" si="12"/>
        <v>3077403</v>
      </c>
      <c r="L57" s="31">
        <v>0</v>
      </c>
      <c r="M57" s="31"/>
      <c r="N57" s="31">
        <v>0</v>
      </c>
      <c r="O57" s="19">
        <f t="shared" si="13"/>
        <v>0</v>
      </c>
      <c r="P57" s="41">
        <f>O57/K57</f>
        <v>0</v>
      </c>
    </row>
    <row r="58" spans="1:18" s="20" customFormat="1" x14ac:dyDescent="0.3">
      <c r="A58" s="20">
        <v>176</v>
      </c>
      <c r="B58" s="7"/>
      <c r="C58" s="8"/>
      <c r="D58" s="21"/>
      <c r="E58" s="24" t="s">
        <v>61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f t="shared" si="12"/>
        <v>0</v>
      </c>
      <c r="L58" s="31">
        <v>0</v>
      </c>
      <c r="M58" s="31"/>
      <c r="N58" s="31">
        <v>0</v>
      </c>
      <c r="O58" s="19">
        <f t="shared" si="13"/>
        <v>0</v>
      </c>
      <c r="P58" s="41">
        <v>0</v>
      </c>
    </row>
    <row r="59" spans="1:18" s="20" customFormat="1" x14ac:dyDescent="0.3">
      <c r="A59" s="20">
        <v>177</v>
      </c>
      <c r="B59" s="7"/>
      <c r="C59" s="8"/>
      <c r="D59" s="21"/>
      <c r="E59" s="24" t="s">
        <v>62</v>
      </c>
      <c r="F59" s="31">
        <v>1891926</v>
      </c>
      <c r="G59" s="31">
        <v>0</v>
      </c>
      <c r="H59" s="31">
        <v>38795</v>
      </c>
      <c r="I59" s="31">
        <v>49930</v>
      </c>
      <c r="J59" s="31">
        <v>219692</v>
      </c>
      <c r="K59" s="31">
        <f t="shared" si="12"/>
        <v>2200343</v>
      </c>
      <c r="L59" s="31">
        <v>2743895</v>
      </c>
      <c r="M59" s="31"/>
      <c r="N59" s="31">
        <v>1106105</v>
      </c>
      <c r="O59" s="19">
        <f t="shared" si="13"/>
        <v>3850000</v>
      </c>
      <c r="P59" s="41">
        <f>O59/K59</f>
        <v>1.7497272016226562</v>
      </c>
    </row>
    <row r="60" spans="1:18" s="20" customFormat="1" x14ac:dyDescent="0.3">
      <c r="A60" s="20">
        <v>179</v>
      </c>
      <c r="B60" s="7"/>
      <c r="C60" s="8"/>
      <c r="D60" s="21"/>
      <c r="E60" s="24" t="s">
        <v>63</v>
      </c>
      <c r="F60" s="31">
        <v>160466865</v>
      </c>
      <c r="G60" s="31">
        <v>0</v>
      </c>
      <c r="H60" s="31">
        <v>3290451</v>
      </c>
      <c r="I60" s="31">
        <v>4234897</v>
      </c>
      <c r="J60" s="31">
        <v>18633584</v>
      </c>
      <c r="K60" s="31">
        <f t="shared" si="12"/>
        <v>186625797</v>
      </c>
      <c r="L60" s="31">
        <v>79688525.730000004</v>
      </c>
      <c r="M60" s="31"/>
      <c r="N60" s="31">
        <v>34301473.269999996</v>
      </c>
      <c r="O60" s="19">
        <f t="shared" si="13"/>
        <v>113989999</v>
      </c>
      <c r="P60" s="41">
        <f>O60/K60</f>
        <v>0.61079443909889908</v>
      </c>
    </row>
    <row r="61" spans="1:18" s="20" customFormat="1" x14ac:dyDescent="0.3">
      <c r="A61" s="20">
        <v>180</v>
      </c>
      <c r="B61" s="7"/>
      <c r="C61" s="8"/>
      <c r="D61" s="21"/>
      <c r="E61" s="24" t="s">
        <v>64</v>
      </c>
      <c r="F61" s="31">
        <v>20213798</v>
      </c>
      <c r="G61" s="31">
        <v>0</v>
      </c>
      <c r="H61" s="31">
        <v>414494</v>
      </c>
      <c r="I61" s="31">
        <v>533464</v>
      </c>
      <c r="J61" s="31">
        <v>2347248</v>
      </c>
      <c r="K61" s="31">
        <f t="shared" si="12"/>
        <v>23509004</v>
      </c>
      <c r="L61" s="31">
        <v>11091975.85</v>
      </c>
      <c r="M61" s="31"/>
      <c r="N61" s="31">
        <v>4898997.1499999994</v>
      </c>
      <c r="O61" s="19">
        <f t="shared" si="13"/>
        <v>15990973</v>
      </c>
      <c r="P61" s="41">
        <f>O61/K61</f>
        <v>0.68020631584392088</v>
      </c>
    </row>
    <row r="62" spans="1:18" s="20" customFormat="1" x14ac:dyDescent="0.3">
      <c r="A62" s="20">
        <v>181</v>
      </c>
      <c r="B62" s="7"/>
      <c r="C62" s="8"/>
      <c r="D62" s="21"/>
      <c r="E62" s="24" t="s">
        <v>65</v>
      </c>
      <c r="F62" s="31">
        <v>603905918</v>
      </c>
      <c r="G62" s="31">
        <v>0</v>
      </c>
      <c r="H62" s="31">
        <v>12383383</v>
      </c>
      <c r="I62" s="31">
        <v>15937739</v>
      </c>
      <c r="J62" s="31">
        <v>70126202</v>
      </c>
      <c r="K62" s="31">
        <f t="shared" si="12"/>
        <v>702353242</v>
      </c>
      <c r="L62" s="31">
        <v>261260159.59999999</v>
      </c>
      <c r="M62" s="31"/>
      <c r="N62" s="31">
        <v>119746879.40999998</v>
      </c>
      <c r="O62" s="19">
        <f t="shared" si="13"/>
        <v>381007039.00999999</v>
      </c>
      <c r="P62" s="41">
        <f>O62/K62</f>
        <v>0.54247210125357403</v>
      </c>
      <c r="R62" s="51"/>
    </row>
    <row r="63" spans="1:18" s="20" customFormat="1" x14ac:dyDescent="0.3">
      <c r="A63" s="20">
        <v>134</v>
      </c>
      <c r="B63" s="7"/>
      <c r="C63" s="8"/>
      <c r="D63" s="21"/>
      <c r="E63" s="24" t="s">
        <v>66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f t="shared" si="12"/>
        <v>0</v>
      </c>
      <c r="L63" s="31">
        <v>0</v>
      </c>
      <c r="M63" s="31"/>
      <c r="N63" s="31">
        <v>0</v>
      </c>
      <c r="O63" s="19">
        <f t="shared" si="13"/>
        <v>0</v>
      </c>
      <c r="P63" s="41">
        <v>0</v>
      </c>
    </row>
    <row r="64" spans="1:18" s="20" customFormat="1" x14ac:dyDescent="0.3">
      <c r="A64" s="20">
        <v>132</v>
      </c>
      <c r="B64" s="7"/>
      <c r="C64" s="8"/>
      <c r="D64" s="21"/>
      <c r="E64" s="24" t="s">
        <v>67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f t="shared" si="12"/>
        <v>0</v>
      </c>
      <c r="L64" s="31">
        <v>0</v>
      </c>
      <c r="M64" s="31"/>
      <c r="N64" s="31">
        <v>0</v>
      </c>
      <c r="O64" s="19">
        <f t="shared" si="13"/>
        <v>0</v>
      </c>
      <c r="P64" s="41">
        <v>0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f t="shared" si="12"/>
        <v>0</v>
      </c>
      <c r="L65" s="31">
        <v>0</v>
      </c>
      <c r="M65" s="31"/>
      <c r="N65" s="31">
        <v>0</v>
      </c>
      <c r="O65" s="19">
        <f t="shared" si="13"/>
        <v>0</v>
      </c>
      <c r="P65" s="41">
        <v>0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1">
        <f t="shared" si="12"/>
        <v>0</v>
      </c>
      <c r="L66" s="31">
        <v>0</v>
      </c>
      <c r="M66" s="31"/>
      <c r="N66" s="31">
        <v>0</v>
      </c>
      <c r="O66" s="19">
        <f t="shared" si="13"/>
        <v>0</v>
      </c>
      <c r="P66" s="41">
        <v>0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f t="shared" si="12"/>
        <v>0</v>
      </c>
      <c r="L67" s="31">
        <v>0</v>
      </c>
      <c r="M67" s="31"/>
      <c r="N67" s="31">
        <v>0</v>
      </c>
      <c r="O67" s="19">
        <f t="shared" si="13"/>
        <v>0</v>
      </c>
      <c r="P67" s="41">
        <v>0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1">
        <f t="shared" si="12"/>
        <v>0</v>
      </c>
      <c r="L68" s="31">
        <v>0</v>
      </c>
      <c r="M68" s="31"/>
      <c r="N68" s="31">
        <v>0</v>
      </c>
      <c r="O68" s="19">
        <f t="shared" si="13"/>
        <v>0</v>
      </c>
      <c r="P68" s="41">
        <v>0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f t="shared" si="12"/>
        <v>0</v>
      </c>
      <c r="L69" s="31">
        <v>0</v>
      </c>
      <c r="M69" s="31"/>
      <c r="N69" s="31">
        <v>0</v>
      </c>
      <c r="O69" s="19">
        <f t="shared" si="13"/>
        <v>0</v>
      </c>
      <c r="P69" s="41">
        <v>0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1">
        <v>176610280</v>
      </c>
      <c r="G70" s="31">
        <v>0</v>
      </c>
      <c r="H70" s="31">
        <v>3621479</v>
      </c>
      <c r="I70" s="31">
        <v>4660939</v>
      </c>
      <c r="J70" s="31">
        <v>20508175</v>
      </c>
      <c r="K70" s="31">
        <f t="shared" si="12"/>
        <v>205400873</v>
      </c>
      <c r="L70" s="31">
        <v>51405378.159999996</v>
      </c>
      <c r="M70" s="31"/>
      <c r="N70" s="31">
        <v>21565008.849999998</v>
      </c>
      <c r="O70" s="19">
        <f t="shared" si="13"/>
        <v>72970387.00999999</v>
      </c>
      <c r="P70" s="41">
        <f>O70/K70</f>
        <v>0.35525840734863862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1">
        <v>16646089</v>
      </c>
      <c r="G71" s="31">
        <v>0</v>
      </c>
      <c r="H71" s="31">
        <v>341336</v>
      </c>
      <c r="I71" s="31">
        <v>439308</v>
      </c>
      <c r="J71" s="31">
        <v>1932961</v>
      </c>
      <c r="K71" s="31">
        <f t="shared" si="12"/>
        <v>19359694</v>
      </c>
      <c r="L71" s="31">
        <v>25548474.32</v>
      </c>
      <c r="M71" s="31"/>
      <c r="N71" s="31">
        <v>11101649.679999998</v>
      </c>
      <c r="O71" s="19">
        <f t="shared" si="13"/>
        <v>36650124</v>
      </c>
      <c r="P71" s="41">
        <f>O71/K71</f>
        <v>1.8931148395217403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1">
        <v>93731762</v>
      </c>
      <c r="G72" s="31">
        <v>0</v>
      </c>
      <c r="H72" s="31">
        <v>1922015</v>
      </c>
      <c r="I72" s="31">
        <v>2473684</v>
      </c>
      <c r="J72" s="31">
        <v>10884233</v>
      </c>
      <c r="K72" s="31">
        <f t="shared" si="12"/>
        <v>109011694</v>
      </c>
      <c r="L72" s="31">
        <v>50725720</v>
      </c>
      <c r="M72" s="31"/>
      <c r="N72" s="31">
        <v>24954279.999999996</v>
      </c>
      <c r="O72" s="19">
        <f t="shared" si="13"/>
        <v>75680000</v>
      </c>
      <c r="P72" s="41">
        <f>O72/K72</f>
        <v>0.69423744575513158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f t="shared" si="12"/>
        <v>0</v>
      </c>
      <c r="L73" s="31">
        <v>0</v>
      </c>
      <c r="M73" s="31"/>
      <c r="N73" s="31">
        <v>0</v>
      </c>
      <c r="O73" s="19">
        <f t="shared" si="13"/>
        <v>0</v>
      </c>
      <c r="P73" s="41">
        <v>0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f t="shared" si="12"/>
        <v>0</v>
      </c>
      <c r="L74" s="31">
        <v>0</v>
      </c>
      <c r="M74" s="31"/>
      <c r="N74" s="31">
        <v>0</v>
      </c>
      <c r="O74" s="19">
        <f t="shared" si="13"/>
        <v>0</v>
      </c>
      <c r="P74" s="41">
        <v>0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f t="shared" si="12"/>
        <v>0</v>
      </c>
      <c r="L75" s="31">
        <v>0</v>
      </c>
      <c r="M75" s="31"/>
      <c r="N75" s="31">
        <v>0</v>
      </c>
      <c r="O75" s="19">
        <f t="shared" si="13"/>
        <v>0</v>
      </c>
      <c r="P75" s="41">
        <v>0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1">
        <v>40289644</v>
      </c>
      <c r="G76" s="31">
        <v>0</v>
      </c>
      <c r="H76" s="31">
        <v>826159</v>
      </c>
      <c r="I76" s="31">
        <v>1063288</v>
      </c>
      <c r="J76" s="31">
        <v>4678477</v>
      </c>
      <c r="K76" s="31">
        <f t="shared" si="12"/>
        <v>46857568</v>
      </c>
      <c r="L76" s="31">
        <v>25216406.280000001</v>
      </c>
      <c r="M76" s="31"/>
      <c r="N76" s="31">
        <v>9474945.7200000007</v>
      </c>
      <c r="O76" s="19">
        <f t="shared" si="13"/>
        <v>34691352</v>
      </c>
      <c r="P76" s="41">
        <f>O76/K76</f>
        <v>0.74035750212217588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1">
        <v>52359664</v>
      </c>
      <c r="G77" s="31">
        <v>0</v>
      </c>
      <c r="H77" s="31">
        <v>1073660</v>
      </c>
      <c r="I77" s="31">
        <v>1381829</v>
      </c>
      <c r="J77" s="31">
        <v>6080060</v>
      </c>
      <c r="K77" s="31">
        <f t="shared" si="12"/>
        <v>60895213</v>
      </c>
      <c r="L77" s="31">
        <v>12763869.35</v>
      </c>
      <c r="M77" s="31"/>
      <c r="N77" s="31">
        <v>5568965.6499999994</v>
      </c>
      <c r="O77" s="19">
        <f t="shared" si="13"/>
        <v>18332835</v>
      </c>
      <c r="P77" s="41">
        <f>O77/K77</f>
        <v>0.30105543764170756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1">
        <v>10178271</v>
      </c>
      <c r="G78" s="31">
        <v>0</v>
      </c>
      <c r="H78" s="31">
        <v>208710</v>
      </c>
      <c r="I78" s="31">
        <v>268616</v>
      </c>
      <c r="J78" s="31">
        <v>1181912</v>
      </c>
      <c r="K78" s="31">
        <f t="shared" si="12"/>
        <v>11837509</v>
      </c>
      <c r="L78" s="31">
        <v>3865461.78</v>
      </c>
      <c r="M78" s="31"/>
      <c r="N78" s="31">
        <v>1829948.2199999997</v>
      </c>
      <c r="O78" s="19">
        <f t="shared" si="13"/>
        <v>5695410</v>
      </c>
      <c r="P78" s="41">
        <f>O78/K78</f>
        <v>0.48113247474616494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1">
        <v>31902722</v>
      </c>
      <c r="G79" s="31">
        <v>0</v>
      </c>
      <c r="H79" s="31">
        <v>654181</v>
      </c>
      <c r="I79" s="31">
        <v>841948</v>
      </c>
      <c r="J79" s="31">
        <v>3704578</v>
      </c>
      <c r="K79" s="31">
        <f t="shared" si="12"/>
        <v>37103429</v>
      </c>
      <c r="L79" s="31">
        <v>24973802.579999998</v>
      </c>
      <c r="M79" s="31"/>
      <c r="N79" s="31">
        <v>11628110.419999998</v>
      </c>
      <c r="O79" s="19">
        <f t="shared" si="13"/>
        <v>36601913</v>
      </c>
      <c r="P79" s="41">
        <f>O79/K79</f>
        <v>0.98648329781056088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1">
        <v>174255215</v>
      </c>
      <c r="G80" s="31">
        <v>0</v>
      </c>
      <c r="H80" s="31">
        <v>3573187</v>
      </c>
      <c r="I80" s="31">
        <v>4598786</v>
      </c>
      <c r="J80" s="31">
        <v>20234702</v>
      </c>
      <c r="K80" s="31">
        <f t="shared" si="12"/>
        <v>202661890</v>
      </c>
      <c r="L80" s="31">
        <v>80217420.680000007</v>
      </c>
      <c r="M80" s="31"/>
      <c r="N80" s="31">
        <v>33981229.329999998</v>
      </c>
      <c r="O80" s="19">
        <f t="shared" si="13"/>
        <v>114198650.01000001</v>
      </c>
      <c r="P80" s="41">
        <f>O80/K80</f>
        <v>0.56349346199228678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31">
        <f t="shared" si="12"/>
        <v>0</v>
      </c>
      <c r="L81" s="31">
        <v>0</v>
      </c>
      <c r="M81" s="31"/>
      <c r="N81" s="31">
        <v>0</v>
      </c>
      <c r="O81" s="19">
        <f t="shared" si="13"/>
        <v>0</v>
      </c>
      <c r="P81" s="41">
        <v>0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31">
        <f t="shared" si="12"/>
        <v>0</v>
      </c>
      <c r="L82" s="31">
        <v>0</v>
      </c>
      <c r="M82" s="31"/>
      <c r="N82" s="31">
        <v>0</v>
      </c>
      <c r="O82" s="19">
        <f t="shared" si="13"/>
        <v>0</v>
      </c>
      <c r="P82" s="41">
        <v>0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31">
        <f t="shared" si="12"/>
        <v>0</v>
      </c>
      <c r="L83" s="31">
        <v>0</v>
      </c>
      <c r="M83" s="31"/>
      <c r="N83" s="31">
        <v>0</v>
      </c>
      <c r="O83" s="19">
        <f t="shared" si="13"/>
        <v>0</v>
      </c>
      <c r="P83" s="41">
        <v>0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31">
        <f t="shared" si="12"/>
        <v>0</v>
      </c>
      <c r="L84" s="31">
        <v>0</v>
      </c>
      <c r="M84" s="31"/>
      <c r="N84" s="31">
        <v>0</v>
      </c>
      <c r="O84" s="19">
        <f t="shared" si="13"/>
        <v>0</v>
      </c>
      <c r="P84" s="41">
        <v>0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31">
        <f t="shared" si="12"/>
        <v>0</v>
      </c>
      <c r="L85" s="31">
        <v>0</v>
      </c>
      <c r="M85" s="31"/>
      <c r="N85" s="31">
        <v>0</v>
      </c>
      <c r="O85" s="19">
        <f t="shared" si="13"/>
        <v>0</v>
      </c>
      <c r="P85" s="41">
        <v>0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0">
        <v>271324526</v>
      </c>
      <c r="G86" s="60">
        <v>0</v>
      </c>
      <c r="H86" s="60">
        <v>5563640</v>
      </c>
      <c r="I86" s="60">
        <v>7160552</v>
      </c>
      <c r="J86" s="60">
        <v>31506494</v>
      </c>
      <c r="K86" s="61">
        <f t="shared" si="12"/>
        <v>315555212</v>
      </c>
      <c r="L86" s="61">
        <v>60707735.350000001</v>
      </c>
      <c r="M86" s="61"/>
      <c r="N86" s="61">
        <v>26659755.649999999</v>
      </c>
      <c r="O86" s="19">
        <f t="shared" si="13"/>
        <v>87367491</v>
      </c>
      <c r="P86" s="63">
        <f>O86/K86</f>
        <v>0.27686911094341232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1">
        <v>4794504</v>
      </c>
      <c r="G87" s="31">
        <v>0</v>
      </c>
      <c r="H87" s="31">
        <v>98314</v>
      </c>
      <c r="I87" s="31">
        <v>126532</v>
      </c>
      <c r="J87" s="24">
        <v>556743</v>
      </c>
      <c r="K87" s="31">
        <f t="shared" si="12"/>
        <v>5576093</v>
      </c>
      <c r="L87" s="31">
        <v>2074705.61</v>
      </c>
      <c r="M87" s="31"/>
      <c r="N87" s="31">
        <v>797086.39</v>
      </c>
      <c r="O87" s="19">
        <f t="shared" si="13"/>
        <v>2871792</v>
      </c>
      <c r="P87" s="41">
        <f>O87/K87</f>
        <v>0.51501866988229927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1">
        <v>146124786</v>
      </c>
      <c r="G88" s="31">
        <v>0</v>
      </c>
      <c r="H88" s="31">
        <v>2996359</v>
      </c>
      <c r="I88" s="31">
        <v>3856393</v>
      </c>
      <c r="J88" s="24">
        <v>16968167</v>
      </c>
      <c r="K88" s="31">
        <f t="shared" si="12"/>
        <v>169945705</v>
      </c>
      <c r="L88" s="31">
        <v>33006130.48</v>
      </c>
      <c r="M88" s="31"/>
      <c r="N88" s="31">
        <v>15245500.519999998</v>
      </c>
      <c r="O88" s="19">
        <f t="shared" si="13"/>
        <v>48251631</v>
      </c>
      <c r="P88" s="41">
        <f>O88/K88</f>
        <v>0.28392380378191967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1">
        <v>0</v>
      </c>
      <c r="G89" s="31">
        <v>0</v>
      </c>
      <c r="H89" s="31">
        <v>0</v>
      </c>
      <c r="I89" s="31">
        <v>0</v>
      </c>
      <c r="J89" s="24">
        <v>0</v>
      </c>
      <c r="K89" s="31">
        <f t="shared" si="12"/>
        <v>0</v>
      </c>
      <c r="L89" s="31">
        <v>0</v>
      </c>
      <c r="M89" s="31"/>
      <c r="N89" s="31">
        <v>0</v>
      </c>
      <c r="O89" s="19">
        <f t="shared" si="13"/>
        <v>0</v>
      </c>
      <c r="P89" s="41">
        <v>0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1">
        <v>8813445</v>
      </c>
      <c r="G90" s="31">
        <v>0</v>
      </c>
      <c r="H90" s="31">
        <v>180724</v>
      </c>
      <c r="I90" s="31">
        <v>232597</v>
      </c>
      <c r="J90" s="24">
        <v>1023427</v>
      </c>
      <c r="K90" s="31">
        <f t="shared" si="12"/>
        <v>10250193</v>
      </c>
      <c r="L90" s="31">
        <v>5608058.5599999996</v>
      </c>
      <c r="M90" s="31"/>
      <c r="N90" s="31">
        <v>2608901.4399999995</v>
      </c>
      <c r="O90" s="19">
        <f t="shared" si="13"/>
        <v>8216959.9999999991</v>
      </c>
      <c r="P90" s="41">
        <f>O90/K90</f>
        <v>0.80163953986037129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1">
        <v>0</v>
      </c>
      <c r="G91" s="31">
        <v>0</v>
      </c>
      <c r="H91" s="31">
        <v>0</v>
      </c>
      <c r="I91" s="31">
        <v>0</v>
      </c>
      <c r="J91" s="24">
        <v>0</v>
      </c>
      <c r="K91" s="31">
        <f t="shared" si="12"/>
        <v>0</v>
      </c>
      <c r="L91" s="31">
        <v>0</v>
      </c>
      <c r="M91" s="31"/>
      <c r="N91" s="31">
        <v>0</v>
      </c>
      <c r="O91" s="19">
        <f t="shared" si="13"/>
        <v>0</v>
      </c>
      <c r="P91" s="41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1">
        <v>0</v>
      </c>
      <c r="G92" s="31">
        <v>0</v>
      </c>
      <c r="H92" s="31">
        <v>0</v>
      </c>
      <c r="I92" s="31">
        <v>0</v>
      </c>
      <c r="J92" s="24">
        <v>0</v>
      </c>
      <c r="K92" s="31">
        <f t="shared" si="12"/>
        <v>0</v>
      </c>
      <c r="L92" s="31">
        <v>0</v>
      </c>
      <c r="M92" s="31"/>
      <c r="N92" s="31">
        <v>0</v>
      </c>
      <c r="O92" s="19">
        <f t="shared" si="13"/>
        <v>0</v>
      </c>
      <c r="P92" s="41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1">
        <v>0</v>
      </c>
      <c r="G93" s="31">
        <v>0</v>
      </c>
      <c r="H93" s="31">
        <v>0</v>
      </c>
      <c r="I93" s="31">
        <v>0</v>
      </c>
      <c r="J93" s="24">
        <v>0</v>
      </c>
      <c r="K93" s="31">
        <f t="shared" si="12"/>
        <v>0</v>
      </c>
      <c r="L93" s="31">
        <v>0</v>
      </c>
      <c r="M93" s="31"/>
      <c r="N93" s="31">
        <v>0</v>
      </c>
      <c r="O93" s="19">
        <f t="shared" si="13"/>
        <v>0</v>
      </c>
      <c r="P93" s="41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1">
        <v>0</v>
      </c>
      <c r="G94" s="31">
        <v>0</v>
      </c>
      <c r="H94" s="31">
        <v>0</v>
      </c>
      <c r="I94" s="31">
        <v>0</v>
      </c>
      <c r="J94" s="24">
        <v>0</v>
      </c>
      <c r="K94" s="31">
        <f t="shared" si="12"/>
        <v>0</v>
      </c>
      <c r="L94" s="31">
        <v>0</v>
      </c>
      <c r="M94" s="31"/>
      <c r="N94" s="31">
        <v>0</v>
      </c>
      <c r="O94" s="19">
        <f t="shared" si="13"/>
        <v>0</v>
      </c>
      <c r="P94" s="41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1">
        <v>0</v>
      </c>
      <c r="G95" s="31">
        <v>0</v>
      </c>
      <c r="H95" s="31">
        <v>0</v>
      </c>
      <c r="I95" s="31">
        <v>0</v>
      </c>
      <c r="J95" s="24">
        <v>0</v>
      </c>
      <c r="K95" s="31">
        <f t="shared" si="12"/>
        <v>0</v>
      </c>
      <c r="L95" s="31">
        <v>0</v>
      </c>
      <c r="M95" s="31"/>
      <c r="N95" s="31">
        <v>0</v>
      </c>
      <c r="O95" s="19">
        <f t="shared" si="13"/>
        <v>0</v>
      </c>
      <c r="P95" s="41"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1">
        <v>0</v>
      </c>
      <c r="G96" s="31">
        <v>0</v>
      </c>
      <c r="H96" s="31">
        <v>0</v>
      </c>
      <c r="I96" s="31">
        <v>0</v>
      </c>
      <c r="J96" s="24">
        <v>0</v>
      </c>
      <c r="K96" s="31">
        <f t="shared" si="12"/>
        <v>0</v>
      </c>
      <c r="L96" s="31">
        <v>0</v>
      </c>
      <c r="M96" s="31"/>
      <c r="N96" s="31">
        <v>0</v>
      </c>
      <c r="O96" s="19">
        <f t="shared" si="13"/>
        <v>0</v>
      </c>
      <c r="P96" s="41">
        <v>0</v>
      </c>
    </row>
    <row r="97" spans="1:17" s="20" customFormat="1" x14ac:dyDescent="0.3">
      <c r="A97" s="20">
        <v>214</v>
      </c>
      <c r="B97" s="7"/>
      <c r="C97" s="8"/>
      <c r="D97" s="21"/>
      <c r="E97" s="24" t="s">
        <v>100</v>
      </c>
      <c r="F97" s="31">
        <v>0</v>
      </c>
      <c r="G97" s="31">
        <v>0</v>
      </c>
      <c r="H97" s="31">
        <v>0</v>
      </c>
      <c r="I97" s="31">
        <v>0</v>
      </c>
      <c r="J97" s="24">
        <v>0</v>
      </c>
      <c r="K97" s="31">
        <f t="shared" si="12"/>
        <v>0</v>
      </c>
      <c r="L97" s="31">
        <v>0</v>
      </c>
      <c r="M97" s="31"/>
      <c r="N97" s="31">
        <v>0</v>
      </c>
      <c r="O97" s="19">
        <f t="shared" si="13"/>
        <v>0</v>
      </c>
      <c r="P97" s="41">
        <v>0</v>
      </c>
    </row>
    <row r="98" spans="1:17" s="20" customFormat="1" x14ac:dyDescent="0.3">
      <c r="A98" s="20">
        <v>215</v>
      </c>
      <c r="B98" s="7"/>
      <c r="C98" s="8"/>
      <c r="D98" s="21"/>
      <c r="E98" s="24" t="s">
        <v>101</v>
      </c>
      <c r="F98" s="31">
        <v>0</v>
      </c>
      <c r="G98" s="31">
        <v>0</v>
      </c>
      <c r="H98" s="31">
        <v>0</v>
      </c>
      <c r="I98" s="31">
        <v>0</v>
      </c>
      <c r="J98" s="24">
        <v>0</v>
      </c>
      <c r="K98" s="31">
        <f t="shared" si="12"/>
        <v>0</v>
      </c>
      <c r="L98" s="31">
        <v>42191270.710000001</v>
      </c>
      <c r="M98" s="31"/>
      <c r="N98" s="31">
        <v>17705152.289999995</v>
      </c>
      <c r="O98" s="19">
        <f t="shared" si="13"/>
        <v>59896423</v>
      </c>
      <c r="P98" s="41">
        <v>0</v>
      </c>
    </row>
    <row r="99" spans="1:17" s="20" customFormat="1" x14ac:dyDescent="0.3">
      <c r="A99" s="20">
        <v>216</v>
      </c>
      <c r="B99" s="7"/>
      <c r="C99" s="8"/>
      <c r="D99" s="21"/>
      <c r="E99" s="24" t="s">
        <v>102</v>
      </c>
      <c r="F99" s="31">
        <v>102534233</v>
      </c>
      <c r="G99" s="31">
        <v>0</v>
      </c>
      <c r="H99" s="31">
        <v>2102514</v>
      </c>
      <c r="I99" s="31">
        <v>2705991</v>
      </c>
      <c r="J99" s="24">
        <v>11906385</v>
      </c>
      <c r="K99" s="31">
        <f t="shared" si="12"/>
        <v>119249123</v>
      </c>
      <c r="L99" s="31">
        <v>26558595.800000001</v>
      </c>
      <c r="M99" s="31"/>
      <c r="N99" s="31">
        <v>11707404.199999999</v>
      </c>
      <c r="O99" s="19">
        <f t="shared" si="13"/>
        <v>38266000</v>
      </c>
      <c r="P99" s="41">
        <f>O99/K99</f>
        <v>0.3208912488186601</v>
      </c>
    </row>
    <row r="100" spans="1:17" s="20" customFormat="1" x14ac:dyDescent="0.3">
      <c r="A100" s="20">
        <v>210</v>
      </c>
      <c r="B100" s="7"/>
      <c r="C100" s="8"/>
      <c r="D100" s="21"/>
      <c r="E100" s="24" t="s">
        <v>103</v>
      </c>
      <c r="F100" s="31">
        <v>0</v>
      </c>
      <c r="G100" s="31">
        <v>0</v>
      </c>
      <c r="H100" s="31">
        <v>0</v>
      </c>
      <c r="I100" s="31">
        <v>0</v>
      </c>
      <c r="J100" s="24">
        <v>0</v>
      </c>
      <c r="K100" s="31">
        <f t="shared" si="12"/>
        <v>0</v>
      </c>
      <c r="L100" s="31">
        <v>0</v>
      </c>
      <c r="M100" s="31"/>
      <c r="N100" s="31">
        <v>0</v>
      </c>
      <c r="O100" s="19">
        <f t="shared" si="13"/>
        <v>0</v>
      </c>
      <c r="P100" s="41">
        <v>0</v>
      </c>
    </row>
    <row r="101" spans="1:17" s="20" customFormat="1" x14ac:dyDescent="0.3">
      <c r="A101" s="20">
        <v>217</v>
      </c>
      <c r="B101" s="7"/>
      <c r="C101" s="8"/>
      <c r="D101" s="21"/>
      <c r="E101" s="24" t="s">
        <v>104</v>
      </c>
      <c r="F101" s="31">
        <v>134279282</v>
      </c>
      <c r="G101" s="31">
        <v>0</v>
      </c>
      <c r="H101" s="31">
        <v>2753462</v>
      </c>
      <c r="I101" s="31">
        <v>3543777</v>
      </c>
      <c r="J101" s="24">
        <v>15592654</v>
      </c>
      <c r="K101" s="31">
        <f t="shared" si="12"/>
        <v>156169175</v>
      </c>
      <c r="L101" s="31">
        <v>137332803.81999999</v>
      </c>
      <c r="M101" s="31"/>
      <c r="N101" s="31">
        <v>59360050.179999992</v>
      </c>
      <c r="O101" s="19">
        <f t="shared" si="13"/>
        <v>196692854</v>
      </c>
      <c r="P101" s="41">
        <f>O101/K101</f>
        <v>1.2594857724003472</v>
      </c>
    </row>
    <row r="102" spans="1:17" s="20" customFormat="1" x14ac:dyDescent="0.3">
      <c r="A102" s="20">
        <v>218</v>
      </c>
      <c r="B102" s="7"/>
      <c r="C102" s="8"/>
      <c r="D102" s="21"/>
      <c r="E102" s="24" t="s">
        <v>105</v>
      </c>
      <c r="F102" s="31">
        <v>0</v>
      </c>
      <c r="G102" s="31">
        <v>0</v>
      </c>
      <c r="H102" s="31">
        <v>0</v>
      </c>
      <c r="I102" s="31">
        <v>0</v>
      </c>
      <c r="J102" s="24">
        <v>0</v>
      </c>
      <c r="K102" s="31">
        <f t="shared" si="12"/>
        <v>0</v>
      </c>
      <c r="L102" s="31">
        <v>0</v>
      </c>
      <c r="M102" s="31"/>
      <c r="N102" s="31">
        <v>0</v>
      </c>
      <c r="O102" s="19">
        <f t="shared" si="13"/>
        <v>0</v>
      </c>
      <c r="P102" s="41">
        <v>0</v>
      </c>
    </row>
    <row r="103" spans="1:17" s="20" customFormat="1" x14ac:dyDescent="0.3">
      <c r="A103" s="20">
        <v>219</v>
      </c>
      <c r="B103" s="7"/>
      <c r="C103" s="8"/>
      <c r="D103" s="21"/>
      <c r="E103" s="24" t="s">
        <v>106</v>
      </c>
      <c r="F103" s="31">
        <v>0</v>
      </c>
      <c r="G103" s="31">
        <v>0</v>
      </c>
      <c r="H103" s="31">
        <v>0</v>
      </c>
      <c r="I103" s="31">
        <v>0</v>
      </c>
      <c r="J103" s="24">
        <v>0</v>
      </c>
      <c r="K103" s="31">
        <f t="shared" si="12"/>
        <v>0</v>
      </c>
      <c r="L103" s="31">
        <v>0</v>
      </c>
      <c r="M103" s="31"/>
      <c r="N103" s="31">
        <v>0</v>
      </c>
      <c r="O103" s="19">
        <f t="shared" si="13"/>
        <v>0</v>
      </c>
      <c r="P103" s="41">
        <v>0</v>
      </c>
    </row>
    <row r="104" spans="1:17" s="20" customFormat="1" x14ac:dyDescent="0.3">
      <c r="A104" s="20">
        <v>220</v>
      </c>
      <c r="B104" s="7"/>
      <c r="C104" s="8"/>
      <c r="D104" s="21"/>
      <c r="E104" s="24" t="s">
        <v>107</v>
      </c>
      <c r="F104" s="31">
        <v>0</v>
      </c>
      <c r="G104" s="31">
        <v>0</v>
      </c>
      <c r="H104" s="31">
        <v>0</v>
      </c>
      <c r="I104" s="31">
        <v>0</v>
      </c>
      <c r="J104" s="24">
        <v>0</v>
      </c>
      <c r="K104" s="31">
        <f t="shared" si="12"/>
        <v>0</v>
      </c>
      <c r="L104" s="31">
        <v>0</v>
      </c>
      <c r="M104" s="31"/>
      <c r="N104" s="31">
        <v>0</v>
      </c>
      <c r="O104" s="19">
        <f t="shared" si="13"/>
        <v>0</v>
      </c>
      <c r="P104" s="41">
        <v>0</v>
      </c>
    </row>
    <row r="105" spans="1:17" s="20" customFormat="1" x14ac:dyDescent="0.3">
      <c r="A105" s="20">
        <v>0</v>
      </c>
      <c r="B105" s="7"/>
      <c r="C105" s="8"/>
      <c r="D105" s="21"/>
      <c r="E105" s="24" t="s">
        <v>108</v>
      </c>
      <c r="F105" s="31">
        <v>0</v>
      </c>
      <c r="G105" s="31">
        <v>0</v>
      </c>
      <c r="H105" s="31">
        <v>0</v>
      </c>
      <c r="I105" s="31">
        <v>0</v>
      </c>
      <c r="J105" s="24">
        <v>0</v>
      </c>
      <c r="K105" s="31">
        <f t="shared" si="12"/>
        <v>0</v>
      </c>
      <c r="L105" s="31">
        <v>0</v>
      </c>
      <c r="M105" s="31"/>
      <c r="N105" s="31">
        <v>0</v>
      </c>
      <c r="O105" s="19">
        <f t="shared" si="13"/>
        <v>0</v>
      </c>
      <c r="P105" s="41">
        <v>0</v>
      </c>
    </row>
    <row r="106" spans="1:17" s="20" customFormat="1" x14ac:dyDescent="0.3">
      <c r="A106" s="20">
        <v>225</v>
      </c>
      <c r="B106" s="7"/>
      <c r="C106" s="8"/>
      <c r="D106" s="21"/>
      <c r="E106" s="24" t="s">
        <v>109</v>
      </c>
      <c r="F106" s="31">
        <v>0</v>
      </c>
      <c r="G106" s="31">
        <v>0</v>
      </c>
      <c r="H106" s="31">
        <v>0</v>
      </c>
      <c r="I106" s="31">
        <v>0</v>
      </c>
      <c r="J106" s="24">
        <v>0</v>
      </c>
      <c r="K106" s="31">
        <f t="shared" si="12"/>
        <v>0</v>
      </c>
      <c r="L106" s="31">
        <v>0</v>
      </c>
      <c r="M106" s="31"/>
      <c r="N106" s="31">
        <v>0</v>
      </c>
      <c r="O106" s="19">
        <f t="shared" si="13"/>
        <v>0</v>
      </c>
      <c r="P106" s="41">
        <v>0</v>
      </c>
    </row>
    <row r="107" spans="1:17" s="20" customFormat="1" x14ac:dyDescent="0.3">
      <c r="A107" s="20">
        <v>229</v>
      </c>
      <c r="B107" s="7"/>
      <c r="C107" s="8"/>
      <c r="D107" s="21"/>
      <c r="E107" s="24" t="s">
        <v>110</v>
      </c>
      <c r="F107" s="31">
        <v>0</v>
      </c>
      <c r="G107" s="31">
        <v>0</v>
      </c>
      <c r="H107" s="31">
        <v>0</v>
      </c>
      <c r="I107" s="31">
        <v>0</v>
      </c>
      <c r="J107" s="24">
        <v>0</v>
      </c>
      <c r="K107" s="31">
        <f t="shared" si="12"/>
        <v>0</v>
      </c>
      <c r="L107" s="31">
        <v>0</v>
      </c>
      <c r="M107" s="31"/>
      <c r="N107" s="31">
        <v>0</v>
      </c>
      <c r="O107" s="19">
        <f t="shared" si="13"/>
        <v>0</v>
      </c>
      <c r="P107" s="41">
        <v>0</v>
      </c>
    </row>
    <row r="108" spans="1:17" s="20" customFormat="1" x14ac:dyDescent="0.3">
      <c r="A108" s="20">
        <v>230</v>
      </c>
      <c r="B108" s="7"/>
      <c r="C108" s="8"/>
      <c r="D108" s="21"/>
      <c r="E108" s="24" t="s">
        <v>111</v>
      </c>
      <c r="F108" s="31">
        <v>0</v>
      </c>
      <c r="G108" s="31">
        <v>0</v>
      </c>
      <c r="H108" s="31">
        <v>0</v>
      </c>
      <c r="I108" s="31">
        <v>0</v>
      </c>
      <c r="J108" s="24">
        <v>0</v>
      </c>
      <c r="K108" s="31">
        <f t="shared" si="12"/>
        <v>0</v>
      </c>
      <c r="L108" s="31">
        <v>0</v>
      </c>
      <c r="M108" s="31"/>
      <c r="N108" s="31">
        <v>0</v>
      </c>
      <c r="O108" s="19">
        <f t="shared" si="13"/>
        <v>0</v>
      </c>
      <c r="P108" s="41">
        <v>0</v>
      </c>
    </row>
    <row r="109" spans="1:17" s="20" customFormat="1" x14ac:dyDescent="0.3">
      <c r="A109" s="20">
        <v>231</v>
      </c>
      <c r="B109" s="7"/>
      <c r="C109" s="8"/>
      <c r="D109" s="21"/>
      <c r="E109" s="24" t="s">
        <v>112</v>
      </c>
      <c r="F109" s="31">
        <v>37321437</v>
      </c>
      <c r="G109" s="31">
        <v>0</v>
      </c>
      <c r="H109" s="31">
        <v>765294</v>
      </c>
      <c r="I109" s="31">
        <v>984954</v>
      </c>
      <c r="J109" s="24">
        <v>4333805</v>
      </c>
      <c r="K109" s="31">
        <f t="shared" si="12"/>
        <v>43405490</v>
      </c>
      <c r="L109" s="31">
        <v>19857560.710000001</v>
      </c>
      <c r="M109" s="31"/>
      <c r="N109" s="31">
        <v>6787869.29</v>
      </c>
      <c r="O109" s="19">
        <f t="shared" si="13"/>
        <v>26645430</v>
      </c>
      <c r="P109" s="41">
        <f>O109/K109</f>
        <v>0.61387234656261225</v>
      </c>
      <c r="Q109" s="57"/>
    </row>
    <row r="110" spans="1:17" s="20" customFormat="1" x14ac:dyDescent="0.3">
      <c r="A110" s="20">
        <v>255</v>
      </c>
      <c r="B110" s="7"/>
      <c r="C110" s="8"/>
      <c r="D110" s="21"/>
      <c r="E110" s="24" t="s">
        <v>113</v>
      </c>
      <c r="F110" s="31">
        <v>681264372</v>
      </c>
      <c r="G110" s="31">
        <v>0</v>
      </c>
      <c r="H110" s="31">
        <v>13969655</v>
      </c>
      <c r="I110" s="31">
        <v>17979314</v>
      </c>
      <c r="J110" s="24">
        <v>79109148</v>
      </c>
      <c r="K110" s="31">
        <f t="shared" si="12"/>
        <v>792322489</v>
      </c>
      <c r="L110" s="31">
        <v>483241040.82999998</v>
      </c>
      <c r="M110" s="31"/>
      <c r="N110" s="31">
        <v>272867230.75999999</v>
      </c>
      <c r="O110" s="19">
        <f t="shared" si="13"/>
        <v>756108271.58999991</v>
      </c>
      <c r="P110" s="41">
        <f>O110/K110</f>
        <v>0.95429358889496307</v>
      </c>
    </row>
    <row r="111" spans="1:17" s="20" customFormat="1" x14ac:dyDescent="0.3">
      <c r="A111" s="20">
        <v>200</v>
      </c>
      <c r="B111" s="7"/>
      <c r="C111" s="8"/>
      <c r="D111" s="21"/>
      <c r="E111" s="24" t="s">
        <v>114</v>
      </c>
      <c r="F111" s="31">
        <v>12788006</v>
      </c>
      <c r="G111" s="31">
        <v>0</v>
      </c>
      <c r="H111" s="31">
        <v>262224</v>
      </c>
      <c r="I111" s="31">
        <v>337489</v>
      </c>
      <c r="J111" s="24">
        <v>1484957</v>
      </c>
      <c r="K111" s="31">
        <f t="shared" si="12"/>
        <v>14872676</v>
      </c>
      <c r="L111" s="31">
        <v>12260217.460000001</v>
      </c>
      <c r="M111" s="31"/>
      <c r="N111" s="31">
        <v>5394789.4500000002</v>
      </c>
      <c r="O111" s="19">
        <f t="shared" si="13"/>
        <v>17655006.91</v>
      </c>
      <c r="P111" s="41">
        <f>O111/K111</f>
        <v>1.1870766841152192</v>
      </c>
    </row>
    <row r="112" spans="1:17" s="20" customFormat="1" x14ac:dyDescent="0.3">
      <c r="A112" s="20">
        <v>201</v>
      </c>
      <c r="B112" s="7"/>
      <c r="C112" s="8"/>
      <c r="D112" s="21"/>
      <c r="E112" s="24" t="s">
        <v>115</v>
      </c>
      <c r="F112" s="31">
        <v>0</v>
      </c>
      <c r="G112" s="31">
        <v>0</v>
      </c>
      <c r="H112" s="31">
        <v>0</v>
      </c>
      <c r="I112" s="31">
        <v>0</v>
      </c>
      <c r="J112" s="24">
        <v>0</v>
      </c>
      <c r="K112" s="31">
        <f t="shared" si="12"/>
        <v>0</v>
      </c>
      <c r="L112" s="31">
        <v>0</v>
      </c>
      <c r="M112" s="31"/>
      <c r="N112" s="31">
        <v>0</v>
      </c>
      <c r="O112" s="19">
        <f t="shared" si="13"/>
        <v>0</v>
      </c>
      <c r="P112" s="41"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1">
        <v>16129085</v>
      </c>
      <c r="G113" s="31">
        <v>0</v>
      </c>
      <c r="H113" s="31">
        <v>330735</v>
      </c>
      <c r="I113" s="31">
        <v>425664</v>
      </c>
      <c r="J113" s="24">
        <v>1872927</v>
      </c>
      <c r="K113" s="31">
        <f t="shared" si="12"/>
        <v>18758411</v>
      </c>
      <c r="L113" s="31">
        <v>0</v>
      </c>
      <c r="M113" s="31"/>
      <c r="N113" s="31">
        <v>0</v>
      </c>
      <c r="O113" s="19">
        <f t="shared" si="13"/>
        <v>0</v>
      </c>
      <c r="P113" s="41">
        <f>O113/K113</f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1">
        <v>1356265</v>
      </c>
      <c r="G114" s="31">
        <v>0</v>
      </c>
      <c r="H114" s="31">
        <v>27811</v>
      </c>
      <c r="I114" s="31">
        <v>35793</v>
      </c>
      <c r="J114" s="24">
        <v>157491</v>
      </c>
      <c r="K114" s="31">
        <f t="shared" si="12"/>
        <v>1577360</v>
      </c>
      <c r="L114" s="31">
        <v>0</v>
      </c>
      <c r="M114" s="31"/>
      <c r="N114" s="31">
        <v>0</v>
      </c>
      <c r="O114" s="19">
        <f t="shared" si="13"/>
        <v>0</v>
      </c>
      <c r="P114" s="41">
        <f>O114/K114</f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1">
        <v>699271</v>
      </c>
      <c r="G115" s="31">
        <v>0</v>
      </c>
      <c r="H115" s="31">
        <v>14339</v>
      </c>
      <c r="I115" s="31">
        <v>18455</v>
      </c>
      <c r="J115" s="24">
        <v>81200</v>
      </c>
      <c r="K115" s="31">
        <f t="shared" si="12"/>
        <v>813265</v>
      </c>
      <c r="L115" s="31">
        <v>0</v>
      </c>
      <c r="M115" s="31"/>
      <c r="N115" s="31">
        <v>0</v>
      </c>
      <c r="O115" s="19">
        <f t="shared" si="13"/>
        <v>0</v>
      </c>
      <c r="P115" s="41">
        <f>O115/K115</f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1">
        <v>1525041</v>
      </c>
      <c r="G116" s="31">
        <v>0</v>
      </c>
      <c r="H116" s="31">
        <v>31272</v>
      </c>
      <c r="I116" s="31">
        <v>40248</v>
      </c>
      <c r="J116" s="24">
        <v>177089</v>
      </c>
      <c r="K116" s="31">
        <f t="shared" si="12"/>
        <v>1773650</v>
      </c>
      <c r="L116" s="31">
        <v>0</v>
      </c>
      <c r="M116" s="31"/>
      <c r="N116" s="31">
        <v>0</v>
      </c>
      <c r="O116" s="19">
        <f t="shared" si="13"/>
        <v>0</v>
      </c>
      <c r="P116" s="41">
        <f>O116/K116</f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1">
        <v>11829789</v>
      </c>
      <c r="G117" s="31">
        <v>0</v>
      </c>
      <c r="H117" s="31">
        <v>242576</v>
      </c>
      <c r="I117" s="31">
        <v>312201</v>
      </c>
      <c r="J117" s="24">
        <v>1373688</v>
      </c>
      <c r="K117" s="31">
        <f t="shared" si="12"/>
        <v>13758254</v>
      </c>
      <c r="L117" s="31">
        <v>1699429.88</v>
      </c>
      <c r="M117" s="31"/>
      <c r="N117" s="31">
        <v>695820.12999999989</v>
      </c>
      <c r="O117" s="19">
        <f t="shared" si="13"/>
        <v>2395250.0099999998</v>
      </c>
      <c r="P117" s="41">
        <f>O117/K117</f>
        <v>0.17409549278563979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1">
        <v>0</v>
      </c>
      <c r="G118" s="31">
        <v>0</v>
      </c>
      <c r="H118" s="31">
        <v>0</v>
      </c>
      <c r="I118" s="31">
        <v>0</v>
      </c>
      <c r="J118" s="24">
        <v>0</v>
      </c>
      <c r="K118" s="31">
        <f t="shared" si="12"/>
        <v>0</v>
      </c>
      <c r="L118" s="31">
        <v>0</v>
      </c>
      <c r="M118" s="31"/>
      <c r="N118" s="31">
        <v>0</v>
      </c>
      <c r="O118" s="19">
        <f t="shared" si="13"/>
        <v>0</v>
      </c>
      <c r="P118" s="41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1">
        <v>0</v>
      </c>
      <c r="G119" s="31">
        <v>0</v>
      </c>
      <c r="H119" s="31">
        <v>0</v>
      </c>
      <c r="I119" s="31">
        <v>0</v>
      </c>
      <c r="J119" s="24">
        <v>0</v>
      </c>
      <c r="K119" s="31">
        <f t="shared" ref="K119:K141" si="14">SUM(F119:J119)</f>
        <v>0</v>
      </c>
      <c r="L119" s="31">
        <v>0</v>
      </c>
      <c r="M119" s="31"/>
      <c r="N119" s="31">
        <v>0</v>
      </c>
      <c r="O119" s="19">
        <f t="shared" si="13"/>
        <v>0</v>
      </c>
      <c r="P119" s="41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1">
        <v>0</v>
      </c>
      <c r="G120" s="31">
        <v>0</v>
      </c>
      <c r="H120" s="31">
        <v>0</v>
      </c>
      <c r="I120" s="31">
        <v>0</v>
      </c>
      <c r="J120" s="24">
        <v>0</v>
      </c>
      <c r="K120" s="31">
        <f t="shared" si="14"/>
        <v>0</v>
      </c>
      <c r="L120" s="31">
        <v>0</v>
      </c>
      <c r="M120" s="31"/>
      <c r="N120" s="31">
        <v>0</v>
      </c>
      <c r="O120" s="19">
        <f t="shared" ref="O120:O141" si="15">SUM(L120:N120)</f>
        <v>0</v>
      </c>
      <c r="P120" s="41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1">
        <v>0</v>
      </c>
      <c r="G121" s="31">
        <v>0</v>
      </c>
      <c r="H121" s="31">
        <v>0</v>
      </c>
      <c r="I121" s="31">
        <v>0</v>
      </c>
      <c r="J121" s="24">
        <v>0</v>
      </c>
      <c r="K121" s="31">
        <f t="shared" si="14"/>
        <v>0</v>
      </c>
      <c r="L121" s="31">
        <v>0</v>
      </c>
      <c r="M121" s="31"/>
      <c r="N121" s="31">
        <v>0</v>
      </c>
      <c r="O121" s="19">
        <f t="shared" si="15"/>
        <v>0</v>
      </c>
      <c r="P121" s="41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1">
        <v>26288963</v>
      </c>
      <c r="G122" s="31">
        <v>0</v>
      </c>
      <c r="H122" s="31">
        <v>539068</v>
      </c>
      <c r="I122" s="31">
        <v>693795</v>
      </c>
      <c r="J122" s="24">
        <v>3052703</v>
      </c>
      <c r="K122" s="31">
        <f t="shared" si="14"/>
        <v>30574529</v>
      </c>
      <c r="L122" s="31">
        <v>5998309.2000000002</v>
      </c>
      <c r="M122" s="31"/>
      <c r="N122" s="31">
        <v>3899890.7999999993</v>
      </c>
      <c r="O122" s="19">
        <f t="shared" si="15"/>
        <v>9898200</v>
      </c>
      <c r="P122" s="41">
        <f>O122/K122</f>
        <v>0.32374006481015621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1">
        <v>0</v>
      </c>
      <c r="G123" s="31">
        <v>0</v>
      </c>
      <c r="H123" s="31">
        <v>0</v>
      </c>
      <c r="I123" s="31">
        <v>0</v>
      </c>
      <c r="J123" s="24">
        <v>0</v>
      </c>
      <c r="K123" s="31">
        <f t="shared" si="14"/>
        <v>0</v>
      </c>
      <c r="L123" s="31">
        <v>0</v>
      </c>
      <c r="M123" s="31"/>
      <c r="N123" s="31">
        <v>0</v>
      </c>
      <c r="O123" s="19">
        <f t="shared" si="15"/>
        <v>0</v>
      </c>
      <c r="P123" s="41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1">
        <v>26559665</v>
      </c>
      <c r="G124" s="31">
        <v>0</v>
      </c>
      <c r="H124" s="31">
        <v>544619</v>
      </c>
      <c r="I124" s="31">
        <v>700939</v>
      </c>
      <c r="J124" s="24">
        <v>3084137</v>
      </c>
      <c r="K124" s="31">
        <f t="shared" si="14"/>
        <v>30889360</v>
      </c>
      <c r="L124" s="31">
        <v>0</v>
      </c>
      <c r="M124" s="31"/>
      <c r="N124" s="31">
        <v>0</v>
      </c>
      <c r="O124" s="19">
        <f t="shared" si="15"/>
        <v>0</v>
      </c>
      <c r="P124" s="41">
        <f>O124/K124</f>
        <v>0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1">
        <v>51063430</v>
      </c>
      <c r="G125" s="31">
        <v>0</v>
      </c>
      <c r="H125" s="31">
        <v>1047080</v>
      </c>
      <c r="I125" s="31">
        <v>1347620</v>
      </c>
      <c r="J125" s="24">
        <v>5929540</v>
      </c>
      <c r="K125" s="31">
        <f t="shared" si="14"/>
        <v>59387670</v>
      </c>
      <c r="L125" s="31">
        <v>5017275.25</v>
      </c>
      <c r="M125" s="31"/>
      <c r="N125" s="31">
        <v>2523450.75</v>
      </c>
      <c r="O125" s="19">
        <f t="shared" si="15"/>
        <v>7540726</v>
      </c>
      <c r="P125" s="41">
        <f>O125/K125</f>
        <v>0.12697460600828422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1">
        <v>0</v>
      </c>
      <c r="G126" s="31">
        <v>0</v>
      </c>
      <c r="H126" s="31">
        <v>0</v>
      </c>
      <c r="I126" s="31">
        <v>0</v>
      </c>
      <c r="J126" s="24">
        <v>0</v>
      </c>
      <c r="K126" s="31">
        <f t="shared" si="14"/>
        <v>0</v>
      </c>
      <c r="L126" s="31">
        <v>0</v>
      </c>
      <c r="M126" s="31"/>
      <c r="N126" s="31">
        <v>0</v>
      </c>
      <c r="O126" s="19">
        <f t="shared" si="15"/>
        <v>0</v>
      </c>
      <c r="P126" s="41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1">
        <v>0</v>
      </c>
      <c r="G127" s="31">
        <v>0</v>
      </c>
      <c r="H127" s="31">
        <v>0</v>
      </c>
      <c r="I127" s="31">
        <v>0</v>
      </c>
      <c r="J127" s="24">
        <v>0</v>
      </c>
      <c r="K127" s="31">
        <f t="shared" si="14"/>
        <v>0</v>
      </c>
      <c r="L127" s="31">
        <v>0</v>
      </c>
      <c r="M127" s="31"/>
      <c r="N127" s="31">
        <v>0</v>
      </c>
      <c r="O127" s="19">
        <f t="shared" si="15"/>
        <v>0</v>
      </c>
      <c r="P127" s="41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1">
        <v>218692417</v>
      </c>
      <c r="G128" s="31">
        <v>0</v>
      </c>
      <c r="H128" s="31">
        <v>4484394</v>
      </c>
      <c r="I128" s="31">
        <v>5771533</v>
      </c>
      <c r="J128" s="24">
        <v>25394798</v>
      </c>
      <c r="K128" s="31">
        <f t="shared" si="14"/>
        <v>254343142</v>
      </c>
      <c r="L128" s="31">
        <v>56653903.060000002</v>
      </c>
      <c r="M128" s="31"/>
      <c r="N128" s="31">
        <v>21824128.939999998</v>
      </c>
      <c r="O128" s="19">
        <f t="shared" si="15"/>
        <v>78478032</v>
      </c>
      <c r="P128" s="41">
        <f>O128/K128</f>
        <v>0.30855179102882985</v>
      </c>
    </row>
    <row r="129" spans="1:17" s="20" customFormat="1" x14ac:dyDescent="0.3">
      <c r="A129" s="20">
        <v>252</v>
      </c>
      <c r="B129" s="7"/>
      <c r="C129" s="8"/>
      <c r="D129" s="21"/>
      <c r="E129" s="24" t="s">
        <v>132</v>
      </c>
      <c r="F129" s="31">
        <v>70979456</v>
      </c>
      <c r="G129" s="31">
        <v>0</v>
      </c>
      <c r="H129" s="31">
        <v>1455468</v>
      </c>
      <c r="I129" s="31">
        <v>1873226</v>
      </c>
      <c r="J129" s="24">
        <v>8242210</v>
      </c>
      <c r="K129" s="31">
        <f t="shared" si="14"/>
        <v>82550360</v>
      </c>
      <c r="L129" s="31">
        <v>17755712.710000001</v>
      </c>
      <c r="M129" s="31"/>
      <c r="N129" s="31">
        <v>11166288.289999997</v>
      </c>
      <c r="O129" s="19">
        <f t="shared" si="15"/>
        <v>28922001</v>
      </c>
      <c r="P129" s="41">
        <f>O129/K129</f>
        <v>0.35035584339062847</v>
      </c>
      <c r="Q129" s="50"/>
    </row>
    <row r="130" spans="1:17" s="20" customFormat="1" x14ac:dyDescent="0.3">
      <c r="A130" s="20">
        <v>253</v>
      </c>
      <c r="B130" s="7"/>
      <c r="C130" s="8"/>
      <c r="D130" s="21"/>
      <c r="E130" s="24" t="s">
        <v>133</v>
      </c>
      <c r="F130" s="31">
        <v>2549681</v>
      </c>
      <c r="G130" s="31">
        <v>0</v>
      </c>
      <c r="H130" s="31">
        <v>52282</v>
      </c>
      <c r="I130" s="31">
        <v>67289</v>
      </c>
      <c r="J130" s="24">
        <v>296072</v>
      </c>
      <c r="K130" s="31">
        <f t="shared" si="14"/>
        <v>2965324</v>
      </c>
      <c r="L130" s="31">
        <v>1600000</v>
      </c>
      <c r="M130" s="31"/>
      <c r="N130" s="31">
        <v>0</v>
      </c>
      <c r="O130" s="19">
        <f t="shared" si="15"/>
        <v>1600000</v>
      </c>
      <c r="P130" s="41">
        <f>O130/K130</f>
        <v>0.53957004361074878</v>
      </c>
    </row>
    <row r="131" spans="1:17" s="20" customFormat="1" x14ac:dyDescent="0.3">
      <c r="A131" s="20">
        <v>254</v>
      </c>
      <c r="B131" s="7"/>
      <c r="C131" s="8"/>
      <c r="D131" s="21"/>
      <c r="E131" s="24" t="s">
        <v>134</v>
      </c>
      <c r="F131" s="31">
        <v>3285318</v>
      </c>
      <c r="G131" s="31">
        <v>0</v>
      </c>
      <c r="H131" s="31">
        <v>67367</v>
      </c>
      <c r="I131" s="31">
        <v>86703</v>
      </c>
      <c r="J131" s="24">
        <v>381495</v>
      </c>
      <c r="K131" s="31">
        <f t="shared" si="14"/>
        <v>3820883</v>
      </c>
      <c r="L131" s="31">
        <v>1279154.97</v>
      </c>
      <c r="M131" s="31"/>
      <c r="N131" s="31">
        <v>540745.03</v>
      </c>
      <c r="O131" s="19">
        <f t="shared" si="15"/>
        <v>1819900</v>
      </c>
      <c r="P131" s="41">
        <f>O131/K131</f>
        <v>0.47630351413534516</v>
      </c>
    </row>
    <row r="132" spans="1:17" s="20" customFormat="1" x14ac:dyDescent="0.3">
      <c r="A132" s="20">
        <v>233</v>
      </c>
      <c r="B132" s="7"/>
      <c r="C132" s="8"/>
      <c r="D132" s="21"/>
      <c r="E132" s="24" t="s">
        <v>135</v>
      </c>
      <c r="F132" s="31">
        <v>0</v>
      </c>
      <c r="G132" s="31">
        <v>0</v>
      </c>
      <c r="H132" s="31">
        <v>0</v>
      </c>
      <c r="I132" s="31">
        <v>0</v>
      </c>
      <c r="J132" s="24">
        <v>0</v>
      </c>
      <c r="K132" s="31">
        <f t="shared" si="14"/>
        <v>0</v>
      </c>
      <c r="L132" s="31">
        <v>0</v>
      </c>
      <c r="M132" s="31"/>
      <c r="N132" s="31">
        <v>0</v>
      </c>
      <c r="O132" s="19">
        <f t="shared" si="15"/>
        <v>0</v>
      </c>
      <c r="P132" s="41">
        <v>0</v>
      </c>
    </row>
    <row r="133" spans="1:17" s="20" customFormat="1" x14ac:dyDescent="0.3">
      <c r="A133" s="20">
        <v>234</v>
      </c>
      <c r="B133" s="7"/>
      <c r="C133" s="8"/>
      <c r="D133" s="21"/>
      <c r="E133" s="24" t="s">
        <v>136</v>
      </c>
      <c r="F133" s="31">
        <v>0</v>
      </c>
      <c r="G133" s="31">
        <v>0</v>
      </c>
      <c r="H133" s="31">
        <v>0</v>
      </c>
      <c r="I133" s="31">
        <v>0</v>
      </c>
      <c r="J133" s="24">
        <v>0</v>
      </c>
      <c r="K133" s="31">
        <f t="shared" si="14"/>
        <v>0</v>
      </c>
      <c r="L133" s="31">
        <v>0</v>
      </c>
      <c r="M133" s="31"/>
      <c r="N133" s="31">
        <v>0</v>
      </c>
      <c r="O133" s="19">
        <f t="shared" si="15"/>
        <v>0</v>
      </c>
      <c r="P133" s="41">
        <v>0</v>
      </c>
    </row>
    <row r="134" spans="1:17" s="20" customFormat="1" x14ac:dyDescent="0.3">
      <c r="A134" s="20">
        <v>237</v>
      </c>
      <c r="B134" s="7"/>
      <c r="C134" s="8"/>
      <c r="D134" s="21"/>
      <c r="E134" s="24" t="s">
        <v>137</v>
      </c>
      <c r="F134" s="31">
        <v>0</v>
      </c>
      <c r="G134" s="31">
        <v>0</v>
      </c>
      <c r="H134" s="31">
        <v>0</v>
      </c>
      <c r="I134" s="31">
        <v>0</v>
      </c>
      <c r="J134" s="24">
        <v>0</v>
      </c>
      <c r="K134" s="31">
        <f t="shared" si="14"/>
        <v>0</v>
      </c>
      <c r="L134" s="31">
        <v>0</v>
      </c>
      <c r="M134" s="31"/>
      <c r="N134" s="31">
        <v>0</v>
      </c>
      <c r="O134" s="19">
        <f t="shared" si="15"/>
        <v>0</v>
      </c>
      <c r="P134" s="41">
        <v>0</v>
      </c>
    </row>
    <row r="135" spans="1:17" s="20" customFormat="1" x14ac:dyDescent="0.3">
      <c r="A135" s="20">
        <v>256</v>
      </c>
      <c r="B135" s="7"/>
      <c r="C135" s="8"/>
      <c r="D135" s="21"/>
      <c r="E135" s="24" t="s">
        <v>138</v>
      </c>
      <c r="F135" s="31">
        <v>530660514</v>
      </c>
      <c r="G135" s="31">
        <v>0</v>
      </c>
      <c r="H135" s="31">
        <v>10881450</v>
      </c>
      <c r="I135" s="31">
        <v>14004713</v>
      </c>
      <c r="J135" s="24">
        <v>61620867</v>
      </c>
      <c r="K135" s="31">
        <f t="shared" si="14"/>
        <v>617167544</v>
      </c>
      <c r="L135" s="31">
        <v>268379948.40000001</v>
      </c>
      <c r="M135" s="31"/>
      <c r="N135" s="31">
        <v>110262112.86999999</v>
      </c>
      <c r="O135" s="19">
        <f t="shared" si="15"/>
        <v>378642061.26999998</v>
      </c>
      <c r="P135" s="41">
        <f>O135/K135</f>
        <v>0.61351583528831832</v>
      </c>
      <c r="Q135" s="56"/>
    </row>
    <row r="136" spans="1:17" s="20" customFormat="1" x14ac:dyDescent="0.3">
      <c r="A136" s="20">
        <v>261</v>
      </c>
      <c r="B136" s="7"/>
      <c r="C136" s="8"/>
      <c r="D136" s="21"/>
      <c r="E136" s="24" t="s">
        <v>139</v>
      </c>
      <c r="F136" s="31">
        <v>820</v>
      </c>
      <c r="G136" s="31">
        <v>0</v>
      </c>
      <c r="H136" s="31">
        <v>17</v>
      </c>
      <c r="I136" s="31">
        <v>22</v>
      </c>
      <c r="J136" s="24">
        <v>95</v>
      </c>
      <c r="K136" s="31">
        <f t="shared" si="14"/>
        <v>954</v>
      </c>
      <c r="L136" s="31">
        <v>0</v>
      </c>
      <c r="M136" s="31"/>
      <c r="N136" s="31">
        <v>0</v>
      </c>
      <c r="O136" s="19">
        <f t="shared" si="15"/>
        <v>0</v>
      </c>
      <c r="P136" s="41">
        <f>O136/K136</f>
        <v>0</v>
      </c>
    </row>
    <row r="137" spans="1:17" s="20" customFormat="1" x14ac:dyDescent="0.3">
      <c r="A137" s="20">
        <v>227</v>
      </c>
      <c r="B137" s="7"/>
      <c r="C137" s="8"/>
      <c r="D137" s="21"/>
      <c r="E137" s="24" t="s">
        <v>140</v>
      </c>
      <c r="F137" s="31">
        <v>142863349</v>
      </c>
      <c r="G137" s="31">
        <v>0</v>
      </c>
      <c r="H137" s="31">
        <v>2929482</v>
      </c>
      <c r="I137" s="31">
        <v>3770320</v>
      </c>
      <c r="J137" s="24">
        <v>16589445</v>
      </c>
      <c r="K137" s="31">
        <f t="shared" si="14"/>
        <v>166152596</v>
      </c>
      <c r="L137" s="31">
        <v>0</v>
      </c>
      <c r="M137" s="31"/>
      <c r="N137" s="31">
        <v>0</v>
      </c>
      <c r="O137" s="19">
        <f t="shared" si="15"/>
        <v>0</v>
      </c>
      <c r="P137" s="41">
        <f>O137/K137</f>
        <v>0</v>
      </c>
    </row>
    <row r="138" spans="1:17" s="20" customFormat="1" x14ac:dyDescent="0.3">
      <c r="A138" s="20">
        <v>226</v>
      </c>
      <c r="B138" s="7"/>
      <c r="C138" s="8"/>
      <c r="D138" s="21"/>
      <c r="E138" s="24" t="s">
        <v>141</v>
      </c>
      <c r="F138" s="31">
        <v>69301</v>
      </c>
      <c r="G138" s="31">
        <v>0</v>
      </c>
      <c r="H138" s="31">
        <v>1421</v>
      </c>
      <c r="I138" s="31">
        <v>1829</v>
      </c>
      <c r="J138" s="24">
        <v>8047</v>
      </c>
      <c r="K138" s="31">
        <f t="shared" si="14"/>
        <v>80598</v>
      </c>
      <c r="L138" s="31">
        <v>0</v>
      </c>
      <c r="M138" s="31"/>
      <c r="N138" s="31">
        <v>0</v>
      </c>
      <c r="O138" s="19">
        <f t="shared" si="15"/>
        <v>0</v>
      </c>
      <c r="P138" s="41">
        <f>O138/K138</f>
        <v>0</v>
      </c>
    </row>
    <row r="139" spans="1:17" s="20" customFormat="1" x14ac:dyDescent="0.3">
      <c r="A139" s="20">
        <v>228</v>
      </c>
      <c r="B139" s="7"/>
      <c r="C139" s="8"/>
      <c r="D139" s="21"/>
      <c r="E139" s="24" t="s">
        <v>142</v>
      </c>
      <c r="F139" s="31">
        <v>371039</v>
      </c>
      <c r="G139" s="31">
        <v>0</v>
      </c>
      <c r="H139" s="31">
        <v>7608</v>
      </c>
      <c r="I139" s="31">
        <v>9792</v>
      </c>
      <c r="J139" s="24">
        <v>43085</v>
      </c>
      <c r="K139" s="31">
        <f t="shared" si="14"/>
        <v>431524</v>
      </c>
      <c r="L139" s="31">
        <v>0</v>
      </c>
      <c r="M139" s="31"/>
      <c r="N139" s="31">
        <v>0</v>
      </c>
      <c r="O139" s="19">
        <f t="shared" si="15"/>
        <v>0</v>
      </c>
      <c r="P139" s="41">
        <f>O139/K139</f>
        <v>0</v>
      </c>
    </row>
    <row r="140" spans="1:17" s="20" customFormat="1" x14ac:dyDescent="0.3">
      <c r="A140" s="20">
        <v>260</v>
      </c>
      <c r="B140" s="7"/>
      <c r="C140" s="8"/>
      <c r="D140" s="21"/>
      <c r="E140" s="24" t="s">
        <v>143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31">
        <f t="shared" si="14"/>
        <v>0</v>
      </c>
      <c r="L140" s="31">
        <v>0</v>
      </c>
      <c r="M140" s="31"/>
      <c r="N140" s="31">
        <v>0</v>
      </c>
      <c r="O140" s="19">
        <f t="shared" si="15"/>
        <v>0</v>
      </c>
      <c r="P140" s="41">
        <v>0</v>
      </c>
    </row>
    <row r="141" spans="1:17" s="20" customFormat="1" x14ac:dyDescent="0.3">
      <c r="A141" s="20">
        <v>238</v>
      </c>
      <c r="B141" s="7"/>
      <c r="C141" s="8"/>
      <c r="D141" s="21"/>
      <c r="E141" s="24" t="s">
        <v>144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31">
        <f t="shared" si="14"/>
        <v>0</v>
      </c>
      <c r="L141" s="31">
        <v>0</v>
      </c>
      <c r="M141" s="31"/>
      <c r="N141" s="31">
        <v>0</v>
      </c>
      <c r="O141" s="19">
        <f t="shared" si="15"/>
        <v>0</v>
      </c>
      <c r="P141" s="41">
        <v>0</v>
      </c>
    </row>
    <row r="142" spans="1:17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3898052303</v>
      </c>
      <c r="G142" s="32">
        <f t="shared" ref="G142:K142" si="16">SUM(G55:G141)</f>
        <v>0</v>
      </c>
      <c r="H142" s="32">
        <f t="shared" si="16"/>
        <v>79931448</v>
      </c>
      <c r="I142" s="32">
        <f t="shared" si="16"/>
        <v>102873876</v>
      </c>
      <c r="J142" s="32">
        <f t="shared" si="16"/>
        <v>452646007</v>
      </c>
      <c r="K142" s="32">
        <f t="shared" si="16"/>
        <v>4533503634</v>
      </c>
      <c r="L142" s="32">
        <f t="shared" ref="L142" si="17">SUM(L55:L141)</f>
        <v>1810722942.1300004</v>
      </c>
      <c r="M142" s="32">
        <f t="shared" ref="M142" si="18">SUM(M55:M141)</f>
        <v>0</v>
      </c>
      <c r="N142" s="32">
        <f t="shared" ref="N142" si="19">SUM(N55:N141)</f>
        <v>850203769.67999995</v>
      </c>
      <c r="O142" s="16">
        <f t="shared" ref="O142" si="20">SUM(O55:O141)</f>
        <v>2660926711.8099999</v>
      </c>
      <c r="P142" s="41">
        <f>O142/K142</f>
        <v>0.5869470781613142</v>
      </c>
    </row>
    <row r="143" spans="1:17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42"/>
    </row>
    <row r="144" spans="1:17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42"/>
    </row>
    <row r="145" spans="1:19" s="20" customFormat="1" x14ac:dyDescent="0.3">
      <c r="A145" s="20">
        <v>269</v>
      </c>
      <c r="B145" s="7"/>
      <c r="C145" s="8"/>
      <c r="D145" s="21"/>
      <c r="E145" s="24" t="s">
        <v>147</v>
      </c>
      <c r="F145" s="31">
        <v>155291475</v>
      </c>
      <c r="G145" s="31">
        <v>0</v>
      </c>
      <c r="H145" s="31">
        <v>3184327</v>
      </c>
      <c r="I145" s="31">
        <v>4098312</v>
      </c>
      <c r="J145" s="31">
        <v>18032612</v>
      </c>
      <c r="K145" s="31">
        <f t="shared" ref="K145:K159" si="21">SUM(F145:J145)</f>
        <v>180606726</v>
      </c>
      <c r="L145" s="31">
        <v>105728840.97</v>
      </c>
      <c r="M145" s="31"/>
      <c r="N145" s="31">
        <v>46429090.949999996</v>
      </c>
      <c r="O145" s="19">
        <f t="shared" ref="O145:O159" si="22">SUM(L145:N145)</f>
        <v>152157931.91999999</v>
      </c>
      <c r="P145" s="41">
        <f>O145/K145</f>
        <v>0.84248208962051607</v>
      </c>
    </row>
    <row r="146" spans="1:19" s="20" customFormat="1" x14ac:dyDescent="0.3">
      <c r="A146" s="20">
        <v>270</v>
      </c>
      <c r="B146" s="7"/>
      <c r="C146" s="8"/>
      <c r="D146" s="21"/>
      <c r="E146" s="24" t="s">
        <v>148</v>
      </c>
      <c r="F146" s="31">
        <v>96852368</v>
      </c>
      <c r="G146" s="31">
        <v>0</v>
      </c>
      <c r="H146" s="31">
        <v>1986005</v>
      </c>
      <c r="I146" s="31">
        <v>2556040</v>
      </c>
      <c r="J146" s="31">
        <v>11246601</v>
      </c>
      <c r="K146" s="31">
        <f t="shared" si="21"/>
        <v>112641014</v>
      </c>
      <c r="L146" s="31">
        <v>14210401.34</v>
      </c>
      <c r="M146" s="31"/>
      <c r="N146" s="31">
        <v>6240265.2999999989</v>
      </c>
      <c r="O146" s="19">
        <f t="shared" si="22"/>
        <v>20450666.640000001</v>
      </c>
      <c r="P146" s="41">
        <f>O146/K146</f>
        <v>0.18155613052275968</v>
      </c>
    </row>
    <row r="147" spans="1:19" s="20" customFormat="1" x14ac:dyDescent="0.3">
      <c r="A147" s="20">
        <v>271</v>
      </c>
      <c r="B147" s="7"/>
      <c r="C147" s="8"/>
      <c r="D147" s="21"/>
      <c r="E147" s="24" t="s">
        <v>149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1">
        <f t="shared" si="21"/>
        <v>0</v>
      </c>
      <c r="L147" s="31">
        <v>0</v>
      </c>
      <c r="M147" s="31"/>
      <c r="N147" s="31">
        <v>0</v>
      </c>
      <c r="O147" s="19">
        <f t="shared" si="22"/>
        <v>0</v>
      </c>
      <c r="P147" s="41">
        <v>0</v>
      </c>
    </row>
    <row r="148" spans="1:19" s="20" customFormat="1" x14ac:dyDescent="0.3">
      <c r="A148" s="20">
        <v>272</v>
      </c>
      <c r="B148" s="7"/>
      <c r="C148" s="8"/>
      <c r="D148" s="21"/>
      <c r="E148" s="24" t="s">
        <v>150</v>
      </c>
      <c r="F148" s="31">
        <v>167053988</v>
      </c>
      <c r="G148" s="31">
        <v>0</v>
      </c>
      <c r="H148" s="31">
        <v>3425523</v>
      </c>
      <c r="I148" s="31">
        <v>4408738</v>
      </c>
      <c r="J148" s="31">
        <v>19398488</v>
      </c>
      <c r="K148" s="31">
        <f t="shared" si="21"/>
        <v>194286737</v>
      </c>
      <c r="L148" s="31">
        <v>106837670.5</v>
      </c>
      <c r="M148" s="31"/>
      <c r="N148" s="31">
        <v>47873031.539999999</v>
      </c>
      <c r="O148" s="19">
        <f t="shared" si="22"/>
        <v>154710702.03999999</v>
      </c>
      <c r="P148" s="41">
        <f>O148/K148</f>
        <v>0.79630089232493517</v>
      </c>
    </row>
    <row r="149" spans="1:19" s="20" customFormat="1" x14ac:dyDescent="0.3">
      <c r="A149" s="20">
        <v>273</v>
      </c>
      <c r="B149" s="7"/>
      <c r="C149" s="8"/>
      <c r="D149" s="21"/>
      <c r="E149" s="24" t="s">
        <v>151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1">
        <f t="shared" si="21"/>
        <v>0</v>
      </c>
      <c r="L149" s="31">
        <v>0</v>
      </c>
      <c r="M149" s="31"/>
      <c r="N149" s="31">
        <v>0</v>
      </c>
      <c r="O149" s="19">
        <f t="shared" si="22"/>
        <v>0</v>
      </c>
      <c r="P149" s="41">
        <v>0</v>
      </c>
    </row>
    <row r="150" spans="1:19" s="20" customFormat="1" x14ac:dyDescent="0.3">
      <c r="A150" s="20">
        <v>265</v>
      </c>
      <c r="B150" s="7"/>
      <c r="C150" s="8"/>
      <c r="D150" s="21"/>
      <c r="E150" s="24" t="s">
        <v>152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f t="shared" si="21"/>
        <v>0</v>
      </c>
      <c r="L150" s="31">
        <v>0</v>
      </c>
      <c r="M150" s="31"/>
      <c r="N150" s="31">
        <v>0</v>
      </c>
      <c r="O150" s="19">
        <f t="shared" si="22"/>
        <v>0</v>
      </c>
      <c r="P150" s="41">
        <v>0</v>
      </c>
    </row>
    <row r="151" spans="1:19" s="20" customFormat="1" x14ac:dyDescent="0.3">
      <c r="A151" s="20">
        <v>266</v>
      </c>
      <c r="B151" s="7"/>
      <c r="C151" s="8"/>
      <c r="D151" s="21"/>
      <c r="E151" s="24" t="s">
        <v>153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f t="shared" si="21"/>
        <v>0</v>
      </c>
      <c r="L151" s="31">
        <v>0</v>
      </c>
      <c r="M151" s="31"/>
      <c r="N151" s="31">
        <v>0</v>
      </c>
      <c r="O151" s="19">
        <f t="shared" si="22"/>
        <v>0</v>
      </c>
      <c r="P151" s="41">
        <v>0</v>
      </c>
    </row>
    <row r="152" spans="1:19" s="20" customFormat="1" x14ac:dyDescent="0.3">
      <c r="A152" s="20">
        <v>267</v>
      </c>
      <c r="B152" s="7"/>
      <c r="C152" s="8"/>
      <c r="D152" s="21"/>
      <c r="E152" s="24" t="s">
        <v>154</v>
      </c>
      <c r="F152" s="31">
        <v>47837934</v>
      </c>
      <c r="G152" s="31">
        <v>0</v>
      </c>
      <c r="H152" s="31">
        <v>980940</v>
      </c>
      <c r="I152" s="31">
        <v>1262496</v>
      </c>
      <c r="J152" s="31">
        <v>5554992</v>
      </c>
      <c r="K152" s="31">
        <f t="shared" si="21"/>
        <v>55636362</v>
      </c>
      <c r="L152" s="31">
        <v>4396664.46</v>
      </c>
      <c r="M152" s="31"/>
      <c r="N152" s="31">
        <v>2014875.6799999997</v>
      </c>
      <c r="O152" s="19">
        <f t="shared" si="22"/>
        <v>6411540.1399999997</v>
      </c>
      <c r="P152" s="41">
        <f>O152/K152</f>
        <v>0.11524010394497038</v>
      </c>
    </row>
    <row r="153" spans="1:19" s="20" customFormat="1" x14ac:dyDescent="0.3">
      <c r="A153" s="20">
        <v>268</v>
      </c>
      <c r="B153" s="7"/>
      <c r="C153" s="8"/>
      <c r="D153" s="21"/>
      <c r="E153" s="24" t="s">
        <v>155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f t="shared" si="21"/>
        <v>0</v>
      </c>
      <c r="L153" s="31">
        <v>0</v>
      </c>
      <c r="M153" s="31"/>
      <c r="N153" s="31">
        <v>0</v>
      </c>
      <c r="O153" s="19">
        <f t="shared" si="22"/>
        <v>0</v>
      </c>
      <c r="P153" s="41">
        <v>0</v>
      </c>
    </row>
    <row r="154" spans="1:19" s="20" customFormat="1" x14ac:dyDescent="0.3">
      <c r="A154" s="20">
        <v>274</v>
      </c>
      <c r="B154" s="7"/>
      <c r="C154" s="8"/>
      <c r="D154" s="21"/>
      <c r="E154" s="24" t="s">
        <v>156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f t="shared" si="21"/>
        <v>0</v>
      </c>
      <c r="L154" s="31">
        <v>0</v>
      </c>
      <c r="M154" s="31"/>
      <c r="N154" s="31">
        <v>0</v>
      </c>
      <c r="O154" s="19">
        <f t="shared" si="22"/>
        <v>0</v>
      </c>
      <c r="P154" s="41">
        <v>0</v>
      </c>
    </row>
    <row r="155" spans="1:19" s="20" customFormat="1" x14ac:dyDescent="0.3">
      <c r="A155" s="20">
        <v>275</v>
      </c>
      <c r="B155" s="7"/>
      <c r="C155" s="8"/>
      <c r="D155" s="21"/>
      <c r="E155" s="24" t="s">
        <v>157</v>
      </c>
      <c r="F155" s="31">
        <v>0</v>
      </c>
      <c r="G155" s="31">
        <v>0</v>
      </c>
      <c r="H155" s="31">
        <v>0</v>
      </c>
      <c r="I155" s="31">
        <v>0</v>
      </c>
      <c r="J155" s="31">
        <v>0</v>
      </c>
      <c r="K155" s="31">
        <f t="shared" si="21"/>
        <v>0</v>
      </c>
      <c r="L155" s="31">
        <v>0</v>
      </c>
      <c r="M155" s="31"/>
      <c r="N155" s="31">
        <v>0</v>
      </c>
      <c r="O155" s="19">
        <f t="shared" si="22"/>
        <v>0</v>
      </c>
      <c r="P155" s="41">
        <v>0</v>
      </c>
    </row>
    <row r="156" spans="1:19" s="20" customFormat="1" x14ac:dyDescent="0.3">
      <c r="A156" s="20">
        <v>276</v>
      </c>
      <c r="B156" s="7"/>
      <c r="C156" s="8"/>
      <c r="D156" s="21"/>
      <c r="E156" s="24" t="s">
        <v>158</v>
      </c>
      <c r="F156" s="31">
        <v>239774142</v>
      </c>
      <c r="G156" s="31">
        <v>0</v>
      </c>
      <c r="H156" s="31">
        <v>4916685</v>
      </c>
      <c r="I156" s="31">
        <v>6327902</v>
      </c>
      <c r="J156" s="31">
        <v>27842830</v>
      </c>
      <c r="K156" s="31">
        <f t="shared" si="21"/>
        <v>278861559</v>
      </c>
      <c r="L156" s="31">
        <v>101762286.65000001</v>
      </c>
      <c r="M156" s="31"/>
      <c r="N156" s="31">
        <v>45544724.619999997</v>
      </c>
      <c r="O156" s="19">
        <f t="shared" si="22"/>
        <v>147307011.27000001</v>
      </c>
      <c r="P156" s="41">
        <f>O156/K156</f>
        <v>0.52824423630938677</v>
      </c>
      <c r="Q156" s="58"/>
      <c r="S156" s="50"/>
    </row>
    <row r="157" spans="1:19" s="20" customFormat="1" x14ac:dyDescent="0.3">
      <c r="A157" s="20">
        <v>277</v>
      </c>
      <c r="B157" s="7"/>
      <c r="C157" s="8"/>
      <c r="D157" s="21"/>
      <c r="E157" s="24" t="s">
        <v>159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1">
        <f t="shared" si="21"/>
        <v>0</v>
      </c>
      <c r="L157" s="31">
        <v>0</v>
      </c>
      <c r="M157" s="31"/>
      <c r="N157" s="31">
        <v>0</v>
      </c>
      <c r="O157" s="19">
        <f t="shared" si="22"/>
        <v>0</v>
      </c>
      <c r="P157" s="41">
        <v>0</v>
      </c>
    </row>
    <row r="158" spans="1:19" s="20" customFormat="1" x14ac:dyDescent="0.3">
      <c r="A158" s="20">
        <v>278</v>
      </c>
      <c r="B158" s="7"/>
      <c r="C158" s="8"/>
      <c r="D158" s="21"/>
      <c r="E158" s="24" t="s">
        <v>160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1">
        <f t="shared" si="21"/>
        <v>0</v>
      </c>
      <c r="L158" s="31">
        <v>0</v>
      </c>
      <c r="M158" s="31"/>
      <c r="N158" s="31">
        <v>0</v>
      </c>
      <c r="O158" s="19">
        <f t="shared" si="22"/>
        <v>0</v>
      </c>
      <c r="P158" s="41">
        <v>0</v>
      </c>
    </row>
    <row r="159" spans="1:19" s="20" customFormat="1" x14ac:dyDescent="0.3">
      <c r="A159" s="20">
        <v>279</v>
      </c>
      <c r="B159" s="7"/>
      <c r="C159" s="8"/>
      <c r="D159" s="21"/>
      <c r="E159" s="24" t="s">
        <v>161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1">
        <f t="shared" si="21"/>
        <v>0</v>
      </c>
      <c r="L159" s="31">
        <v>0</v>
      </c>
      <c r="M159" s="31"/>
      <c r="N159" s="31">
        <v>0</v>
      </c>
      <c r="O159" s="19">
        <f t="shared" si="22"/>
        <v>0</v>
      </c>
      <c r="P159" s="41">
        <v>0</v>
      </c>
    </row>
    <row r="160" spans="1:19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706809907</v>
      </c>
      <c r="G160" s="32">
        <f t="shared" ref="G160:K160" si="23">SUM(G145:G159)</f>
        <v>0</v>
      </c>
      <c r="H160" s="32">
        <f t="shared" si="23"/>
        <v>14493480</v>
      </c>
      <c r="I160" s="32">
        <f t="shared" si="23"/>
        <v>18653488</v>
      </c>
      <c r="J160" s="32">
        <f t="shared" si="23"/>
        <v>82075523</v>
      </c>
      <c r="K160" s="32">
        <f t="shared" si="23"/>
        <v>822032398</v>
      </c>
      <c r="L160" s="32">
        <f t="shared" ref="L160" si="24">SUM(L145:L159)</f>
        <v>332935863.92000002</v>
      </c>
      <c r="M160" s="32">
        <f t="shared" ref="M160" si="25">SUM(M145:M159)</f>
        <v>0</v>
      </c>
      <c r="N160" s="32">
        <f t="shared" ref="N160" si="26">SUM(N145:N159)</f>
        <v>148101988.09</v>
      </c>
      <c r="O160" s="16">
        <f t="shared" ref="O160" si="27">SUM(O145:O159)</f>
        <v>481037852.00999999</v>
      </c>
      <c r="P160" s="41">
        <f>O160/K160</f>
        <v>0.58518113541554106</v>
      </c>
    </row>
    <row r="161" spans="1:17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9"/>
      <c r="P161" s="42"/>
    </row>
    <row r="162" spans="1:17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11274418048</v>
      </c>
      <c r="G162" s="32">
        <f t="shared" ref="G162:K162" si="28">SUM(G52,G142,G160)</f>
        <v>0</v>
      </c>
      <c r="H162" s="32">
        <f t="shared" si="28"/>
        <v>231187392</v>
      </c>
      <c r="I162" s="32">
        <f t="shared" si="28"/>
        <v>297544254</v>
      </c>
      <c r="J162" s="32">
        <f t="shared" si="28"/>
        <v>1309197494</v>
      </c>
      <c r="K162" s="32">
        <f t="shared" si="28"/>
        <v>13112347188</v>
      </c>
      <c r="L162" s="32">
        <f t="shared" ref="L162:N162" si="29">SUM(L52,L142,L160)</f>
        <v>4919826687.3500004</v>
      </c>
      <c r="M162" s="32">
        <f t="shared" si="29"/>
        <v>0</v>
      </c>
      <c r="N162" s="32">
        <f t="shared" si="29"/>
        <v>2221572308.29</v>
      </c>
      <c r="O162" s="16">
        <f>SUM(O160,O142,O52)</f>
        <v>7141398995.6399994</v>
      </c>
      <c r="P162" s="41">
        <f>O162/K162</f>
        <v>0.54463162798004461</v>
      </c>
    </row>
    <row r="163" spans="1:17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9"/>
      <c r="P163" s="42"/>
    </row>
    <row r="164" spans="1:17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32">
        <v>2711823</v>
      </c>
      <c r="M164" s="15"/>
      <c r="N164" s="32">
        <v>12452496.469999999</v>
      </c>
      <c r="O164" s="16">
        <f>SUM(L164:N164)</f>
        <v>15164319.469999999</v>
      </c>
      <c r="P164" s="43">
        <v>0</v>
      </c>
      <c r="Q164" s="54"/>
    </row>
    <row r="165" spans="1:17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42"/>
    </row>
    <row r="166" spans="1:17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-11274418048</v>
      </c>
      <c r="G166" s="32">
        <f t="shared" ref="G166:N166" si="30">G23+G25-G162+G164</f>
        <v>0</v>
      </c>
      <c r="H166" s="32">
        <f t="shared" si="30"/>
        <v>-231187392</v>
      </c>
      <c r="I166" s="32">
        <f t="shared" si="30"/>
        <v>-297544254</v>
      </c>
      <c r="J166" s="32">
        <f t="shared" si="30"/>
        <v>-1309197494</v>
      </c>
      <c r="K166" s="32">
        <f t="shared" si="30"/>
        <v>-13112347188</v>
      </c>
      <c r="L166" s="32">
        <f t="shared" si="30"/>
        <v>-4917114864.3500004</v>
      </c>
      <c r="M166" s="32">
        <f t="shared" si="30"/>
        <v>0</v>
      </c>
      <c r="N166" s="32">
        <f t="shared" si="30"/>
        <v>-2209119811.8200002</v>
      </c>
      <c r="O166" s="32">
        <f>O23+O25-O162+O164</f>
        <v>-7126234676.1699991</v>
      </c>
      <c r="P166" s="41">
        <f>O166/K166</f>
        <v>0.54347513637312017</v>
      </c>
    </row>
    <row r="167" spans="1:17" s="7" customFormat="1" x14ac:dyDescent="0.3">
      <c r="C167" s="8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44"/>
    </row>
    <row r="168" spans="1:17" x14ac:dyDescent="0.3">
      <c r="K168" s="48"/>
    </row>
  </sheetData>
  <mergeCells count="3">
    <mergeCell ref="D5:E6"/>
    <mergeCell ref="F5:K5"/>
    <mergeCell ref="L5:O5"/>
  </mergeCells>
  <conditionalFormatting sqref="A1:A1048576">
    <cfRule type="duplicateValues" dxfId="68" priority="15"/>
  </conditionalFormatting>
  <conditionalFormatting sqref="D7:O167">
    <cfRule type="expression" dxfId="67" priority="14">
      <formula>IF(MOD(ROW(),2)=0,TRUE,FALSE)</formula>
    </cfRule>
  </conditionalFormatting>
  <conditionalFormatting sqref="D8:P166">
    <cfRule type="expression" dxfId="66" priority="7">
      <formula>IF($C8="Y2",1,0)</formula>
    </cfRule>
    <cfRule type="expression" dxfId="65" priority="8">
      <formula>IF($C8="X2",1,0)</formula>
    </cfRule>
    <cfRule type="expression" dxfId="64" priority="9">
      <formula>IF($C8="X1",1,0)</formula>
    </cfRule>
  </conditionalFormatting>
  <conditionalFormatting sqref="P7:P166">
    <cfRule type="expression" dxfId="63" priority="10">
      <formula>IF(MOD(ROW(),2)=0,TRUE,FALSE)</formula>
    </cfRule>
  </conditionalFormatting>
  <conditionalFormatting sqref="P8">
    <cfRule type="cellIs" dxfId="62" priority="1" operator="greaterThan">
      <formula>1</formula>
    </cfRule>
  </conditionalFormatting>
  <conditionalFormatting sqref="P11:P14">
    <cfRule type="cellIs" dxfId="61" priority="2" operator="greaterThan">
      <formula>1</formula>
    </cfRule>
  </conditionalFormatting>
  <conditionalFormatting sqref="P17:P21">
    <cfRule type="cellIs" dxfId="60" priority="3" operator="greaterThan">
      <formula>1</formula>
    </cfRule>
  </conditionalFormatting>
  <conditionalFormatting sqref="P23">
    <cfRule type="cellIs" dxfId="59" priority="5" operator="greaterThan">
      <formula>1</formula>
    </cfRule>
  </conditionalFormatting>
  <conditionalFormatting sqref="P29:P162">
    <cfRule type="cellIs" dxfId="58" priority="6" operator="greaterThan">
      <formula>1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0D9D-5D8D-46A5-ABF0-4A80087CCA89}">
  <sheetPr>
    <tabColor theme="7" tint="0.79998168889431442"/>
    <pageSetUpPr fitToPage="1"/>
  </sheetPr>
  <dimension ref="A1:R169"/>
  <sheetViews>
    <sheetView showGridLines="0" zoomScale="70" zoomScaleNormal="70" workbookViewId="0">
      <pane xSplit="5" ySplit="6" topLeftCell="K34" activePane="bottomRight" state="frozen"/>
      <selection pane="topRight" activeCell="BA157" sqref="BA157"/>
      <selection pane="bottomLeft" activeCell="BA157" sqref="BA157"/>
      <selection pane="bottomRight" activeCell="N15" sqref="N15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66.140625" style="1" customWidth="1"/>
    <col min="6" max="6" width="26.28515625" style="1" bestFit="1" customWidth="1"/>
    <col min="7" max="7" width="22.28515625" style="1" bestFit="1" customWidth="1"/>
    <col min="8" max="8" width="26.28515625" style="1" bestFit="1" customWidth="1"/>
    <col min="9" max="9" width="23.5703125" style="1" bestFit="1" customWidth="1"/>
    <col min="10" max="10" width="26.28515625" style="1" bestFit="1" customWidth="1"/>
    <col min="11" max="11" width="27.5703125" style="1" bestFit="1" customWidth="1"/>
    <col min="12" max="12" width="26.28515625" style="1" bestFit="1" customWidth="1"/>
    <col min="13" max="13" width="22.28515625" style="1" bestFit="1" customWidth="1"/>
    <col min="14" max="14" width="26.28515625" style="1" bestFit="1" customWidth="1"/>
    <col min="15" max="15" width="27.5703125" style="3" bestFit="1" customWidth="1"/>
    <col min="16" max="16" width="10" style="1" customWidth="1"/>
    <col min="17" max="17" width="18.28515625" style="1" bestFit="1" customWidth="1"/>
    <col min="18" max="16384" width="8.85546875" style="1"/>
  </cols>
  <sheetData>
    <row r="1" spans="1:16" x14ac:dyDescent="0.3">
      <c r="D1" s="1" t="s">
        <v>0</v>
      </c>
    </row>
    <row r="2" spans="1:16" x14ac:dyDescent="0.3">
      <c r="D2" s="1" t="s">
        <v>1</v>
      </c>
    </row>
    <row r="4" spans="1:16" s="2" customFormat="1" ht="16.5" hidden="1" customHeight="1" x14ac:dyDescent="0.3">
      <c r="O4" s="4" t="e">
        <f>#REF!</f>
        <v>#REF!</v>
      </c>
    </row>
    <row r="5" spans="1:16" s="5" customFormat="1" ht="33" customHeight="1" x14ac:dyDescent="0.25">
      <c r="C5" s="6"/>
      <c r="D5" s="72" t="s">
        <v>2</v>
      </c>
      <c r="E5" s="72"/>
      <c r="F5" s="74" t="s">
        <v>170</v>
      </c>
      <c r="G5" s="75"/>
      <c r="H5" s="75"/>
      <c r="I5" s="75"/>
      <c r="J5" s="75"/>
      <c r="K5" s="76"/>
      <c r="L5" s="75" t="s">
        <v>171</v>
      </c>
      <c r="M5" s="75"/>
      <c r="N5" s="75"/>
      <c r="O5" s="77"/>
      <c r="P5" s="30" t="s">
        <v>5</v>
      </c>
    </row>
    <row r="6" spans="1:16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16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</row>
    <row r="8" spans="1:16" s="12" customFormat="1" x14ac:dyDescent="0.3">
      <c r="C8" s="13" t="s">
        <v>13</v>
      </c>
      <c r="D8" s="14" t="s">
        <v>14</v>
      </c>
      <c r="E8" s="15"/>
      <c r="F8" s="32">
        <v>9912949637720</v>
      </c>
      <c r="G8" s="32">
        <v>0</v>
      </c>
      <c r="H8" s="32">
        <v>3913532224491</v>
      </c>
      <c r="I8" s="32">
        <v>974545539188</v>
      </c>
      <c r="J8" s="32">
        <v>2361265957530</v>
      </c>
      <c r="K8" s="32">
        <f>SUM(F8:J8)</f>
        <v>17162293358929</v>
      </c>
      <c r="L8" s="32">
        <v>7475242562807.0596</v>
      </c>
      <c r="M8" s="32"/>
      <c r="N8" s="32">
        <v>2258670367051.6802</v>
      </c>
      <c r="O8" s="16">
        <f>SUM(L8:N8)</f>
        <v>9733912929858.7402</v>
      </c>
      <c r="P8" s="37">
        <f>O8/K8</f>
        <v>0.56716854363723435</v>
      </c>
    </row>
    <row r="9" spans="1:16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9"/>
    </row>
    <row r="10" spans="1:16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</row>
    <row r="11" spans="1:16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33">
        <v>358429774172</v>
      </c>
      <c r="G11" s="33">
        <v>0</v>
      </c>
      <c r="H11" s="33">
        <v>12754022487</v>
      </c>
      <c r="I11" s="33">
        <v>9459354711</v>
      </c>
      <c r="J11" s="33">
        <v>42658164985</v>
      </c>
      <c r="K11" s="33">
        <f>SUM(F11:J11)</f>
        <v>423301316355</v>
      </c>
      <c r="L11" s="33">
        <v>190514059218.81</v>
      </c>
      <c r="M11" s="33">
        <v>0</v>
      </c>
      <c r="N11" s="33">
        <v>74534464935.089996</v>
      </c>
      <c r="O11" s="19">
        <f t="shared" ref="O11:O13" si="0">SUM(L11:N11)</f>
        <v>265048524153.89999</v>
      </c>
      <c r="P11" s="37">
        <f>O11/K11</f>
        <v>0.62614623180528473</v>
      </c>
    </row>
    <row r="12" spans="1:16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 t="shared" ref="K12:K13" si="1">SUM(F12:J12)</f>
        <v>0</v>
      </c>
      <c r="L12" s="33">
        <v>0</v>
      </c>
      <c r="M12" s="33">
        <v>0</v>
      </c>
      <c r="N12" s="33">
        <v>0</v>
      </c>
      <c r="O12" s="19">
        <f t="shared" si="0"/>
        <v>0</v>
      </c>
      <c r="P12" s="37">
        <v>0</v>
      </c>
    </row>
    <row r="13" spans="1:16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33">
        <v>32275195681</v>
      </c>
      <c r="G13" s="33">
        <v>0</v>
      </c>
      <c r="H13" s="33">
        <v>1548572196</v>
      </c>
      <c r="I13" s="33">
        <v>1411596254</v>
      </c>
      <c r="J13" s="33">
        <v>24666604293</v>
      </c>
      <c r="K13" s="33">
        <f t="shared" si="1"/>
        <v>59901968424</v>
      </c>
      <c r="L13" s="33">
        <v>20557360139.279999</v>
      </c>
      <c r="M13" s="33">
        <v>0</v>
      </c>
      <c r="N13" s="33">
        <v>9855614268.539999</v>
      </c>
      <c r="O13" s="19">
        <f t="shared" si="0"/>
        <v>30412974407.82</v>
      </c>
      <c r="P13" s="37">
        <f>O13/K13</f>
        <v>0.50771243763727303</v>
      </c>
    </row>
    <row r="14" spans="1:16" s="23" customFormat="1" x14ac:dyDescent="0.3">
      <c r="B14" s="12"/>
      <c r="C14" s="13" t="s">
        <v>20</v>
      </c>
      <c r="D14" s="14"/>
      <c r="E14" s="15" t="s">
        <v>21</v>
      </c>
      <c r="F14" s="32">
        <f>F11-F12-F13</f>
        <v>326154578491</v>
      </c>
      <c r="G14" s="32">
        <f t="shared" ref="G14:K14" si="2">G11-G12-G13</f>
        <v>0</v>
      </c>
      <c r="H14" s="32">
        <f t="shared" si="2"/>
        <v>11205450291</v>
      </c>
      <c r="I14" s="32">
        <f t="shared" si="2"/>
        <v>8047758457</v>
      </c>
      <c r="J14" s="32">
        <f t="shared" si="2"/>
        <v>17991560692</v>
      </c>
      <c r="K14" s="32">
        <f t="shared" si="2"/>
        <v>363399347931</v>
      </c>
      <c r="L14" s="32">
        <f t="shared" ref="L14" si="3">L11-L12-L13</f>
        <v>169956699079.53</v>
      </c>
      <c r="M14" s="32">
        <f t="shared" ref="M14" si="4">M11-M12-M13</f>
        <v>0</v>
      </c>
      <c r="N14" s="32">
        <f t="shared" ref="N14" si="5">N11-N12-N13</f>
        <v>64678850666.549995</v>
      </c>
      <c r="O14" s="16">
        <f t="shared" ref="O14" si="6">O11-O12-O13</f>
        <v>234635549746.07999</v>
      </c>
      <c r="P14" s="37">
        <f>O14/K14</f>
        <v>0.64566860420077343</v>
      </c>
    </row>
    <row r="15" spans="1:16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19"/>
    </row>
    <row r="16" spans="1:16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</row>
    <row r="17" spans="1:16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33">
        <v>279117753977</v>
      </c>
      <c r="G17" s="33">
        <v>22334975222</v>
      </c>
      <c r="H17" s="33">
        <v>5202817631</v>
      </c>
      <c r="I17" s="33">
        <v>5124694714</v>
      </c>
      <c r="J17" s="33">
        <v>37261618379</v>
      </c>
      <c r="K17" s="33">
        <f t="shared" ref="K17:K20" si="7">SUM(F17:J17)</f>
        <v>349041859923</v>
      </c>
      <c r="L17" s="33">
        <v>137972851112.55002</v>
      </c>
      <c r="M17" s="33">
        <v>4359222990</v>
      </c>
      <c r="N17" s="33">
        <v>63153504771.239998</v>
      </c>
      <c r="O17" s="19">
        <f t="shared" ref="O17:O20" si="8">SUM(L17:N17)</f>
        <v>205485578873.79001</v>
      </c>
      <c r="P17" s="37">
        <f>O17/K17</f>
        <v>0.58871328189438632</v>
      </c>
    </row>
    <row r="18" spans="1:16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33">
        <v>1747285621</v>
      </c>
      <c r="G18" s="33">
        <v>-5867662416</v>
      </c>
      <c r="H18" s="33">
        <v>17700890</v>
      </c>
      <c r="I18" s="33">
        <v>264667074</v>
      </c>
      <c r="J18" s="33">
        <v>8523487423</v>
      </c>
      <c r="K18" s="33">
        <f t="shared" si="7"/>
        <v>4685478592</v>
      </c>
      <c r="L18" s="33">
        <v>14579892849.470001</v>
      </c>
      <c r="M18" s="33">
        <v>-5867662417.3699999</v>
      </c>
      <c r="N18" s="33">
        <v>2116149160.1700001</v>
      </c>
      <c r="O18" s="19">
        <f t="shared" si="8"/>
        <v>10828379592.270002</v>
      </c>
      <c r="P18" s="37">
        <f>O18/K18</f>
        <v>2.3110509160704331</v>
      </c>
    </row>
    <row r="19" spans="1:16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33">
        <v>71739819407</v>
      </c>
      <c r="G19" s="33">
        <v>17075082318</v>
      </c>
      <c r="H19" s="33">
        <v>59056287</v>
      </c>
      <c r="I19" s="33">
        <v>120506747</v>
      </c>
      <c r="J19" s="33">
        <v>26509953142</v>
      </c>
      <c r="K19" s="33">
        <f t="shared" si="7"/>
        <v>115504417901</v>
      </c>
      <c r="L19" s="33">
        <v>53678578214.449997</v>
      </c>
      <c r="M19" s="33">
        <v>7652889506.75</v>
      </c>
      <c r="N19" s="33">
        <v>17958707012.335037</v>
      </c>
      <c r="O19" s="19">
        <f t="shared" si="8"/>
        <v>79290174733.535034</v>
      </c>
      <c r="P19" s="37">
        <f>O19/K19</f>
        <v>0.68646876175329885</v>
      </c>
    </row>
    <row r="20" spans="1:16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33">
        <v>5093038920</v>
      </c>
      <c r="G20" s="33">
        <v>0</v>
      </c>
      <c r="H20" s="33">
        <v>269126234</v>
      </c>
      <c r="I20" s="33">
        <v>215756309</v>
      </c>
      <c r="J20" s="33">
        <v>3766766262</v>
      </c>
      <c r="K20" s="33">
        <f t="shared" si="7"/>
        <v>9344687725</v>
      </c>
      <c r="L20" s="33">
        <v>3367253671.6199999</v>
      </c>
      <c r="M20" s="33">
        <v>0</v>
      </c>
      <c r="N20" s="33">
        <v>1271583437.2600002</v>
      </c>
      <c r="O20" s="19">
        <f t="shared" si="8"/>
        <v>4638837108.8800001</v>
      </c>
      <c r="P20" s="37">
        <f>O20/K20</f>
        <v>0.49641435277389112</v>
      </c>
    </row>
    <row r="21" spans="1:16" s="23" customFormat="1" x14ac:dyDescent="0.3">
      <c r="B21" s="12"/>
      <c r="C21" s="13" t="s">
        <v>20</v>
      </c>
      <c r="D21" s="14"/>
      <c r="E21" s="15" t="s">
        <v>28</v>
      </c>
      <c r="F21" s="32">
        <f>F17+F18-F19-F20</f>
        <v>204032181271</v>
      </c>
      <c r="G21" s="32">
        <f t="shared" ref="G21:K21" si="9">G17+G18-G19-G20</f>
        <v>-607769512</v>
      </c>
      <c r="H21" s="32">
        <f t="shared" si="9"/>
        <v>4892336000</v>
      </c>
      <c r="I21" s="32">
        <f t="shared" si="9"/>
        <v>5053098732</v>
      </c>
      <c r="J21" s="32">
        <f t="shared" si="9"/>
        <v>15508386398</v>
      </c>
      <c r="K21" s="32">
        <f t="shared" si="9"/>
        <v>228878232889</v>
      </c>
      <c r="L21" s="32">
        <f>L17+L18-L19-L20</f>
        <v>95506912075.950027</v>
      </c>
      <c r="M21" s="32">
        <f t="shared" ref="M21" si="10">M17+M18-M19-M20</f>
        <v>-9161328934.1199989</v>
      </c>
      <c r="N21" s="32">
        <f t="shared" ref="N21" si="11">N17+N18-N19-N20</f>
        <v>46039363481.814957</v>
      </c>
      <c r="O21" s="16">
        <f t="shared" ref="O21" si="12">O17+O18-O19-O20</f>
        <v>132384946623.64496</v>
      </c>
      <c r="P21" s="37">
        <f>O21/K21</f>
        <v>0.57840776273315697</v>
      </c>
    </row>
    <row r="22" spans="1:16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19"/>
    </row>
    <row r="23" spans="1:16" s="23" customFormat="1" x14ac:dyDescent="0.3">
      <c r="B23" s="12"/>
      <c r="C23" s="13" t="s">
        <v>13</v>
      </c>
      <c r="D23" s="14" t="s">
        <v>29</v>
      </c>
      <c r="E23" s="15"/>
      <c r="F23" s="32">
        <f>F14-F21</f>
        <v>122122397220</v>
      </c>
      <c r="G23" s="32">
        <f t="shared" ref="G23:K23" si="13">G14-G21</f>
        <v>607769512</v>
      </c>
      <c r="H23" s="32">
        <f t="shared" si="13"/>
        <v>6313114291</v>
      </c>
      <c r="I23" s="32">
        <f t="shared" si="13"/>
        <v>2994659725</v>
      </c>
      <c r="J23" s="32">
        <f t="shared" si="13"/>
        <v>2483174294</v>
      </c>
      <c r="K23" s="32">
        <f t="shared" si="13"/>
        <v>134521115042</v>
      </c>
      <c r="L23" s="32">
        <f t="shared" ref="L23:N23" si="14">L14-L21</f>
        <v>74449787003.579971</v>
      </c>
      <c r="M23" s="32">
        <f t="shared" si="14"/>
        <v>9161328934.1199989</v>
      </c>
      <c r="N23" s="32">
        <f t="shared" si="14"/>
        <v>18639487184.735039</v>
      </c>
      <c r="O23" s="16">
        <f>O14-O21</f>
        <v>102250603122.43503</v>
      </c>
      <c r="P23" s="37">
        <f>O23/K23</f>
        <v>0.76010820376050614</v>
      </c>
    </row>
    <row r="24" spans="1:16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1:16" s="23" customFormat="1" x14ac:dyDescent="0.3">
      <c r="B25" s="12">
        <v>19</v>
      </c>
      <c r="C25" s="13" t="s">
        <v>13</v>
      </c>
      <c r="D25" s="14" t="s">
        <v>30</v>
      </c>
      <c r="E25" s="15"/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/>
      <c r="M25" s="15"/>
      <c r="N25" s="15"/>
      <c r="O25" s="19">
        <v>0</v>
      </c>
      <c r="P25" s="19">
        <v>0</v>
      </c>
    </row>
    <row r="26" spans="1:16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1:16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</row>
    <row r="28" spans="1:16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</row>
    <row r="29" spans="1:16" s="20" customFormat="1" x14ac:dyDescent="0.3">
      <c r="A29" s="20">
        <v>94</v>
      </c>
      <c r="B29" s="7"/>
      <c r="C29" s="8"/>
      <c r="D29" s="21"/>
      <c r="E29" s="24" t="s">
        <v>33</v>
      </c>
      <c r="F29" s="31">
        <v>2019992538</v>
      </c>
      <c r="G29" s="31">
        <v>0</v>
      </c>
      <c r="H29" s="31">
        <v>41420923</v>
      </c>
      <c r="I29" s="31">
        <v>53309818</v>
      </c>
      <c r="J29" s="31">
        <v>234563696</v>
      </c>
      <c r="K29" s="33">
        <f t="shared" ref="K29:K51" si="15">SUM(F29:J29)</f>
        <v>2349286975</v>
      </c>
      <c r="L29" s="31">
        <v>1043039225.34</v>
      </c>
      <c r="M29" s="31"/>
      <c r="N29" s="31">
        <v>457927488.65999997</v>
      </c>
      <c r="O29" s="19">
        <f t="shared" ref="O29:O51" si="16">SUM(L29:N29)</f>
        <v>1500966714</v>
      </c>
      <c r="P29" s="37">
        <f t="shared" ref="P29:P34" si="17">O29/K29</f>
        <v>0.63890309271390733</v>
      </c>
    </row>
    <row r="30" spans="1:16" s="20" customFormat="1" x14ac:dyDescent="0.3">
      <c r="A30" s="20">
        <v>95</v>
      </c>
      <c r="B30" s="7"/>
      <c r="C30" s="8"/>
      <c r="D30" s="21"/>
      <c r="E30" s="24" t="s">
        <v>34</v>
      </c>
      <c r="F30" s="31">
        <v>80955400</v>
      </c>
      <c r="G30" s="31">
        <v>0</v>
      </c>
      <c r="H30" s="31">
        <v>1660030</v>
      </c>
      <c r="I30" s="31">
        <v>2136502</v>
      </c>
      <c r="J30" s="31">
        <v>9400628</v>
      </c>
      <c r="K30" s="33">
        <f t="shared" si="15"/>
        <v>94152560</v>
      </c>
      <c r="L30" s="31">
        <v>40590423.289999999</v>
      </c>
      <c r="M30" s="31"/>
      <c r="N30" s="31">
        <v>17569108.710000001</v>
      </c>
      <c r="O30" s="19">
        <f t="shared" si="16"/>
        <v>58159532</v>
      </c>
      <c r="P30" s="37">
        <f t="shared" si="17"/>
        <v>0.61771588579216541</v>
      </c>
    </row>
    <row r="31" spans="1:16" s="20" customFormat="1" x14ac:dyDescent="0.3">
      <c r="A31" s="20">
        <v>96</v>
      </c>
      <c r="B31" s="7"/>
      <c r="C31" s="8"/>
      <c r="D31" s="21"/>
      <c r="E31" s="24" t="s">
        <v>35</v>
      </c>
      <c r="F31" s="31">
        <v>360926704</v>
      </c>
      <c r="G31" s="31">
        <v>0</v>
      </c>
      <c r="H31" s="31">
        <v>7400976</v>
      </c>
      <c r="I31" s="31">
        <v>9525251</v>
      </c>
      <c r="J31" s="31">
        <v>41911195</v>
      </c>
      <c r="K31" s="33">
        <f t="shared" si="15"/>
        <v>419764126</v>
      </c>
      <c r="L31" s="31">
        <v>0</v>
      </c>
      <c r="M31" s="31"/>
      <c r="N31" s="31">
        <v>0</v>
      </c>
      <c r="O31" s="19">
        <f t="shared" si="16"/>
        <v>0</v>
      </c>
      <c r="P31" s="37">
        <f t="shared" si="17"/>
        <v>0</v>
      </c>
    </row>
    <row r="32" spans="1:16" s="20" customFormat="1" x14ac:dyDescent="0.3">
      <c r="A32" s="20">
        <v>97</v>
      </c>
      <c r="B32" s="7"/>
      <c r="C32" s="8"/>
      <c r="D32" s="21"/>
      <c r="E32" s="24" t="s">
        <v>36</v>
      </c>
      <c r="F32" s="31">
        <v>16536107</v>
      </c>
      <c r="G32" s="31">
        <v>0</v>
      </c>
      <c r="H32" s="31">
        <v>339081</v>
      </c>
      <c r="I32" s="31">
        <v>436406</v>
      </c>
      <c r="J32" s="31">
        <v>1920190</v>
      </c>
      <c r="K32" s="33">
        <f t="shared" si="15"/>
        <v>19231784</v>
      </c>
      <c r="L32" s="31">
        <v>0</v>
      </c>
      <c r="M32" s="31"/>
      <c r="N32" s="31">
        <v>0</v>
      </c>
      <c r="O32" s="19">
        <f t="shared" si="16"/>
        <v>0</v>
      </c>
      <c r="P32" s="37">
        <f t="shared" si="17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1">
        <v>262090662</v>
      </c>
      <c r="G33" s="31">
        <v>0</v>
      </c>
      <c r="H33" s="31">
        <v>5374296</v>
      </c>
      <c r="I33" s="31">
        <v>6916860</v>
      </c>
      <c r="J33" s="31">
        <v>30434248</v>
      </c>
      <c r="K33" s="33">
        <f t="shared" si="15"/>
        <v>304816066</v>
      </c>
      <c r="L33" s="31">
        <v>0</v>
      </c>
      <c r="M33" s="31"/>
      <c r="N33" s="31">
        <v>0</v>
      </c>
      <c r="O33" s="19">
        <f t="shared" si="16"/>
        <v>0</v>
      </c>
      <c r="P33" s="37">
        <f t="shared" si="17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1">
        <v>2639551770</v>
      </c>
      <c r="G34" s="31">
        <v>0</v>
      </c>
      <c r="H34" s="31">
        <v>54125284</v>
      </c>
      <c r="I34" s="31">
        <v>69660665</v>
      </c>
      <c r="J34" s="31">
        <v>306507577</v>
      </c>
      <c r="K34" s="33">
        <f t="shared" si="15"/>
        <v>3069845296</v>
      </c>
      <c r="L34" s="31">
        <v>1426202385.95</v>
      </c>
      <c r="M34" s="31"/>
      <c r="N34" s="31">
        <v>626293447.32999992</v>
      </c>
      <c r="O34" s="19">
        <f t="shared" si="16"/>
        <v>2052495833.28</v>
      </c>
      <c r="P34" s="37">
        <f t="shared" si="17"/>
        <v>0.66859911017483398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3">
        <f t="shared" si="15"/>
        <v>0</v>
      </c>
      <c r="L35" s="31">
        <v>0</v>
      </c>
      <c r="M35" s="31"/>
      <c r="N35" s="31">
        <v>0</v>
      </c>
      <c r="O35" s="19">
        <f t="shared" si="16"/>
        <v>0</v>
      </c>
      <c r="P35" s="37">
        <v>0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3">
        <f t="shared" si="15"/>
        <v>0</v>
      </c>
      <c r="L36" s="31">
        <v>0</v>
      </c>
      <c r="M36" s="31"/>
      <c r="N36" s="31">
        <v>0</v>
      </c>
      <c r="O36" s="19">
        <f t="shared" si="16"/>
        <v>0</v>
      </c>
      <c r="P36" s="37">
        <v>0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1">
        <v>396307733</v>
      </c>
      <c r="G37" s="31">
        <v>0</v>
      </c>
      <c r="H37" s="31">
        <v>8126482</v>
      </c>
      <c r="I37" s="31">
        <v>10458996</v>
      </c>
      <c r="J37" s="31">
        <v>46019678</v>
      </c>
      <c r="K37" s="33">
        <f t="shared" si="15"/>
        <v>460912889</v>
      </c>
      <c r="L37" s="31">
        <v>0</v>
      </c>
      <c r="M37" s="31"/>
      <c r="N37" s="31">
        <v>0</v>
      </c>
      <c r="O37" s="19">
        <f t="shared" si="16"/>
        <v>0</v>
      </c>
      <c r="P37" s="37">
        <f t="shared" ref="P37:P49" si="18">O37/K37</f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1">
        <v>100583081</v>
      </c>
      <c r="G38" s="31">
        <v>0</v>
      </c>
      <c r="H38" s="31">
        <v>2062505</v>
      </c>
      <c r="I38" s="31">
        <v>2654498</v>
      </c>
      <c r="J38" s="31">
        <v>11679815</v>
      </c>
      <c r="K38" s="33">
        <f t="shared" si="15"/>
        <v>116979899</v>
      </c>
      <c r="L38" s="31">
        <v>0</v>
      </c>
      <c r="M38" s="31"/>
      <c r="N38" s="31">
        <v>0</v>
      </c>
      <c r="O38" s="19">
        <f t="shared" si="16"/>
        <v>0</v>
      </c>
      <c r="P38" s="37">
        <f t="shared" si="18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1">
        <v>142687058</v>
      </c>
      <c r="G39" s="31">
        <v>0</v>
      </c>
      <c r="H39" s="31">
        <v>2925867</v>
      </c>
      <c r="I39" s="31">
        <v>3765668</v>
      </c>
      <c r="J39" s="31">
        <v>16568974</v>
      </c>
      <c r="K39" s="33">
        <f t="shared" si="15"/>
        <v>165947567</v>
      </c>
      <c r="L39" s="31">
        <v>0</v>
      </c>
      <c r="M39" s="31"/>
      <c r="N39" s="31">
        <v>0</v>
      </c>
      <c r="O39" s="19">
        <f t="shared" si="16"/>
        <v>0</v>
      </c>
      <c r="P39" s="37">
        <f t="shared" si="18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1">
        <v>20708564</v>
      </c>
      <c r="G40" s="31">
        <v>0</v>
      </c>
      <c r="H40" s="31">
        <v>424639</v>
      </c>
      <c r="I40" s="31">
        <v>546522</v>
      </c>
      <c r="J40" s="31">
        <v>2404701</v>
      </c>
      <c r="K40" s="33">
        <f t="shared" si="15"/>
        <v>24084426</v>
      </c>
      <c r="L40" s="31">
        <v>0</v>
      </c>
      <c r="M40" s="31"/>
      <c r="N40" s="31">
        <v>0</v>
      </c>
      <c r="O40" s="19">
        <f t="shared" si="16"/>
        <v>0</v>
      </c>
      <c r="P40" s="37">
        <f t="shared" si="18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1">
        <v>47983259</v>
      </c>
      <c r="G41" s="31">
        <v>0</v>
      </c>
      <c r="H41" s="31">
        <v>983920</v>
      </c>
      <c r="I41" s="31">
        <v>1266331</v>
      </c>
      <c r="J41" s="31">
        <v>5571867</v>
      </c>
      <c r="K41" s="33">
        <f t="shared" si="15"/>
        <v>55805377</v>
      </c>
      <c r="L41" s="31">
        <v>0</v>
      </c>
      <c r="M41" s="31"/>
      <c r="N41" s="31">
        <v>0</v>
      </c>
      <c r="O41" s="19">
        <f t="shared" si="16"/>
        <v>0</v>
      </c>
      <c r="P41" s="37">
        <f t="shared" si="18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1">
        <v>695650945</v>
      </c>
      <c r="G42" s="31">
        <v>0</v>
      </c>
      <c r="H42" s="31">
        <v>14264659</v>
      </c>
      <c r="I42" s="31">
        <v>18358991</v>
      </c>
      <c r="J42" s="31">
        <v>80779732</v>
      </c>
      <c r="K42" s="33">
        <f t="shared" si="15"/>
        <v>809054327</v>
      </c>
      <c r="L42" s="31">
        <v>430781900.82999998</v>
      </c>
      <c r="M42" s="31"/>
      <c r="N42" s="31">
        <v>197027524.72999996</v>
      </c>
      <c r="O42" s="19">
        <f t="shared" si="16"/>
        <v>627809425.55999994</v>
      </c>
      <c r="P42" s="37">
        <f t="shared" si="18"/>
        <v>0.77597931882762172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1">
        <v>1603647260</v>
      </c>
      <c r="G43" s="31">
        <v>0</v>
      </c>
      <c r="H43" s="31">
        <v>32883562</v>
      </c>
      <c r="I43" s="31">
        <v>42322009</v>
      </c>
      <c r="J43" s="31">
        <v>186217237</v>
      </c>
      <c r="K43" s="33">
        <f t="shared" si="15"/>
        <v>1865070068</v>
      </c>
      <c r="L43" s="31">
        <v>248902403.47999999</v>
      </c>
      <c r="M43" s="31"/>
      <c r="N43" s="31">
        <v>118156179.38999999</v>
      </c>
      <c r="O43" s="19">
        <f t="shared" si="16"/>
        <v>367058582.87</v>
      </c>
      <c r="P43" s="37">
        <f t="shared" si="18"/>
        <v>0.19680685952116198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1">
        <v>83963494</v>
      </c>
      <c r="G44" s="31">
        <v>0</v>
      </c>
      <c r="H44" s="31">
        <v>1721712</v>
      </c>
      <c r="I44" s="31">
        <v>2215889</v>
      </c>
      <c r="J44" s="31">
        <v>9749931</v>
      </c>
      <c r="K44" s="33">
        <f t="shared" si="15"/>
        <v>97651026</v>
      </c>
      <c r="L44" s="31">
        <v>38538806.899999999</v>
      </c>
      <c r="M44" s="31"/>
      <c r="N44" s="31">
        <v>16927860.099999998</v>
      </c>
      <c r="O44" s="19">
        <f t="shared" si="16"/>
        <v>55466667</v>
      </c>
      <c r="P44" s="37">
        <f t="shared" si="18"/>
        <v>0.56800905502006704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1">
        <v>943740633</v>
      </c>
      <c r="G45" s="31">
        <v>0</v>
      </c>
      <c r="H45" s="31">
        <v>19351858</v>
      </c>
      <c r="I45" s="31">
        <v>24906350</v>
      </c>
      <c r="J45" s="31">
        <v>109588173</v>
      </c>
      <c r="K45" s="33">
        <f t="shared" si="15"/>
        <v>1097587014</v>
      </c>
      <c r="L45" s="31">
        <v>597296259.63</v>
      </c>
      <c r="M45" s="31"/>
      <c r="N45" s="31">
        <v>262512074.36999997</v>
      </c>
      <c r="O45" s="19">
        <f t="shared" si="16"/>
        <v>859808334</v>
      </c>
      <c r="P45" s="37">
        <f t="shared" si="18"/>
        <v>0.78336234214957645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1">
        <v>32940452</v>
      </c>
      <c r="G46" s="31">
        <v>0</v>
      </c>
      <c r="H46" s="31">
        <v>675460</v>
      </c>
      <c r="I46" s="31">
        <v>869335</v>
      </c>
      <c r="J46" s="31">
        <v>3825081</v>
      </c>
      <c r="K46" s="33">
        <f t="shared" si="15"/>
        <v>38310328</v>
      </c>
      <c r="L46" s="31">
        <v>0</v>
      </c>
      <c r="M46" s="31"/>
      <c r="N46" s="31">
        <v>0</v>
      </c>
      <c r="O46" s="19">
        <f t="shared" si="16"/>
        <v>0</v>
      </c>
      <c r="P46" s="37">
        <f t="shared" si="18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1">
        <v>316045338</v>
      </c>
      <c r="G47" s="31">
        <v>0</v>
      </c>
      <c r="H47" s="31">
        <v>6480662</v>
      </c>
      <c r="I47" s="31">
        <v>8340783</v>
      </c>
      <c r="J47" s="31">
        <v>36699523</v>
      </c>
      <c r="K47" s="33">
        <f t="shared" si="15"/>
        <v>367566306</v>
      </c>
      <c r="L47" s="31">
        <v>0</v>
      </c>
      <c r="M47" s="31"/>
      <c r="N47" s="31">
        <v>0</v>
      </c>
      <c r="O47" s="19">
        <f t="shared" si="16"/>
        <v>0</v>
      </c>
      <c r="P47" s="37">
        <f t="shared" si="18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1">
        <v>284009877</v>
      </c>
      <c r="G48" s="31">
        <v>0</v>
      </c>
      <c r="H48" s="31">
        <v>5823760</v>
      </c>
      <c r="I48" s="31">
        <v>7495332</v>
      </c>
      <c r="J48" s="31">
        <v>32979531</v>
      </c>
      <c r="K48" s="33">
        <f t="shared" si="15"/>
        <v>330308500</v>
      </c>
      <c r="L48" s="31">
        <v>208289622</v>
      </c>
      <c r="M48" s="31"/>
      <c r="N48" s="31">
        <v>89040378</v>
      </c>
      <c r="O48" s="19">
        <f t="shared" si="16"/>
        <v>297330000</v>
      </c>
      <c r="P48" s="37">
        <f t="shared" si="18"/>
        <v>0.90015848820118161</v>
      </c>
    </row>
    <row r="49" spans="1:16" s="20" customFormat="1" x14ac:dyDescent="0.3">
      <c r="A49" s="20">
        <v>124</v>
      </c>
      <c r="B49" s="7"/>
      <c r="C49" s="8"/>
      <c r="D49" s="21"/>
      <c r="E49" s="24" t="s">
        <v>53</v>
      </c>
      <c r="F49" s="31">
        <v>66933169</v>
      </c>
      <c r="G49" s="31">
        <v>0</v>
      </c>
      <c r="H49" s="31">
        <v>1372497</v>
      </c>
      <c r="I49" s="31">
        <v>1766440</v>
      </c>
      <c r="J49" s="31">
        <v>7772351</v>
      </c>
      <c r="K49" s="33">
        <f t="shared" si="15"/>
        <v>77844457</v>
      </c>
      <c r="L49" s="31">
        <v>0</v>
      </c>
      <c r="M49" s="31"/>
      <c r="N49" s="31">
        <v>0</v>
      </c>
      <c r="O49" s="19">
        <f t="shared" si="16"/>
        <v>0</v>
      </c>
      <c r="P49" s="37">
        <f t="shared" si="18"/>
        <v>0</v>
      </c>
    </row>
    <row r="50" spans="1:16" s="20" customFormat="1" x14ac:dyDescent="0.3">
      <c r="A50" s="20">
        <v>143</v>
      </c>
      <c r="B50" s="7"/>
      <c r="C50" s="8"/>
      <c r="D50" s="21"/>
      <c r="E50" s="24" t="s">
        <v>54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3">
        <f t="shared" si="15"/>
        <v>0</v>
      </c>
      <c r="L50" s="31">
        <v>0</v>
      </c>
      <c r="M50" s="31"/>
      <c r="N50" s="31">
        <v>0</v>
      </c>
      <c r="O50" s="19">
        <f t="shared" si="16"/>
        <v>0</v>
      </c>
      <c r="P50" s="37">
        <v>0</v>
      </c>
    </row>
    <row r="51" spans="1:16" s="20" customFormat="1" x14ac:dyDescent="0.3">
      <c r="A51" s="20">
        <v>0</v>
      </c>
      <c r="B51" s="7"/>
      <c r="C51" s="8"/>
      <c r="D51" s="21"/>
      <c r="E51" s="24" t="s">
        <v>55</v>
      </c>
      <c r="F51" s="31">
        <v>183002512</v>
      </c>
      <c r="G51" s="31">
        <v>0</v>
      </c>
      <c r="H51" s="31">
        <v>3752555</v>
      </c>
      <c r="I51" s="31">
        <v>4829637</v>
      </c>
      <c r="J51" s="31">
        <v>21250448</v>
      </c>
      <c r="K51" s="33">
        <f t="shared" si="15"/>
        <v>212835152</v>
      </c>
      <c r="L51" s="31">
        <v>113590787.23</v>
      </c>
      <c r="M51" s="31"/>
      <c r="N51" s="31">
        <v>50159546.769999996</v>
      </c>
      <c r="O51" s="19">
        <f t="shared" si="16"/>
        <v>163750334</v>
      </c>
      <c r="P51" s="37">
        <f>O51/K51</f>
        <v>0.76937635752951183</v>
      </c>
    </row>
    <row r="52" spans="1:16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10298256556</v>
      </c>
      <c r="G52" s="32">
        <f t="shared" ref="G52:K52" si="19">SUM(G29:G51)</f>
        <v>0</v>
      </c>
      <c r="H52" s="32">
        <f t="shared" si="19"/>
        <v>211170728</v>
      </c>
      <c r="I52" s="32">
        <f t="shared" si="19"/>
        <v>271782283</v>
      </c>
      <c r="J52" s="32">
        <f t="shared" si="19"/>
        <v>1195844576</v>
      </c>
      <c r="K52" s="32">
        <f t="shared" si="19"/>
        <v>11977054143</v>
      </c>
      <c r="L52" s="32">
        <f t="shared" ref="L52" si="20">SUM(L29:L51)</f>
        <v>4147231814.6500001</v>
      </c>
      <c r="M52" s="32">
        <f t="shared" ref="M52" si="21">SUM(M29:M51)</f>
        <v>0</v>
      </c>
      <c r="N52" s="32">
        <f t="shared" ref="N52" si="22">SUM(N29:N51)</f>
        <v>1835613608.0599995</v>
      </c>
      <c r="O52" s="16">
        <f t="shared" ref="O52" si="23">SUM(O29:O51)</f>
        <v>5982845422.71</v>
      </c>
      <c r="P52" s="37">
        <f>O52/K52</f>
        <v>0.49952562218370528</v>
      </c>
    </row>
    <row r="53" spans="1:16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19"/>
    </row>
    <row r="54" spans="1:16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19"/>
    </row>
    <row r="55" spans="1:16" s="20" customFormat="1" x14ac:dyDescent="0.3">
      <c r="A55" s="20">
        <v>169</v>
      </c>
      <c r="B55" s="7"/>
      <c r="C55" s="8"/>
      <c r="D55" s="21"/>
      <c r="E55" s="24" t="s">
        <v>58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3">
        <f t="shared" ref="K55:K118" si="24">SUM(F55:J55)</f>
        <v>0</v>
      </c>
      <c r="L55" s="31">
        <v>0</v>
      </c>
      <c r="M55" s="31"/>
      <c r="N55" s="31">
        <v>0</v>
      </c>
      <c r="O55" s="19">
        <f t="shared" ref="O55:O118" si="25">SUM(L55:N55)</f>
        <v>0</v>
      </c>
      <c r="P55" s="37">
        <v>0</v>
      </c>
    </row>
    <row r="56" spans="1:16" s="20" customFormat="1" x14ac:dyDescent="0.3">
      <c r="A56" s="20">
        <v>171</v>
      </c>
      <c r="B56" s="7"/>
      <c r="C56" s="8"/>
      <c r="D56" s="21"/>
      <c r="E56" s="24" t="s">
        <v>59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3">
        <f t="shared" si="24"/>
        <v>0</v>
      </c>
      <c r="L56" s="31">
        <v>0</v>
      </c>
      <c r="M56" s="31"/>
      <c r="N56" s="31">
        <v>0</v>
      </c>
      <c r="O56" s="19">
        <f t="shared" si="25"/>
        <v>0</v>
      </c>
      <c r="P56" s="37">
        <v>0</v>
      </c>
    </row>
    <row r="57" spans="1:16" s="20" customFormat="1" x14ac:dyDescent="0.3">
      <c r="A57" s="20">
        <v>175</v>
      </c>
      <c r="B57" s="7"/>
      <c r="C57" s="8"/>
      <c r="D57" s="21"/>
      <c r="E57" s="24" t="s">
        <v>60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3">
        <f t="shared" si="24"/>
        <v>0</v>
      </c>
      <c r="L57" s="31">
        <v>0</v>
      </c>
      <c r="M57" s="31"/>
      <c r="N57" s="31">
        <v>0</v>
      </c>
      <c r="O57" s="19">
        <f t="shared" si="25"/>
        <v>0</v>
      </c>
      <c r="P57" s="37">
        <v>0</v>
      </c>
    </row>
    <row r="58" spans="1:16" s="20" customFormat="1" x14ac:dyDescent="0.3">
      <c r="A58" s="20">
        <v>176</v>
      </c>
      <c r="B58" s="7"/>
      <c r="C58" s="8"/>
      <c r="D58" s="21"/>
      <c r="E58" s="24" t="s">
        <v>61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3">
        <f t="shared" si="24"/>
        <v>0</v>
      </c>
      <c r="L58" s="31">
        <v>0</v>
      </c>
      <c r="M58" s="31"/>
      <c r="N58" s="31">
        <v>0</v>
      </c>
      <c r="O58" s="19">
        <f t="shared" si="25"/>
        <v>0</v>
      </c>
      <c r="P58" s="37">
        <v>0</v>
      </c>
    </row>
    <row r="59" spans="1:16" s="20" customFormat="1" x14ac:dyDescent="0.3">
      <c r="A59" s="20">
        <v>177</v>
      </c>
      <c r="B59" s="7"/>
      <c r="C59" s="8"/>
      <c r="D59" s="21"/>
      <c r="E59" s="24" t="s">
        <v>62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3">
        <f t="shared" si="24"/>
        <v>0</v>
      </c>
      <c r="L59" s="31">
        <v>0</v>
      </c>
      <c r="M59" s="31"/>
      <c r="N59" s="31">
        <v>0</v>
      </c>
      <c r="O59" s="19">
        <f t="shared" si="25"/>
        <v>0</v>
      </c>
      <c r="P59" s="37">
        <v>0</v>
      </c>
    </row>
    <row r="60" spans="1:16" s="20" customFormat="1" x14ac:dyDescent="0.3">
      <c r="A60" s="20">
        <v>179</v>
      </c>
      <c r="B60" s="7"/>
      <c r="C60" s="8"/>
      <c r="D60" s="21"/>
      <c r="E60" s="24" t="s">
        <v>63</v>
      </c>
      <c r="F60" s="31">
        <v>307268768</v>
      </c>
      <c r="G60" s="31">
        <v>0</v>
      </c>
      <c r="H60" s="31">
        <v>6300695</v>
      </c>
      <c r="I60" s="31">
        <v>8109160</v>
      </c>
      <c r="J60" s="31">
        <v>35680378</v>
      </c>
      <c r="K60" s="33">
        <f t="shared" si="24"/>
        <v>357359001</v>
      </c>
      <c r="L60" s="31">
        <v>155326213.88999999</v>
      </c>
      <c r="M60" s="31"/>
      <c r="N60" s="31">
        <v>68330668.109999985</v>
      </c>
      <c r="O60" s="19">
        <f t="shared" si="25"/>
        <v>223656881.99999997</v>
      </c>
      <c r="P60" s="37">
        <f>O60/K60</f>
        <v>0.62586049707476088</v>
      </c>
    </row>
    <row r="61" spans="1:16" s="20" customFormat="1" x14ac:dyDescent="0.3">
      <c r="A61" s="20">
        <v>180</v>
      </c>
      <c r="B61" s="7"/>
      <c r="C61" s="8"/>
      <c r="D61" s="21"/>
      <c r="E61" s="24" t="s">
        <v>64</v>
      </c>
      <c r="F61" s="31">
        <v>15169427</v>
      </c>
      <c r="G61" s="31">
        <v>0</v>
      </c>
      <c r="H61" s="31">
        <v>311056</v>
      </c>
      <c r="I61" s="31">
        <v>400338</v>
      </c>
      <c r="J61" s="31">
        <v>1761490</v>
      </c>
      <c r="K61" s="33">
        <f t="shared" si="24"/>
        <v>17642311</v>
      </c>
      <c r="L61" s="31">
        <v>4457699.0999999996</v>
      </c>
      <c r="M61" s="31"/>
      <c r="N61" s="31">
        <v>1886827.8999999997</v>
      </c>
      <c r="O61" s="19">
        <f t="shared" si="25"/>
        <v>6344526.9999999991</v>
      </c>
      <c r="P61" s="37">
        <f>O61/K61</f>
        <v>0.35961995001675229</v>
      </c>
    </row>
    <row r="62" spans="1:16" s="20" customFormat="1" x14ac:dyDescent="0.3">
      <c r="A62" s="20">
        <v>181</v>
      </c>
      <c r="B62" s="7"/>
      <c r="C62" s="8"/>
      <c r="D62" s="21"/>
      <c r="E62" s="24" t="s">
        <v>65</v>
      </c>
      <c r="F62" s="31">
        <v>1373615410</v>
      </c>
      <c r="G62" s="31">
        <v>0</v>
      </c>
      <c r="H62" s="31">
        <v>28166648</v>
      </c>
      <c r="I62" s="31">
        <v>36251217</v>
      </c>
      <c r="J62" s="31">
        <v>159505692</v>
      </c>
      <c r="K62" s="33">
        <f t="shared" si="24"/>
        <v>1597538967</v>
      </c>
      <c r="L62" s="31">
        <v>574901432.07000005</v>
      </c>
      <c r="M62" s="31"/>
      <c r="N62" s="31">
        <v>287209281.97999996</v>
      </c>
      <c r="O62" s="19">
        <f t="shared" si="25"/>
        <v>862110714.04999995</v>
      </c>
      <c r="P62" s="37">
        <f>O62/K62</f>
        <v>0.53964925542251263</v>
      </c>
    </row>
    <row r="63" spans="1:16" s="20" customFormat="1" x14ac:dyDescent="0.3">
      <c r="A63" s="20">
        <v>134</v>
      </c>
      <c r="B63" s="7"/>
      <c r="C63" s="8"/>
      <c r="D63" s="21"/>
      <c r="E63" s="24" t="s">
        <v>66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3">
        <f t="shared" si="24"/>
        <v>0</v>
      </c>
      <c r="L63" s="31">
        <v>0</v>
      </c>
      <c r="M63" s="31"/>
      <c r="N63" s="31">
        <v>0</v>
      </c>
      <c r="O63" s="19">
        <f t="shared" si="25"/>
        <v>0</v>
      </c>
      <c r="P63" s="37">
        <v>0</v>
      </c>
    </row>
    <row r="64" spans="1:16" s="20" customFormat="1" x14ac:dyDescent="0.3">
      <c r="A64" s="20">
        <v>132</v>
      </c>
      <c r="B64" s="7"/>
      <c r="C64" s="8"/>
      <c r="D64" s="21"/>
      <c r="E64" s="24" t="s">
        <v>67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3">
        <f t="shared" si="24"/>
        <v>0</v>
      </c>
      <c r="L64" s="31">
        <v>0</v>
      </c>
      <c r="M64" s="31"/>
      <c r="N64" s="31">
        <v>0</v>
      </c>
      <c r="O64" s="19">
        <f t="shared" si="25"/>
        <v>0</v>
      </c>
      <c r="P64" s="37">
        <v>0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3">
        <f t="shared" si="24"/>
        <v>0</v>
      </c>
      <c r="L65" s="31">
        <v>0</v>
      </c>
      <c r="M65" s="31"/>
      <c r="N65" s="31">
        <v>0</v>
      </c>
      <c r="O65" s="19">
        <f t="shared" si="25"/>
        <v>0</v>
      </c>
      <c r="P65" s="37">
        <v>0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3">
        <f t="shared" si="24"/>
        <v>0</v>
      </c>
      <c r="L66" s="31">
        <v>0</v>
      </c>
      <c r="M66" s="31"/>
      <c r="N66" s="31">
        <v>0</v>
      </c>
      <c r="O66" s="19">
        <f t="shared" si="25"/>
        <v>0</v>
      </c>
      <c r="P66" s="37">
        <v>0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3">
        <f t="shared" si="24"/>
        <v>0</v>
      </c>
      <c r="L67" s="31">
        <v>0</v>
      </c>
      <c r="M67" s="31"/>
      <c r="N67" s="31">
        <v>0</v>
      </c>
      <c r="O67" s="19">
        <f t="shared" si="25"/>
        <v>0</v>
      </c>
      <c r="P67" s="37">
        <v>0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3">
        <f t="shared" si="24"/>
        <v>0</v>
      </c>
      <c r="L68" s="31">
        <v>0</v>
      </c>
      <c r="M68" s="31"/>
      <c r="N68" s="31">
        <v>0</v>
      </c>
      <c r="O68" s="19">
        <f t="shared" si="25"/>
        <v>0</v>
      </c>
      <c r="P68" s="37">
        <v>0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3">
        <f t="shared" si="24"/>
        <v>0</v>
      </c>
      <c r="L69" s="31">
        <v>0</v>
      </c>
      <c r="M69" s="31"/>
      <c r="N69" s="31">
        <v>0</v>
      </c>
      <c r="O69" s="19">
        <f t="shared" si="25"/>
        <v>0</v>
      </c>
      <c r="P69" s="37">
        <v>0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1">
        <v>100920163</v>
      </c>
      <c r="G70" s="31">
        <v>0</v>
      </c>
      <c r="H70" s="31">
        <v>2069417</v>
      </c>
      <c r="I70" s="31">
        <v>2663394</v>
      </c>
      <c r="J70" s="31">
        <v>11718957</v>
      </c>
      <c r="K70" s="33">
        <f t="shared" si="24"/>
        <v>117371931</v>
      </c>
      <c r="L70" s="31">
        <v>30514447.469999999</v>
      </c>
      <c r="M70" s="31"/>
      <c r="N70" s="31">
        <v>14464799.529999997</v>
      </c>
      <c r="O70" s="19">
        <f t="shared" si="25"/>
        <v>44979247</v>
      </c>
      <c r="P70" s="37">
        <f>O70/K70</f>
        <v>0.38321979213241369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1">
        <v>9512047</v>
      </c>
      <c r="G71" s="31">
        <v>0</v>
      </c>
      <c r="H71" s="31">
        <v>195049</v>
      </c>
      <c r="I71" s="31">
        <v>251033</v>
      </c>
      <c r="J71" s="31">
        <v>1104549</v>
      </c>
      <c r="K71" s="33">
        <f t="shared" si="24"/>
        <v>11062678</v>
      </c>
      <c r="L71" s="31">
        <v>15965451.51</v>
      </c>
      <c r="M71" s="31"/>
      <c r="N71" s="31">
        <v>7193874.4999999991</v>
      </c>
      <c r="O71" s="19">
        <f t="shared" si="25"/>
        <v>23159326.009999998</v>
      </c>
      <c r="P71" s="37">
        <f>O71/K71</f>
        <v>2.0934647117090455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1">
        <v>53561010</v>
      </c>
      <c r="G72" s="31">
        <v>0</v>
      </c>
      <c r="H72" s="31">
        <v>1098294</v>
      </c>
      <c r="I72" s="31">
        <v>1413534</v>
      </c>
      <c r="J72" s="31">
        <v>6219562</v>
      </c>
      <c r="K72" s="33">
        <f t="shared" si="24"/>
        <v>62292400</v>
      </c>
      <c r="L72" s="31">
        <v>67995835</v>
      </c>
      <c r="M72" s="31"/>
      <c r="N72" s="31">
        <v>30604164.999999996</v>
      </c>
      <c r="O72" s="19">
        <f t="shared" si="25"/>
        <v>98600000</v>
      </c>
      <c r="P72" s="37">
        <f>O72/K72</f>
        <v>1.5828576198701607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3">
        <f t="shared" si="24"/>
        <v>0</v>
      </c>
      <c r="L73" s="31">
        <v>0</v>
      </c>
      <c r="M73" s="31"/>
      <c r="N73" s="31">
        <v>0</v>
      </c>
      <c r="O73" s="19">
        <f t="shared" si="25"/>
        <v>0</v>
      </c>
      <c r="P73" s="37">
        <v>0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3">
        <f t="shared" si="24"/>
        <v>0</v>
      </c>
      <c r="L74" s="31">
        <v>2645845.4500000002</v>
      </c>
      <c r="M74" s="31"/>
      <c r="N74" s="31">
        <v>1132314.5499999998</v>
      </c>
      <c r="O74" s="19">
        <f t="shared" si="25"/>
        <v>3778160</v>
      </c>
      <c r="P74" s="37">
        <v>0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3">
        <f t="shared" si="24"/>
        <v>0</v>
      </c>
      <c r="L75" s="31">
        <v>0</v>
      </c>
      <c r="M75" s="31"/>
      <c r="N75" s="31">
        <v>0</v>
      </c>
      <c r="O75" s="19">
        <f t="shared" si="25"/>
        <v>0</v>
      </c>
      <c r="P75" s="37">
        <v>0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1">
        <v>301111384</v>
      </c>
      <c r="G76" s="31">
        <v>0</v>
      </c>
      <c r="H76" s="31">
        <v>6174434</v>
      </c>
      <c r="I76" s="31">
        <v>7946660</v>
      </c>
      <c r="J76" s="31">
        <v>34965376</v>
      </c>
      <c r="K76" s="33">
        <f t="shared" si="24"/>
        <v>350197854</v>
      </c>
      <c r="L76" s="31">
        <v>122679690.06</v>
      </c>
      <c r="M76" s="31"/>
      <c r="N76" s="31">
        <v>53273181.93999999</v>
      </c>
      <c r="O76" s="19">
        <f t="shared" si="25"/>
        <v>175952872</v>
      </c>
      <c r="P76" s="37">
        <f>O76/K76</f>
        <v>0.50243846440018447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1">
        <v>100260504</v>
      </c>
      <c r="G77" s="31">
        <v>0</v>
      </c>
      <c r="H77" s="31">
        <v>2055890</v>
      </c>
      <c r="I77" s="31">
        <v>2645985</v>
      </c>
      <c r="J77" s="31">
        <v>11642357</v>
      </c>
      <c r="K77" s="33">
        <f t="shared" si="24"/>
        <v>116604736</v>
      </c>
      <c r="L77" s="31">
        <v>35876972.240000002</v>
      </c>
      <c r="M77" s="31"/>
      <c r="N77" s="31">
        <v>15753416.759999996</v>
      </c>
      <c r="O77" s="49">
        <f t="shared" si="25"/>
        <v>51630389</v>
      </c>
      <c r="P77" s="37">
        <f>O77/K77</f>
        <v>0.44278123488912147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1">
        <v>7638275</v>
      </c>
      <c r="G78" s="31">
        <v>0</v>
      </c>
      <c r="H78" s="31">
        <v>156627</v>
      </c>
      <c r="I78" s="31">
        <v>201582</v>
      </c>
      <c r="J78" s="31">
        <v>886965</v>
      </c>
      <c r="K78" s="33">
        <f t="shared" si="24"/>
        <v>8883449</v>
      </c>
      <c r="L78" s="31">
        <v>1548777.1</v>
      </c>
      <c r="M78" s="31"/>
      <c r="N78" s="31">
        <v>676100.91999999993</v>
      </c>
      <c r="O78" s="49">
        <f t="shared" si="25"/>
        <v>2224878.02</v>
      </c>
      <c r="P78" s="37">
        <f>O78/K78</f>
        <v>0.25045205077442334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1">
        <v>95673975</v>
      </c>
      <c r="G79" s="31">
        <v>0</v>
      </c>
      <c r="H79" s="31">
        <v>1961841</v>
      </c>
      <c r="I79" s="31">
        <v>2524941</v>
      </c>
      <c r="J79" s="31">
        <v>11109764</v>
      </c>
      <c r="K79" s="33">
        <f t="shared" si="24"/>
        <v>111270521</v>
      </c>
      <c r="L79" s="31">
        <v>156654606.68000001</v>
      </c>
      <c r="M79" s="31"/>
      <c r="N79" s="31">
        <v>68615800.319999993</v>
      </c>
      <c r="O79" s="19">
        <f t="shared" si="25"/>
        <v>225270407</v>
      </c>
      <c r="P79" s="37">
        <f>O79/K79</f>
        <v>2.0245290933795483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1">
        <v>536668291</v>
      </c>
      <c r="G80" s="31">
        <v>0</v>
      </c>
      <c r="H80" s="31">
        <v>11004643</v>
      </c>
      <c r="I80" s="31">
        <v>14163265</v>
      </c>
      <c r="J80" s="31">
        <v>62318496</v>
      </c>
      <c r="K80" s="33">
        <f t="shared" si="24"/>
        <v>624154695</v>
      </c>
      <c r="L80" s="31">
        <v>68772439.359999999</v>
      </c>
      <c r="M80" s="31"/>
      <c r="N80" s="31">
        <v>29008048.649999995</v>
      </c>
      <c r="O80" s="19">
        <f t="shared" si="25"/>
        <v>97780488.00999999</v>
      </c>
      <c r="P80" s="37">
        <f>O80/K80</f>
        <v>0.15666066248207905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3">
        <f t="shared" si="24"/>
        <v>0</v>
      </c>
      <c r="L81" s="31">
        <v>0</v>
      </c>
      <c r="M81" s="31"/>
      <c r="N81" s="31">
        <v>0</v>
      </c>
      <c r="O81" s="19">
        <f t="shared" si="25"/>
        <v>0</v>
      </c>
      <c r="P81" s="37">
        <v>0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3">
        <f t="shared" si="24"/>
        <v>0</v>
      </c>
      <c r="L82" s="31">
        <v>0</v>
      </c>
      <c r="M82" s="31"/>
      <c r="N82" s="31">
        <v>0</v>
      </c>
      <c r="O82" s="19">
        <f t="shared" si="25"/>
        <v>0</v>
      </c>
      <c r="P82" s="37">
        <v>0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3">
        <f t="shared" si="24"/>
        <v>0</v>
      </c>
      <c r="L83" s="31">
        <v>0</v>
      </c>
      <c r="M83" s="31"/>
      <c r="N83" s="31">
        <v>0</v>
      </c>
      <c r="O83" s="19">
        <f t="shared" si="25"/>
        <v>0</v>
      </c>
      <c r="P83" s="37">
        <v>0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3">
        <f t="shared" si="24"/>
        <v>0</v>
      </c>
      <c r="L84" s="31">
        <v>0</v>
      </c>
      <c r="M84" s="31"/>
      <c r="N84" s="31">
        <v>0</v>
      </c>
      <c r="O84" s="19">
        <f t="shared" si="25"/>
        <v>0</v>
      </c>
      <c r="P84" s="37">
        <v>0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3">
        <f t="shared" si="24"/>
        <v>0</v>
      </c>
      <c r="L85" s="31">
        <v>0</v>
      </c>
      <c r="M85" s="31"/>
      <c r="N85" s="31">
        <v>0</v>
      </c>
      <c r="O85" s="19">
        <f t="shared" si="25"/>
        <v>0</v>
      </c>
      <c r="P85" s="37">
        <v>0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1">
        <v>303304038</v>
      </c>
      <c r="G86" s="61">
        <v>0</v>
      </c>
      <c r="H86" s="61">
        <v>6219396</v>
      </c>
      <c r="I86" s="61">
        <v>8004526</v>
      </c>
      <c r="J86" s="61">
        <v>35219990</v>
      </c>
      <c r="K86" s="64">
        <f t="shared" si="24"/>
        <v>352747950</v>
      </c>
      <c r="L86" s="61">
        <v>116128185.72</v>
      </c>
      <c r="M86" s="61"/>
      <c r="N86" s="61">
        <v>44470293.279999994</v>
      </c>
      <c r="O86" s="62">
        <f t="shared" si="25"/>
        <v>160598479</v>
      </c>
      <c r="P86" s="65">
        <f>O86/K86</f>
        <v>0.45527827730820264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1">
        <v>3598029</v>
      </c>
      <c r="G87" s="31">
        <v>0</v>
      </c>
      <c r="H87" s="31">
        <v>73779</v>
      </c>
      <c r="I87" s="31">
        <v>94956</v>
      </c>
      <c r="J87" s="31">
        <v>417807</v>
      </c>
      <c r="K87" s="33">
        <f t="shared" si="24"/>
        <v>4184571</v>
      </c>
      <c r="L87" s="31">
        <v>23314366.359999999</v>
      </c>
      <c r="M87" s="31"/>
      <c r="N87" s="31">
        <v>7285736.6399999987</v>
      </c>
      <c r="O87" s="19">
        <f t="shared" si="25"/>
        <v>30600103</v>
      </c>
      <c r="P87" s="37">
        <f>O87/K87</f>
        <v>7.3126021759458739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1">
        <v>111028233</v>
      </c>
      <c r="G88" s="31">
        <v>0</v>
      </c>
      <c r="H88" s="31">
        <v>2276688</v>
      </c>
      <c r="I88" s="31">
        <v>2930157</v>
      </c>
      <c r="J88" s="31">
        <v>12892717</v>
      </c>
      <c r="K88" s="33">
        <f t="shared" si="24"/>
        <v>129127795</v>
      </c>
      <c r="L88" s="31">
        <v>48754606.810000002</v>
      </c>
      <c r="M88" s="31"/>
      <c r="N88" s="31">
        <v>21359650.199999996</v>
      </c>
      <c r="O88" s="19">
        <f t="shared" si="25"/>
        <v>70114257.00999999</v>
      </c>
      <c r="P88" s="37">
        <f>O88/K88</f>
        <v>0.54298346076458592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  <c r="K89" s="33">
        <f t="shared" si="24"/>
        <v>0</v>
      </c>
      <c r="L89" s="31">
        <v>-5077468.91</v>
      </c>
      <c r="M89" s="31"/>
      <c r="N89" s="31">
        <v>5077468.9099999992</v>
      </c>
      <c r="O89" s="19">
        <f t="shared" si="25"/>
        <v>0</v>
      </c>
      <c r="P89" s="37" t="e">
        <f>O89/K89</f>
        <v>#DIV/0!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1">
        <v>17626893</v>
      </c>
      <c r="G90" s="31">
        <v>0</v>
      </c>
      <c r="H90" s="31">
        <v>361448</v>
      </c>
      <c r="I90" s="31">
        <v>465193</v>
      </c>
      <c r="J90" s="31">
        <v>2046854</v>
      </c>
      <c r="K90" s="33">
        <f t="shared" si="24"/>
        <v>20500388</v>
      </c>
      <c r="L90" s="31">
        <v>3112271.4</v>
      </c>
      <c r="M90" s="31"/>
      <c r="N90" s="31">
        <v>1411728.5999999999</v>
      </c>
      <c r="O90" s="19">
        <f t="shared" si="25"/>
        <v>4524000</v>
      </c>
      <c r="P90" s="37">
        <f>O90/K90</f>
        <v>0.22067875008024238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3">
        <f t="shared" si="24"/>
        <v>0</v>
      </c>
      <c r="L91" s="31">
        <v>0</v>
      </c>
      <c r="M91" s="31"/>
      <c r="N91" s="31">
        <v>0</v>
      </c>
      <c r="O91" s="19">
        <f t="shared" si="25"/>
        <v>0</v>
      </c>
      <c r="P91" s="37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1">
        <v>0</v>
      </c>
      <c r="G92" s="31">
        <v>0</v>
      </c>
      <c r="H92" s="31">
        <v>0</v>
      </c>
      <c r="I92" s="31">
        <v>0</v>
      </c>
      <c r="J92" s="31">
        <v>0</v>
      </c>
      <c r="K92" s="33">
        <f t="shared" si="24"/>
        <v>0</v>
      </c>
      <c r="L92" s="31">
        <v>0</v>
      </c>
      <c r="M92" s="31"/>
      <c r="N92" s="31">
        <v>0</v>
      </c>
      <c r="O92" s="19">
        <f t="shared" si="25"/>
        <v>0</v>
      </c>
      <c r="P92" s="37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  <c r="K93" s="33">
        <f t="shared" si="24"/>
        <v>0</v>
      </c>
      <c r="L93" s="31">
        <v>0</v>
      </c>
      <c r="M93" s="31"/>
      <c r="N93" s="31">
        <v>0</v>
      </c>
      <c r="O93" s="19">
        <f t="shared" si="25"/>
        <v>0</v>
      </c>
      <c r="P93" s="37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3">
        <f t="shared" si="24"/>
        <v>0</v>
      </c>
      <c r="L94" s="31">
        <v>0</v>
      </c>
      <c r="M94" s="31"/>
      <c r="N94" s="31">
        <v>0</v>
      </c>
      <c r="O94" s="19">
        <f t="shared" si="25"/>
        <v>0</v>
      </c>
      <c r="P94" s="37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3">
        <f t="shared" si="24"/>
        <v>0</v>
      </c>
      <c r="L95" s="31">
        <v>0</v>
      </c>
      <c r="M95" s="31"/>
      <c r="N95" s="31">
        <v>0</v>
      </c>
      <c r="O95" s="19">
        <f t="shared" si="25"/>
        <v>0</v>
      </c>
      <c r="P95" s="37"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3">
        <f t="shared" si="24"/>
        <v>0</v>
      </c>
      <c r="L96" s="31">
        <v>0</v>
      </c>
      <c r="M96" s="31"/>
      <c r="N96" s="31">
        <v>0</v>
      </c>
      <c r="O96" s="19">
        <f t="shared" si="25"/>
        <v>0</v>
      </c>
      <c r="P96" s="37">
        <v>0</v>
      </c>
    </row>
    <row r="97" spans="1:16" s="20" customFormat="1" x14ac:dyDescent="0.3">
      <c r="A97" s="20">
        <v>214</v>
      </c>
      <c r="B97" s="7"/>
      <c r="C97" s="8"/>
      <c r="D97" s="21"/>
      <c r="E97" s="24" t="s">
        <v>100</v>
      </c>
      <c r="F97" s="31">
        <v>490991527</v>
      </c>
      <c r="G97" s="31">
        <v>0</v>
      </c>
      <c r="H97" s="31">
        <v>10068018</v>
      </c>
      <c r="I97" s="31">
        <v>12957805</v>
      </c>
      <c r="J97" s="31">
        <v>57014462</v>
      </c>
      <c r="K97" s="33">
        <f t="shared" si="24"/>
        <v>571031812</v>
      </c>
      <c r="L97" s="31">
        <v>24924339.91</v>
      </c>
      <c r="M97" s="31"/>
      <c r="N97" s="31">
        <v>11435018.089999998</v>
      </c>
      <c r="O97" s="19">
        <f t="shared" si="25"/>
        <v>36359358</v>
      </c>
      <c r="P97" s="37">
        <f>O97/K97</f>
        <v>6.3673086570525422E-2</v>
      </c>
    </row>
    <row r="98" spans="1:16" s="20" customFormat="1" x14ac:dyDescent="0.3">
      <c r="A98" s="20">
        <v>215</v>
      </c>
      <c r="B98" s="7"/>
      <c r="C98" s="8"/>
      <c r="D98" s="21"/>
      <c r="E98" s="24" t="s">
        <v>101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3">
        <f t="shared" si="24"/>
        <v>0</v>
      </c>
      <c r="L98" s="31">
        <v>22099836.219999999</v>
      </c>
      <c r="M98" s="31"/>
      <c r="N98" s="31">
        <v>9616152.7799999975</v>
      </c>
      <c r="O98" s="19">
        <f t="shared" si="25"/>
        <v>31715988.999999996</v>
      </c>
      <c r="P98" s="37">
        <v>0</v>
      </c>
    </row>
    <row r="99" spans="1:16" s="20" customFormat="1" x14ac:dyDescent="0.3">
      <c r="A99" s="20">
        <v>216</v>
      </c>
      <c r="B99" s="7"/>
      <c r="C99" s="8"/>
      <c r="D99" s="21"/>
      <c r="E99" s="24" t="s">
        <v>102</v>
      </c>
      <c r="F99" s="31">
        <v>74386902</v>
      </c>
      <c r="G99" s="31">
        <v>0</v>
      </c>
      <c r="H99" s="31">
        <v>1525339</v>
      </c>
      <c r="I99" s="31">
        <v>1963152</v>
      </c>
      <c r="J99" s="31">
        <v>8637887</v>
      </c>
      <c r="K99" s="33">
        <f t="shared" si="24"/>
        <v>86513280</v>
      </c>
      <c r="L99" s="31">
        <v>22734141.100000001</v>
      </c>
      <c r="M99" s="31"/>
      <c r="N99" s="31">
        <v>9957858.8999999985</v>
      </c>
      <c r="O99" s="19">
        <f t="shared" si="25"/>
        <v>32692000</v>
      </c>
      <c r="P99" s="37">
        <f>O99/K99</f>
        <v>0.37788418148057734</v>
      </c>
    </row>
    <row r="100" spans="1:16" s="20" customFormat="1" x14ac:dyDescent="0.3">
      <c r="A100" s="20">
        <v>210</v>
      </c>
      <c r="B100" s="7"/>
      <c r="C100" s="8"/>
      <c r="D100" s="21"/>
      <c r="E100" s="24" t="s">
        <v>103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3">
        <f t="shared" si="24"/>
        <v>0</v>
      </c>
      <c r="L100" s="31">
        <v>0</v>
      </c>
      <c r="M100" s="31"/>
      <c r="N100" s="31">
        <v>0</v>
      </c>
      <c r="O100" s="19">
        <f t="shared" si="25"/>
        <v>0</v>
      </c>
      <c r="P100" s="37">
        <v>0</v>
      </c>
    </row>
    <row r="101" spans="1:16" s="20" customFormat="1" x14ac:dyDescent="0.3">
      <c r="A101" s="20">
        <v>217</v>
      </c>
      <c r="B101" s="7"/>
      <c r="C101" s="8"/>
      <c r="D101" s="21"/>
      <c r="E101" s="24" t="s">
        <v>104</v>
      </c>
      <c r="F101" s="31">
        <v>236963439</v>
      </c>
      <c r="G101" s="31">
        <v>0</v>
      </c>
      <c r="H101" s="31">
        <v>4859050</v>
      </c>
      <c r="I101" s="31">
        <v>6253725</v>
      </c>
      <c r="J101" s="31">
        <v>27516448</v>
      </c>
      <c r="K101" s="33">
        <f t="shared" si="24"/>
        <v>275592662</v>
      </c>
      <c r="L101" s="31">
        <v>157079401.55000001</v>
      </c>
      <c r="M101" s="31"/>
      <c r="N101" s="31">
        <v>69615162.449999988</v>
      </c>
      <c r="O101" s="19">
        <f t="shared" si="25"/>
        <v>226694564</v>
      </c>
      <c r="P101" s="37">
        <f>O101/K101</f>
        <v>0.8225711176591487</v>
      </c>
    </row>
    <row r="102" spans="1:16" s="20" customFormat="1" x14ac:dyDescent="0.3">
      <c r="A102" s="20">
        <v>218</v>
      </c>
      <c r="B102" s="7"/>
      <c r="C102" s="8"/>
      <c r="D102" s="21"/>
      <c r="E102" s="24" t="s">
        <v>105</v>
      </c>
      <c r="F102" s="31">
        <v>21347985</v>
      </c>
      <c r="G102" s="31">
        <v>0</v>
      </c>
      <c r="H102" s="31">
        <v>437751</v>
      </c>
      <c r="I102" s="31">
        <v>563397</v>
      </c>
      <c r="J102" s="31">
        <v>2478951</v>
      </c>
      <c r="K102" s="33">
        <f t="shared" si="24"/>
        <v>24828084</v>
      </c>
      <c r="L102" s="31">
        <v>29598384.300000001</v>
      </c>
      <c r="M102" s="31"/>
      <c r="N102" s="31">
        <v>13091589.409999998</v>
      </c>
      <c r="O102" s="19">
        <f t="shared" si="25"/>
        <v>42689973.710000001</v>
      </c>
      <c r="P102" s="37">
        <f>O102/K102</f>
        <v>1.7194228000034155</v>
      </c>
    </row>
    <row r="103" spans="1:16" s="20" customFormat="1" x14ac:dyDescent="0.3">
      <c r="A103" s="20">
        <v>219</v>
      </c>
      <c r="B103" s="7"/>
      <c r="C103" s="8"/>
      <c r="D103" s="21"/>
      <c r="E103" s="24" t="s">
        <v>106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3">
        <f t="shared" si="24"/>
        <v>0</v>
      </c>
      <c r="L103" s="31">
        <v>0</v>
      </c>
      <c r="M103" s="31"/>
      <c r="N103" s="31">
        <v>0</v>
      </c>
      <c r="O103" s="19">
        <f t="shared" si="25"/>
        <v>0</v>
      </c>
      <c r="P103" s="37">
        <v>0</v>
      </c>
    </row>
    <row r="104" spans="1:16" s="20" customFormat="1" x14ac:dyDescent="0.3">
      <c r="A104" s="20">
        <v>220</v>
      </c>
      <c r="B104" s="7"/>
      <c r="C104" s="8"/>
      <c r="D104" s="21"/>
      <c r="E104" s="24" t="s">
        <v>107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3">
        <f t="shared" si="24"/>
        <v>0</v>
      </c>
      <c r="L104" s="31">
        <v>0</v>
      </c>
      <c r="M104" s="31"/>
      <c r="N104" s="31">
        <v>0</v>
      </c>
      <c r="O104" s="19">
        <f t="shared" si="25"/>
        <v>0</v>
      </c>
      <c r="P104" s="37">
        <v>0</v>
      </c>
    </row>
    <row r="105" spans="1:16" s="20" customFormat="1" x14ac:dyDescent="0.3">
      <c r="A105" s="20">
        <v>0</v>
      </c>
      <c r="B105" s="7"/>
      <c r="C105" s="8"/>
      <c r="D105" s="21"/>
      <c r="E105" s="24" t="s">
        <v>108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3">
        <f t="shared" si="24"/>
        <v>0</v>
      </c>
      <c r="L105" s="31">
        <v>0</v>
      </c>
      <c r="M105" s="31"/>
      <c r="N105" s="31">
        <v>0</v>
      </c>
      <c r="O105" s="19">
        <f t="shared" si="25"/>
        <v>0</v>
      </c>
      <c r="P105" s="37">
        <v>0</v>
      </c>
    </row>
    <row r="106" spans="1:16" s="20" customFormat="1" x14ac:dyDescent="0.3">
      <c r="A106" s="20">
        <v>225</v>
      </c>
      <c r="B106" s="7"/>
      <c r="C106" s="8"/>
      <c r="D106" s="21"/>
      <c r="E106" s="24" t="s">
        <v>109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3">
        <f t="shared" si="24"/>
        <v>0</v>
      </c>
      <c r="L106" s="31">
        <v>0</v>
      </c>
      <c r="M106" s="31"/>
      <c r="N106" s="31">
        <v>0</v>
      </c>
      <c r="O106" s="19">
        <f t="shared" si="25"/>
        <v>0</v>
      </c>
      <c r="P106" s="37">
        <v>0</v>
      </c>
    </row>
    <row r="107" spans="1:16" s="20" customFormat="1" x14ac:dyDescent="0.3">
      <c r="A107" s="20">
        <v>229</v>
      </c>
      <c r="B107" s="7"/>
      <c r="C107" s="8"/>
      <c r="D107" s="21"/>
      <c r="E107" s="24" t="s">
        <v>110</v>
      </c>
      <c r="F107" s="31">
        <v>0</v>
      </c>
      <c r="G107" s="31">
        <v>0</v>
      </c>
      <c r="H107" s="31">
        <v>0</v>
      </c>
      <c r="I107" s="31">
        <v>0</v>
      </c>
      <c r="J107" s="31">
        <v>0</v>
      </c>
      <c r="K107" s="33">
        <f t="shared" si="24"/>
        <v>0</v>
      </c>
      <c r="L107" s="31">
        <v>0</v>
      </c>
      <c r="M107" s="31"/>
      <c r="N107" s="31">
        <v>0</v>
      </c>
      <c r="O107" s="19">
        <f t="shared" si="25"/>
        <v>0</v>
      </c>
      <c r="P107" s="37">
        <v>0</v>
      </c>
    </row>
    <row r="108" spans="1:16" s="20" customFormat="1" x14ac:dyDescent="0.3">
      <c r="A108" s="20">
        <v>230</v>
      </c>
      <c r="B108" s="7"/>
      <c r="C108" s="8"/>
      <c r="D108" s="21"/>
      <c r="E108" s="24" t="s">
        <v>111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3">
        <f t="shared" si="24"/>
        <v>0</v>
      </c>
      <c r="L108" s="31">
        <v>0</v>
      </c>
      <c r="M108" s="31"/>
      <c r="N108" s="31">
        <v>0</v>
      </c>
      <c r="O108" s="19">
        <f t="shared" si="25"/>
        <v>0</v>
      </c>
      <c r="P108" s="37">
        <v>0</v>
      </c>
    </row>
    <row r="109" spans="1:16" s="20" customFormat="1" x14ac:dyDescent="0.3">
      <c r="A109" s="20">
        <v>231</v>
      </c>
      <c r="B109" s="7"/>
      <c r="C109" s="8"/>
      <c r="D109" s="21"/>
      <c r="E109" s="24" t="s">
        <v>112</v>
      </c>
      <c r="F109" s="31">
        <v>57226203</v>
      </c>
      <c r="G109" s="31">
        <v>0</v>
      </c>
      <c r="H109" s="31">
        <v>1173451</v>
      </c>
      <c r="I109" s="31">
        <v>1510262</v>
      </c>
      <c r="J109" s="31">
        <v>6645168</v>
      </c>
      <c r="K109" s="33">
        <f t="shared" si="24"/>
        <v>66555084</v>
      </c>
      <c r="L109" s="31">
        <v>23875213.420000002</v>
      </c>
      <c r="M109" s="31"/>
      <c r="N109" s="31">
        <v>8482126.5799999982</v>
      </c>
      <c r="O109" s="19">
        <f t="shared" si="25"/>
        <v>32357340</v>
      </c>
      <c r="P109" s="37">
        <f>O109/K109</f>
        <v>0.48617382858385394</v>
      </c>
    </row>
    <row r="110" spans="1:16" s="20" customFormat="1" x14ac:dyDescent="0.3">
      <c r="A110" s="20">
        <v>255</v>
      </c>
      <c r="B110" s="7"/>
      <c r="C110" s="8"/>
      <c r="D110" s="21"/>
      <c r="E110" s="24" t="s">
        <v>113</v>
      </c>
      <c r="F110" s="31">
        <v>2344135474</v>
      </c>
      <c r="G110" s="31">
        <v>0</v>
      </c>
      <c r="H110" s="31">
        <v>48067630</v>
      </c>
      <c r="I110" s="31">
        <v>61864305</v>
      </c>
      <c r="J110" s="31">
        <v>272203521</v>
      </c>
      <c r="K110" s="33">
        <f t="shared" si="24"/>
        <v>2726270930</v>
      </c>
      <c r="L110" s="31">
        <v>1235853593.75</v>
      </c>
      <c r="M110" s="31"/>
      <c r="N110" s="31">
        <v>638356565.34000003</v>
      </c>
      <c r="O110" s="19">
        <f t="shared" si="25"/>
        <v>1874210159.0900002</v>
      </c>
      <c r="P110" s="37">
        <f>O110/K110</f>
        <v>0.68746291443968854</v>
      </c>
    </row>
    <row r="111" spans="1:16" s="20" customFormat="1" x14ac:dyDescent="0.3">
      <c r="A111" s="20">
        <v>200</v>
      </c>
      <c r="B111" s="7"/>
      <c r="C111" s="8"/>
      <c r="D111" s="21"/>
      <c r="E111" s="24" t="s">
        <v>114</v>
      </c>
      <c r="F111" s="31">
        <v>11794848</v>
      </c>
      <c r="G111" s="31">
        <v>0</v>
      </c>
      <c r="H111" s="31">
        <v>241859</v>
      </c>
      <c r="I111" s="31">
        <v>311279</v>
      </c>
      <c r="J111" s="31">
        <v>1369630</v>
      </c>
      <c r="K111" s="33">
        <f t="shared" si="24"/>
        <v>13717616</v>
      </c>
      <c r="L111" s="31">
        <v>13998504.73</v>
      </c>
      <c r="M111" s="31"/>
      <c r="N111" s="31">
        <v>6053228.8999999994</v>
      </c>
      <c r="O111" s="19">
        <f t="shared" si="25"/>
        <v>20051733.629999999</v>
      </c>
      <c r="P111" s="37">
        <f>O111/K111</f>
        <v>1.4617506154130571</v>
      </c>
    </row>
    <row r="112" spans="1:16" s="20" customFormat="1" x14ac:dyDescent="0.3">
      <c r="A112" s="20">
        <v>201</v>
      </c>
      <c r="B112" s="7"/>
      <c r="C112" s="8"/>
      <c r="D112" s="21"/>
      <c r="E112" s="24" t="s">
        <v>115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3">
        <f t="shared" si="24"/>
        <v>0</v>
      </c>
      <c r="L112" s="31">
        <v>0</v>
      </c>
      <c r="M112" s="31"/>
      <c r="N112" s="31">
        <v>0</v>
      </c>
      <c r="O112" s="19">
        <f t="shared" si="25"/>
        <v>0</v>
      </c>
      <c r="P112" s="37"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1">
        <v>19354902</v>
      </c>
      <c r="G113" s="31">
        <v>0</v>
      </c>
      <c r="H113" s="31">
        <v>396882</v>
      </c>
      <c r="I113" s="31">
        <v>510797</v>
      </c>
      <c r="J113" s="31">
        <v>2247512</v>
      </c>
      <c r="K113" s="33">
        <f t="shared" si="24"/>
        <v>22510093</v>
      </c>
      <c r="L113" s="31">
        <v>0</v>
      </c>
      <c r="M113" s="31"/>
      <c r="N113" s="31">
        <v>0</v>
      </c>
      <c r="O113" s="19">
        <f t="shared" si="25"/>
        <v>0</v>
      </c>
      <c r="P113" s="37">
        <f>O113/K113</f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1">
        <v>1356265</v>
      </c>
      <c r="G114" s="31">
        <v>0</v>
      </c>
      <c r="H114" s="31">
        <v>27811</v>
      </c>
      <c r="I114" s="31">
        <v>35793</v>
      </c>
      <c r="J114" s="31">
        <v>157491</v>
      </c>
      <c r="K114" s="33">
        <f t="shared" si="24"/>
        <v>1577360</v>
      </c>
      <c r="L114" s="31">
        <v>0</v>
      </c>
      <c r="M114" s="31"/>
      <c r="N114" s="31">
        <v>0</v>
      </c>
      <c r="O114" s="19">
        <f t="shared" si="25"/>
        <v>0</v>
      </c>
      <c r="P114" s="37">
        <f>O114/K114</f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1">
        <v>699271</v>
      </c>
      <c r="G115" s="31">
        <v>0</v>
      </c>
      <c r="H115" s="31">
        <v>14339</v>
      </c>
      <c r="I115" s="31">
        <v>18455</v>
      </c>
      <c r="J115" s="31">
        <v>81200</v>
      </c>
      <c r="K115" s="33">
        <f t="shared" si="24"/>
        <v>813265</v>
      </c>
      <c r="L115" s="31">
        <v>0</v>
      </c>
      <c r="M115" s="31"/>
      <c r="N115" s="31">
        <v>0</v>
      </c>
      <c r="O115" s="19">
        <f t="shared" si="25"/>
        <v>0</v>
      </c>
      <c r="P115" s="37">
        <f>O115/K115</f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3">
        <f t="shared" si="24"/>
        <v>0</v>
      </c>
      <c r="L116" s="31">
        <v>0</v>
      </c>
      <c r="M116" s="31"/>
      <c r="N116" s="31">
        <v>0</v>
      </c>
      <c r="O116" s="19">
        <f t="shared" si="25"/>
        <v>0</v>
      </c>
      <c r="P116" s="37"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1">
        <v>14195747</v>
      </c>
      <c r="G117" s="31">
        <v>0</v>
      </c>
      <c r="H117" s="31">
        <v>291091</v>
      </c>
      <c r="I117" s="31">
        <v>374641</v>
      </c>
      <c r="J117" s="31">
        <v>1648425</v>
      </c>
      <c r="K117" s="33">
        <f t="shared" si="24"/>
        <v>16509904</v>
      </c>
      <c r="L117" s="31">
        <v>16243533.369999999</v>
      </c>
      <c r="M117" s="31"/>
      <c r="N117" s="31">
        <v>10227888.629999999</v>
      </c>
      <c r="O117" s="19">
        <f t="shared" si="25"/>
        <v>26471422</v>
      </c>
      <c r="P117" s="37">
        <f>O117/K117</f>
        <v>1.603366197647182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3">
        <f t="shared" si="24"/>
        <v>0</v>
      </c>
      <c r="L118" s="31">
        <v>0</v>
      </c>
      <c r="M118" s="31"/>
      <c r="N118" s="31">
        <v>0</v>
      </c>
      <c r="O118" s="19">
        <f t="shared" si="25"/>
        <v>0</v>
      </c>
      <c r="P118" s="37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3">
        <f t="shared" ref="K119:K141" si="26">SUM(F119:J119)</f>
        <v>0</v>
      </c>
      <c r="L119" s="31">
        <v>0</v>
      </c>
      <c r="M119" s="31"/>
      <c r="N119" s="31">
        <v>0</v>
      </c>
      <c r="O119" s="19">
        <f t="shared" ref="O119:O141" si="27">SUM(L119:N119)</f>
        <v>0</v>
      </c>
      <c r="P119" s="37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3">
        <f t="shared" si="26"/>
        <v>0</v>
      </c>
      <c r="L120" s="31">
        <v>0</v>
      </c>
      <c r="M120" s="31"/>
      <c r="N120" s="31">
        <v>0</v>
      </c>
      <c r="O120" s="19">
        <f t="shared" si="27"/>
        <v>0</v>
      </c>
      <c r="P120" s="37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3">
        <f t="shared" si="26"/>
        <v>0</v>
      </c>
      <c r="L121" s="31">
        <v>0</v>
      </c>
      <c r="M121" s="31"/>
      <c r="N121" s="31">
        <v>0</v>
      </c>
      <c r="O121" s="19">
        <f t="shared" si="27"/>
        <v>0</v>
      </c>
      <c r="P121" s="37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1">
        <v>59795613</v>
      </c>
      <c r="G122" s="31">
        <v>0</v>
      </c>
      <c r="H122" s="31">
        <v>1226138</v>
      </c>
      <c r="I122" s="31">
        <v>1578072</v>
      </c>
      <c r="J122" s="31">
        <v>6943531</v>
      </c>
      <c r="K122" s="33">
        <f t="shared" si="26"/>
        <v>69543354</v>
      </c>
      <c r="L122" s="31">
        <v>0</v>
      </c>
      <c r="M122" s="31"/>
      <c r="N122" s="31">
        <v>0</v>
      </c>
      <c r="O122" s="19">
        <f t="shared" si="27"/>
        <v>0</v>
      </c>
      <c r="P122" s="37">
        <f>O122/K122</f>
        <v>0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1">
        <v>0</v>
      </c>
      <c r="G123" s="31">
        <v>0</v>
      </c>
      <c r="H123" s="31">
        <v>0</v>
      </c>
      <c r="I123" s="31">
        <v>0</v>
      </c>
      <c r="J123" s="31">
        <v>0</v>
      </c>
      <c r="K123" s="33">
        <f t="shared" si="26"/>
        <v>0</v>
      </c>
      <c r="L123" s="31">
        <v>0</v>
      </c>
      <c r="M123" s="31"/>
      <c r="N123" s="31">
        <v>0</v>
      </c>
      <c r="O123" s="19">
        <f t="shared" si="27"/>
        <v>0</v>
      </c>
      <c r="P123" s="37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1">
        <v>22765427</v>
      </c>
      <c r="G124" s="31">
        <v>0</v>
      </c>
      <c r="H124" s="31">
        <v>466816</v>
      </c>
      <c r="I124" s="31">
        <v>600805</v>
      </c>
      <c r="J124" s="31">
        <v>2643546</v>
      </c>
      <c r="K124" s="33">
        <f t="shared" si="26"/>
        <v>26476594</v>
      </c>
      <c r="L124" s="31">
        <v>868117.2</v>
      </c>
      <c r="M124" s="31"/>
      <c r="N124" s="31">
        <v>398282.79999999993</v>
      </c>
      <c r="O124" s="19">
        <f t="shared" si="27"/>
        <v>1266400</v>
      </c>
      <c r="P124" s="37">
        <f>O124/K124</f>
        <v>4.7830925684776524E-2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1">
        <v>47135474</v>
      </c>
      <c r="G125" s="31">
        <v>0</v>
      </c>
      <c r="H125" s="31">
        <v>966536</v>
      </c>
      <c r="I125" s="31">
        <v>1243957</v>
      </c>
      <c r="J125" s="31">
        <v>5473422</v>
      </c>
      <c r="K125" s="33">
        <f t="shared" si="26"/>
        <v>54819389</v>
      </c>
      <c r="L125" s="31">
        <v>14562113.449999999</v>
      </c>
      <c r="M125" s="31"/>
      <c r="N125" s="31">
        <v>6666298.5599999987</v>
      </c>
      <c r="O125" s="19">
        <f t="shared" si="27"/>
        <v>21228412.009999998</v>
      </c>
      <c r="P125" s="37">
        <f>O125/K125</f>
        <v>0.38724276934206614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3">
        <f t="shared" si="26"/>
        <v>0</v>
      </c>
      <c r="L126" s="31">
        <v>0</v>
      </c>
      <c r="M126" s="31"/>
      <c r="N126" s="31">
        <v>0</v>
      </c>
      <c r="O126" s="19">
        <f t="shared" si="27"/>
        <v>0</v>
      </c>
      <c r="P126" s="37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3">
        <f t="shared" si="26"/>
        <v>0</v>
      </c>
      <c r="L127" s="31">
        <v>0</v>
      </c>
      <c r="M127" s="31"/>
      <c r="N127" s="31">
        <v>0</v>
      </c>
      <c r="O127" s="19">
        <f t="shared" si="27"/>
        <v>0</v>
      </c>
      <c r="P127" s="37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1">
        <v>123925703</v>
      </c>
      <c r="G128" s="31">
        <v>0</v>
      </c>
      <c r="H128" s="31">
        <v>2541156</v>
      </c>
      <c r="I128" s="31">
        <v>3270535</v>
      </c>
      <c r="J128" s="31">
        <v>14390385</v>
      </c>
      <c r="K128" s="33">
        <f t="shared" si="26"/>
        <v>144127779</v>
      </c>
      <c r="L128" s="31">
        <v>45222109.729999997</v>
      </c>
      <c r="M128" s="31"/>
      <c r="N128" s="31">
        <v>20167823.269999996</v>
      </c>
      <c r="O128" s="19">
        <f t="shared" si="27"/>
        <v>65389932.999999993</v>
      </c>
      <c r="P128" s="37">
        <f>O128/K128</f>
        <v>0.45369416953271718</v>
      </c>
    </row>
    <row r="129" spans="1:18" s="20" customFormat="1" x14ac:dyDescent="0.3">
      <c r="A129" s="20">
        <v>252</v>
      </c>
      <c r="B129" s="7"/>
      <c r="C129" s="8"/>
      <c r="D129" s="21"/>
      <c r="E129" s="24" t="s">
        <v>132</v>
      </c>
      <c r="F129" s="31">
        <v>40221692</v>
      </c>
      <c r="G129" s="31">
        <v>0</v>
      </c>
      <c r="H129" s="31">
        <v>824765</v>
      </c>
      <c r="I129" s="31">
        <v>1061495</v>
      </c>
      <c r="J129" s="31">
        <v>4670586</v>
      </c>
      <c r="K129" s="33">
        <f t="shared" si="26"/>
        <v>46778538</v>
      </c>
      <c r="L129" s="31">
        <v>14939024.57</v>
      </c>
      <c r="M129" s="31"/>
      <c r="N129" s="31">
        <v>6923398.4399999995</v>
      </c>
      <c r="O129" s="19">
        <f t="shared" si="27"/>
        <v>21862423.009999998</v>
      </c>
      <c r="P129" s="37">
        <f>O129/K129</f>
        <v>0.46736011736835381</v>
      </c>
    </row>
    <row r="130" spans="1:18" s="20" customFormat="1" x14ac:dyDescent="0.3">
      <c r="A130" s="20">
        <v>253</v>
      </c>
      <c r="B130" s="7"/>
      <c r="C130" s="8"/>
      <c r="D130" s="21"/>
      <c r="E130" s="24" t="s">
        <v>133</v>
      </c>
      <c r="F130" s="31">
        <v>11452931</v>
      </c>
      <c r="G130" s="31">
        <v>0</v>
      </c>
      <c r="H130" s="31">
        <v>234848</v>
      </c>
      <c r="I130" s="31">
        <v>302255</v>
      </c>
      <c r="J130" s="31">
        <v>1329927</v>
      </c>
      <c r="K130" s="33">
        <f t="shared" si="26"/>
        <v>13319961</v>
      </c>
      <c r="L130" s="31">
        <v>4513400.74</v>
      </c>
      <c r="M130" s="31"/>
      <c r="N130" s="31">
        <v>1594299.2599999998</v>
      </c>
      <c r="O130" s="19">
        <f t="shared" si="27"/>
        <v>6107700</v>
      </c>
      <c r="P130" s="37">
        <f>O130/K130</f>
        <v>0.45853737860043287</v>
      </c>
    </row>
    <row r="131" spans="1:18" s="20" customFormat="1" x14ac:dyDescent="0.3">
      <c r="A131" s="20">
        <v>254</v>
      </c>
      <c r="B131" s="7"/>
      <c r="C131" s="8"/>
      <c r="D131" s="21"/>
      <c r="E131" s="24" t="s">
        <v>134</v>
      </c>
      <c r="F131" s="31">
        <v>1598895</v>
      </c>
      <c r="G131" s="31">
        <v>0</v>
      </c>
      <c r="H131" s="31">
        <v>32786</v>
      </c>
      <c r="I131" s="31">
        <v>42197</v>
      </c>
      <c r="J131" s="31">
        <v>185665</v>
      </c>
      <c r="K131" s="33">
        <f t="shared" si="26"/>
        <v>1859543</v>
      </c>
      <c r="L131" s="31">
        <v>2005766.04</v>
      </c>
      <c r="M131" s="31"/>
      <c r="N131" s="31">
        <v>697033.96</v>
      </c>
      <c r="O131" s="19">
        <f t="shared" si="27"/>
        <v>2702800</v>
      </c>
      <c r="P131" s="37">
        <f>O131/K131</f>
        <v>1.4534753969120371</v>
      </c>
    </row>
    <row r="132" spans="1:18" s="20" customFormat="1" x14ac:dyDescent="0.3">
      <c r="A132" s="20">
        <v>233</v>
      </c>
      <c r="B132" s="7"/>
      <c r="C132" s="8"/>
      <c r="D132" s="21"/>
      <c r="E132" s="24" t="s">
        <v>135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3">
        <f t="shared" si="26"/>
        <v>0</v>
      </c>
      <c r="L132" s="31">
        <v>0</v>
      </c>
      <c r="M132" s="31"/>
      <c r="N132" s="31">
        <v>0</v>
      </c>
      <c r="O132" s="19">
        <f t="shared" si="27"/>
        <v>0</v>
      </c>
      <c r="P132" s="37">
        <v>0</v>
      </c>
    </row>
    <row r="133" spans="1:18" s="20" customFormat="1" x14ac:dyDescent="0.3">
      <c r="A133" s="20">
        <v>234</v>
      </c>
      <c r="B133" s="7"/>
      <c r="C133" s="8"/>
      <c r="D133" s="21"/>
      <c r="E133" s="24" t="s">
        <v>136</v>
      </c>
      <c r="F133" s="31">
        <v>402127</v>
      </c>
      <c r="G133" s="31">
        <v>0</v>
      </c>
      <c r="H133" s="31">
        <v>8246</v>
      </c>
      <c r="I133" s="31">
        <v>10613</v>
      </c>
      <c r="J133" s="31">
        <v>46695</v>
      </c>
      <c r="K133" s="33">
        <f t="shared" si="26"/>
        <v>467681</v>
      </c>
      <c r="L133" s="31">
        <v>0</v>
      </c>
      <c r="M133" s="31"/>
      <c r="N133" s="31">
        <v>0</v>
      </c>
      <c r="O133" s="19">
        <f t="shared" si="27"/>
        <v>0</v>
      </c>
      <c r="P133" s="37">
        <f>O133/K133</f>
        <v>0</v>
      </c>
    </row>
    <row r="134" spans="1:18" s="20" customFormat="1" x14ac:dyDescent="0.3">
      <c r="A134" s="20">
        <v>237</v>
      </c>
      <c r="B134" s="7"/>
      <c r="C134" s="8"/>
      <c r="D134" s="21"/>
      <c r="E134" s="24" t="s">
        <v>137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3">
        <f t="shared" si="26"/>
        <v>0</v>
      </c>
      <c r="L134" s="31">
        <v>0</v>
      </c>
      <c r="M134" s="31"/>
      <c r="N134" s="31">
        <v>0</v>
      </c>
      <c r="O134" s="19">
        <f t="shared" si="27"/>
        <v>0</v>
      </c>
      <c r="P134" s="37">
        <v>0</v>
      </c>
    </row>
    <row r="135" spans="1:18" s="20" customFormat="1" x14ac:dyDescent="0.3">
      <c r="A135" s="20">
        <v>256</v>
      </c>
      <c r="B135" s="7"/>
      <c r="C135" s="8"/>
      <c r="D135" s="21"/>
      <c r="E135" s="24" t="s">
        <v>138</v>
      </c>
      <c r="F135" s="31">
        <v>352382957</v>
      </c>
      <c r="G135" s="31">
        <v>0</v>
      </c>
      <c r="H135" s="31">
        <v>7225783</v>
      </c>
      <c r="I135" s="31">
        <v>9299773</v>
      </c>
      <c r="J135" s="31">
        <v>40919086</v>
      </c>
      <c r="K135" s="33">
        <f t="shared" si="26"/>
        <v>409827599</v>
      </c>
      <c r="L135" s="31">
        <v>171102093.25</v>
      </c>
      <c r="M135" s="31"/>
      <c r="N135" s="31">
        <v>69633824.749999985</v>
      </c>
      <c r="O135" s="19">
        <f t="shared" si="27"/>
        <v>240735918</v>
      </c>
      <c r="P135" s="37">
        <f>O135/K135</f>
        <v>0.58740777484827222</v>
      </c>
      <c r="R135" s="50"/>
    </row>
    <row r="136" spans="1:18" s="20" customFormat="1" x14ac:dyDescent="0.3">
      <c r="A136" s="20">
        <v>261</v>
      </c>
      <c r="B136" s="7"/>
      <c r="C136" s="8"/>
      <c r="D136" s="21"/>
      <c r="E136" s="24" t="s">
        <v>139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3">
        <f t="shared" si="26"/>
        <v>0</v>
      </c>
      <c r="L136" s="31">
        <v>0</v>
      </c>
      <c r="M136" s="31"/>
      <c r="N136" s="31">
        <v>0</v>
      </c>
      <c r="O136" s="19">
        <f t="shared" si="27"/>
        <v>0</v>
      </c>
      <c r="P136" s="37">
        <v>0</v>
      </c>
    </row>
    <row r="137" spans="1:18" s="20" customFormat="1" x14ac:dyDescent="0.3">
      <c r="A137" s="20">
        <v>227</v>
      </c>
      <c r="B137" s="7"/>
      <c r="C137" s="8"/>
      <c r="D137" s="21"/>
      <c r="E137" s="24" t="s">
        <v>140</v>
      </c>
      <c r="F137" s="31">
        <v>108379092</v>
      </c>
      <c r="G137" s="31">
        <v>0</v>
      </c>
      <c r="H137" s="31">
        <v>2222366</v>
      </c>
      <c r="I137" s="31">
        <v>2860243</v>
      </c>
      <c r="J137" s="31">
        <v>12585096</v>
      </c>
      <c r="K137" s="33">
        <f t="shared" si="26"/>
        <v>126046797</v>
      </c>
      <c r="L137" s="31">
        <v>-1743620.5</v>
      </c>
      <c r="M137" s="31"/>
      <c r="N137" s="31">
        <v>1743620.4999999998</v>
      </c>
      <c r="O137" s="19">
        <f t="shared" si="27"/>
        <v>0</v>
      </c>
      <c r="P137" s="37">
        <f>O137/K137</f>
        <v>0</v>
      </c>
    </row>
    <row r="138" spans="1:18" s="20" customFormat="1" x14ac:dyDescent="0.3">
      <c r="A138" s="20">
        <v>226</v>
      </c>
      <c r="B138" s="7"/>
      <c r="C138" s="8"/>
      <c r="D138" s="21"/>
      <c r="E138" s="24" t="s">
        <v>141</v>
      </c>
      <c r="F138" s="31">
        <v>69301</v>
      </c>
      <c r="G138" s="31">
        <v>0</v>
      </c>
      <c r="H138" s="31">
        <v>1421</v>
      </c>
      <c r="I138" s="31">
        <v>1829</v>
      </c>
      <c r="J138" s="31">
        <v>8047</v>
      </c>
      <c r="K138" s="33">
        <f t="shared" si="26"/>
        <v>80598</v>
      </c>
      <c r="L138" s="31">
        <v>0</v>
      </c>
      <c r="M138" s="31"/>
      <c r="N138" s="31">
        <v>0</v>
      </c>
      <c r="O138" s="19">
        <f t="shared" si="27"/>
        <v>0</v>
      </c>
      <c r="P138" s="37">
        <f>O138/K138</f>
        <v>0</v>
      </c>
    </row>
    <row r="139" spans="1:18" s="20" customFormat="1" x14ac:dyDescent="0.3">
      <c r="A139" s="20">
        <v>228</v>
      </c>
      <c r="B139" s="7"/>
      <c r="C139" s="8"/>
      <c r="D139" s="21"/>
      <c r="E139" s="24" t="s">
        <v>142</v>
      </c>
      <c r="F139" s="31">
        <v>371039</v>
      </c>
      <c r="G139" s="31">
        <v>0</v>
      </c>
      <c r="H139" s="31">
        <v>7608</v>
      </c>
      <c r="I139" s="31">
        <v>9792</v>
      </c>
      <c r="J139" s="31">
        <v>43085</v>
      </c>
      <c r="K139" s="33">
        <f t="shared" si="26"/>
        <v>431524</v>
      </c>
      <c r="L139" s="31">
        <v>0</v>
      </c>
      <c r="M139" s="31"/>
      <c r="N139" s="31">
        <v>0</v>
      </c>
      <c r="O139" s="19">
        <f t="shared" si="27"/>
        <v>0</v>
      </c>
      <c r="P139" s="37">
        <f>O139/K139</f>
        <v>0</v>
      </c>
    </row>
    <row r="140" spans="1:18" s="20" customFormat="1" x14ac:dyDescent="0.3">
      <c r="A140" s="20">
        <v>260</v>
      </c>
      <c r="B140" s="7"/>
      <c r="C140" s="8"/>
      <c r="D140" s="21"/>
      <c r="E140" s="24" t="s">
        <v>143</v>
      </c>
      <c r="F140" s="31">
        <v>0</v>
      </c>
      <c r="G140" s="31">
        <v>0</v>
      </c>
      <c r="H140" s="31">
        <v>0</v>
      </c>
      <c r="I140" s="31">
        <v>0</v>
      </c>
      <c r="J140" s="31">
        <v>0</v>
      </c>
      <c r="K140" s="33">
        <f t="shared" si="26"/>
        <v>0</v>
      </c>
      <c r="L140" s="31">
        <v>0</v>
      </c>
      <c r="M140" s="31"/>
      <c r="N140" s="31">
        <v>0</v>
      </c>
      <c r="O140" s="19">
        <f t="shared" si="27"/>
        <v>0</v>
      </c>
      <c r="P140" s="37">
        <v>0</v>
      </c>
    </row>
    <row r="141" spans="1:18" s="20" customFormat="1" x14ac:dyDescent="0.3">
      <c r="A141" s="20">
        <v>238</v>
      </c>
      <c r="B141" s="7"/>
      <c r="C141" s="8"/>
      <c r="D141" s="21"/>
      <c r="E141" s="24" t="s">
        <v>144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3">
        <f t="shared" si="26"/>
        <v>0</v>
      </c>
      <c r="L141" s="31">
        <v>0</v>
      </c>
      <c r="M141" s="31"/>
      <c r="N141" s="31">
        <v>0</v>
      </c>
      <c r="O141" s="19">
        <f t="shared" si="27"/>
        <v>0</v>
      </c>
      <c r="P141" s="37">
        <v>0</v>
      </c>
    </row>
    <row r="142" spans="1:18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7377909261</v>
      </c>
      <c r="G142" s="32">
        <f t="shared" ref="G142:K142" si="28">SUM(G55:G141)</f>
        <v>0</v>
      </c>
      <c r="H142" s="32">
        <f t="shared" si="28"/>
        <v>151287595</v>
      </c>
      <c r="I142" s="32">
        <f t="shared" si="28"/>
        <v>194711118</v>
      </c>
      <c r="J142" s="32">
        <f t="shared" si="28"/>
        <v>856730720</v>
      </c>
      <c r="K142" s="32">
        <f t="shared" si="28"/>
        <v>8580638694</v>
      </c>
      <c r="L142" s="32">
        <f t="shared" ref="L142" si="29">SUM(L55:L141)</f>
        <v>3221447324.1399994</v>
      </c>
      <c r="M142" s="32">
        <f t="shared" ref="M142" si="30">SUM(M55:M141)</f>
        <v>0</v>
      </c>
      <c r="N142" s="32">
        <f t="shared" ref="N142" si="31">SUM(N55:N141)</f>
        <v>1542413530.4100003</v>
      </c>
      <c r="O142" s="16">
        <f t="shared" ref="O142" si="32">SUM(O55:O141)</f>
        <v>4763860854.5500002</v>
      </c>
      <c r="P142" s="37">
        <f>O142/K142</f>
        <v>0.55518720976809377</v>
      </c>
    </row>
    <row r="143" spans="1:18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19"/>
    </row>
    <row r="144" spans="1:18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19"/>
    </row>
    <row r="145" spans="1:16" s="20" customFormat="1" x14ac:dyDescent="0.3">
      <c r="A145" s="20">
        <v>269</v>
      </c>
      <c r="B145" s="7"/>
      <c r="C145" s="8"/>
      <c r="D145" s="21"/>
      <c r="E145" s="24" t="s">
        <v>147</v>
      </c>
      <c r="F145" s="31">
        <v>0</v>
      </c>
      <c r="G145" s="31">
        <v>0</v>
      </c>
      <c r="H145" s="31">
        <v>0</v>
      </c>
      <c r="I145" s="31">
        <v>0</v>
      </c>
      <c r="J145" s="31">
        <v>0</v>
      </c>
      <c r="K145" s="33">
        <f t="shared" ref="K145:K159" si="33">SUM(F145:J145)</f>
        <v>0</v>
      </c>
      <c r="L145" s="31">
        <v>0</v>
      </c>
      <c r="M145" s="31"/>
      <c r="N145" s="31">
        <v>0</v>
      </c>
      <c r="O145" s="19">
        <f t="shared" ref="O145:O159" si="34">SUM(L145:N145)</f>
        <v>0</v>
      </c>
      <c r="P145" s="37">
        <v>0</v>
      </c>
    </row>
    <row r="146" spans="1:16" s="20" customFormat="1" x14ac:dyDescent="0.3">
      <c r="A146" s="20">
        <v>270</v>
      </c>
      <c r="B146" s="7"/>
      <c r="C146" s="8"/>
      <c r="D146" s="21"/>
      <c r="E146" s="24" t="s">
        <v>148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3">
        <f t="shared" si="33"/>
        <v>0</v>
      </c>
      <c r="L146" s="31">
        <v>0</v>
      </c>
      <c r="M146" s="31"/>
      <c r="N146" s="31">
        <v>0</v>
      </c>
      <c r="O146" s="19">
        <f t="shared" si="34"/>
        <v>0</v>
      </c>
      <c r="P146" s="37">
        <v>0</v>
      </c>
    </row>
    <row r="147" spans="1:16" s="20" customFormat="1" x14ac:dyDescent="0.3">
      <c r="A147" s="20">
        <v>271</v>
      </c>
      <c r="B147" s="7"/>
      <c r="C147" s="8"/>
      <c r="D147" s="21"/>
      <c r="E147" s="24" t="s">
        <v>149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3">
        <f t="shared" si="33"/>
        <v>0</v>
      </c>
      <c r="L147" s="31">
        <v>0</v>
      </c>
      <c r="M147" s="31"/>
      <c r="N147" s="31">
        <v>0</v>
      </c>
      <c r="O147" s="19">
        <f t="shared" si="34"/>
        <v>0</v>
      </c>
      <c r="P147" s="37">
        <v>0</v>
      </c>
    </row>
    <row r="148" spans="1:16" s="20" customFormat="1" x14ac:dyDescent="0.3">
      <c r="A148" s="20">
        <v>272</v>
      </c>
      <c r="B148" s="7"/>
      <c r="C148" s="8"/>
      <c r="D148" s="21"/>
      <c r="E148" s="24" t="s">
        <v>150</v>
      </c>
      <c r="F148" s="31">
        <v>220363974</v>
      </c>
      <c r="G148" s="31">
        <v>0</v>
      </c>
      <c r="H148" s="31">
        <v>4518670</v>
      </c>
      <c r="I148" s="31">
        <v>5815647</v>
      </c>
      <c r="J148" s="31">
        <v>25588901</v>
      </c>
      <c r="K148" s="33">
        <f t="shared" si="33"/>
        <v>256287192</v>
      </c>
      <c r="L148" s="31">
        <v>138440155.53</v>
      </c>
      <c r="M148" s="31"/>
      <c r="N148" s="31">
        <v>61310699.149999991</v>
      </c>
      <c r="O148" s="19">
        <f t="shared" si="34"/>
        <v>199750854.68000001</v>
      </c>
      <c r="P148" s="37">
        <f>O148/K148</f>
        <v>0.77940240837318164</v>
      </c>
    </row>
    <row r="149" spans="1:16" s="20" customFormat="1" x14ac:dyDescent="0.3">
      <c r="A149" s="20">
        <v>273</v>
      </c>
      <c r="B149" s="7"/>
      <c r="C149" s="8"/>
      <c r="D149" s="21"/>
      <c r="E149" s="24" t="s">
        <v>151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3">
        <f t="shared" si="33"/>
        <v>0</v>
      </c>
      <c r="L149" s="31">
        <v>0</v>
      </c>
      <c r="M149" s="31"/>
      <c r="N149" s="31">
        <v>0</v>
      </c>
      <c r="O149" s="19">
        <f t="shared" si="34"/>
        <v>0</v>
      </c>
      <c r="P149" s="37">
        <v>0</v>
      </c>
    </row>
    <row r="150" spans="1:16" s="20" customFormat="1" x14ac:dyDescent="0.3">
      <c r="A150" s="20">
        <v>265</v>
      </c>
      <c r="B150" s="7"/>
      <c r="C150" s="8"/>
      <c r="D150" s="21"/>
      <c r="E150" s="24" t="s">
        <v>152</v>
      </c>
      <c r="F150" s="31">
        <v>148408</v>
      </c>
      <c r="G150" s="31">
        <v>0</v>
      </c>
      <c r="H150" s="31">
        <v>3043</v>
      </c>
      <c r="I150" s="31">
        <v>3917</v>
      </c>
      <c r="J150" s="31">
        <v>17233</v>
      </c>
      <c r="K150" s="33">
        <f t="shared" si="33"/>
        <v>172601</v>
      </c>
      <c r="L150" s="31">
        <v>0</v>
      </c>
      <c r="M150" s="31"/>
      <c r="N150" s="31">
        <v>0</v>
      </c>
      <c r="O150" s="19">
        <f t="shared" si="34"/>
        <v>0</v>
      </c>
      <c r="P150" s="37">
        <f>O150/K150</f>
        <v>0</v>
      </c>
    </row>
    <row r="151" spans="1:16" s="20" customFormat="1" x14ac:dyDescent="0.3">
      <c r="A151" s="20">
        <v>266</v>
      </c>
      <c r="B151" s="7"/>
      <c r="C151" s="8"/>
      <c r="D151" s="21"/>
      <c r="E151" s="24" t="s">
        <v>153</v>
      </c>
      <c r="F151" s="31">
        <v>52518038</v>
      </c>
      <c r="G151" s="31">
        <v>0</v>
      </c>
      <c r="H151" s="31">
        <v>1076908</v>
      </c>
      <c r="I151" s="31">
        <v>1386009</v>
      </c>
      <c r="J151" s="31">
        <v>6098451</v>
      </c>
      <c r="K151" s="33">
        <f t="shared" si="33"/>
        <v>61079406</v>
      </c>
      <c r="L151" s="31">
        <v>0</v>
      </c>
      <c r="M151" s="31"/>
      <c r="N151" s="31">
        <v>0</v>
      </c>
      <c r="O151" s="19">
        <f t="shared" si="34"/>
        <v>0</v>
      </c>
      <c r="P151" s="37">
        <f>O151/K151</f>
        <v>0</v>
      </c>
    </row>
    <row r="152" spans="1:16" s="20" customFormat="1" x14ac:dyDescent="0.3">
      <c r="A152" s="20">
        <v>267</v>
      </c>
      <c r="B152" s="7"/>
      <c r="C152" s="8"/>
      <c r="D152" s="21"/>
      <c r="E152" s="24" t="s">
        <v>154</v>
      </c>
      <c r="F152" s="31">
        <v>37374150</v>
      </c>
      <c r="G152" s="31">
        <v>0</v>
      </c>
      <c r="H152" s="31">
        <v>766375</v>
      </c>
      <c r="I152" s="31">
        <v>986345</v>
      </c>
      <c r="J152" s="31">
        <v>4339926</v>
      </c>
      <c r="K152" s="33">
        <f t="shared" si="33"/>
        <v>43466796</v>
      </c>
      <c r="L152" s="31">
        <v>7150670.6100000003</v>
      </c>
      <c r="M152" s="31"/>
      <c r="N152" s="31">
        <v>3224515.1899999995</v>
      </c>
      <c r="O152" s="19">
        <f t="shared" si="34"/>
        <v>10375185.800000001</v>
      </c>
      <c r="P152" s="37">
        <f>O152/K152</f>
        <v>0.23869221462745957</v>
      </c>
    </row>
    <row r="153" spans="1:16" s="20" customFormat="1" x14ac:dyDescent="0.3">
      <c r="A153" s="20">
        <v>268</v>
      </c>
      <c r="B153" s="7"/>
      <c r="C153" s="8"/>
      <c r="D153" s="21"/>
      <c r="E153" s="24" t="s">
        <v>155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3">
        <f t="shared" si="33"/>
        <v>0</v>
      </c>
      <c r="L153" s="31">
        <v>0</v>
      </c>
      <c r="M153" s="31"/>
      <c r="N153" s="31">
        <v>0</v>
      </c>
      <c r="O153" s="19">
        <f t="shared" si="34"/>
        <v>0</v>
      </c>
      <c r="P153" s="37">
        <v>0</v>
      </c>
    </row>
    <row r="154" spans="1:16" s="20" customFormat="1" x14ac:dyDescent="0.3">
      <c r="A154" s="20">
        <v>274</v>
      </c>
      <c r="B154" s="7"/>
      <c r="C154" s="8"/>
      <c r="D154" s="21"/>
      <c r="E154" s="24" t="s">
        <v>156</v>
      </c>
      <c r="F154" s="31">
        <v>1704042949</v>
      </c>
      <c r="G154" s="31">
        <v>0</v>
      </c>
      <c r="H154" s="31">
        <v>34942224</v>
      </c>
      <c r="I154" s="31">
        <v>44971562</v>
      </c>
      <c r="J154" s="31">
        <v>197875292</v>
      </c>
      <c r="K154" s="33">
        <f t="shared" si="33"/>
        <v>1981832027</v>
      </c>
      <c r="L154" s="31">
        <v>802014227.12</v>
      </c>
      <c r="M154" s="31"/>
      <c r="N154" s="31">
        <v>351098678.67999995</v>
      </c>
      <c r="O154" s="19">
        <f t="shared" si="34"/>
        <v>1153112905.8</v>
      </c>
      <c r="P154" s="37">
        <f>O154/K154</f>
        <v>0.58184189683599252</v>
      </c>
    </row>
    <row r="155" spans="1:16" s="20" customFormat="1" x14ac:dyDescent="0.3">
      <c r="A155" s="20">
        <v>275</v>
      </c>
      <c r="B155" s="7"/>
      <c r="C155" s="8"/>
      <c r="D155" s="21"/>
      <c r="E155" s="24" t="s">
        <v>157</v>
      </c>
      <c r="F155" s="31">
        <v>55342736</v>
      </c>
      <c r="G155" s="31">
        <v>0</v>
      </c>
      <c r="H155" s="31">
        <v>1134830</v>
      </c>
      <c r="I155" s="31">
        <v>1460555</v>
      </c>
      <c r="J155" s="31">
        <v>6426458</v>
      </c>
      <c r="K155" s="33">
        <f t="shared" si="33"/>
        <v>64364579</v>
      </c>
      <c r="L155" s="31">
        <v>28462088.739999998</v>
      </c>
      <c r="M155" s="31"/>
      <c r="N155" s="31">
        <v>12419103.289999995</v>
      </c>
      <c r="O155" s="19">
        <f t="shared" si="34"/>
        <v>40881192.029999994</v>
      </c>
      <c r="P155" s="37">
        <f>O155/K155</f>
        <v>0.6351504610944475</v>
      </c>
    </row>
    <row r="156" spans="1:16" s="20" customFormat="1" x14ac:dyDescent="0.3">
      <c r="A156" s="20">
        <v>276</v>
      </c>
      <c r="B156" s="7"/>
      <c r="C156" s="8"/>
      <c r="D156" s="21"/>
      <c r="E156" s="24" t="s">
        <v>158</v>
      </c>
      <c r="F156" s="31">
        <v>312326836</v>
      </c>
      <c r="G156" s="31">
        <v>0</v>
      </c>
      <c r="H156" s="31">
        <v>6404413</v>
      </c>
      <c r="I156" s="31">
        <v>8242648</v>
      </c>
      <c r="J156" s="31">
        <v>36267727</v>
      </c>
      <c r="K156" s="33">
        <f t="shared" si="33"/>
        <v>363241624</v>
      </c>
      <c r="L156" s="31">
        <v>153348943.11000001</v>
      </c>
      <c r="M156" s="31"/>
      <c r="N156" s="31">
        <v>67166705.340000004</v>
      </c>
      <c r="O156" s="19">
        <f t="shared" si="34"/>
        <v>220515648.45000002</v>
      </c>
      <c r="P156" s="37">
        <f>O156/K156</f>
        <v>0.60707703600069807</v>
      </c>
    </row>
    <row r="157" spans="1:16" s="20" customFormat="1" x14ac:dyDescent="0.3">
      <c r="A157" s="20">
        <v>277</v>
      </c>
      <c r="B157" s="7"/>
      <c r="C157" s="8"/>
      <c r="D157" s="21"/>
      <c r="E157" s="24" t="s">
        <v>159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3">
        <f t="shared" si="33"/>
        <v>0</v>
      </c>
      <c r="L157" s="31">
        <v>0</v>
      </c>
      <c r="M157" s="31"/>
      <c r="N157" s="31">
        <v>0</v>
      </c>
      <c r="O157" s="19">
        <f t="shared" si="34"/>
        <v>0</v>
      </c>
      <c r="P157" s="37">
        <v>0</v>
      </c>
    </row>
    <row r="158" spans="1:16" s="20" customFormat="1" x14ac:dyDescent="0.3">
      <c r="A158" s="20">
        <v>278</v>
      </c>
      <c r="B158" s="7"/>
      <c r="C158" s="8"/>
      <c r="D158" s="21"/>
      <c r="E158" s="24" t="s">
        <v>160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3">
        <f t="shared" si="33"/>
        <v>0</v>
      </c>
      <c r="L158" s="31">
        <v>0</v>
      </c>
      <c r="M158" s="31"/>
      <c r="N158" s="31">
        <v>0</v>
      </c>
      <c r="O158" s="19">
        <f t="shared" si="34"/>
        <v>0</v>
      </c>
      <c r="P158" s="37">
        <v>0</v>
      </c>
    </row>
    <row r="159" spans="1:16" s="20" customFormat="1" x14ac:dyDescent="0.3">
      <c r="A159" s="20">
        <v>279</v>
      </c>
      <c r="B159" s="7"/>
      <c r="C159" s="8"/>
      <c r="D159" s="21"/>
      <c r="E159" s="24" t="s">
        <v>161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3">
        <f t="shared" si="33"/>
        <v>0</v>
      </c>
      <c r="L159" s="31">
        <v>0</v>
      </c>
      <c r="M159" s="31"/>
      <c r="N159" s="31">
        <v>0</v>
      </c>
      <c r="O159" s="19">
        <f t="shared" si="34"/>
        <v>0</v>
      </c>
      <c r="P159" s="37">
        <v>0</v>
      </c>
    </row>
    <row r="160" spans="1:16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2382117091</v>
      </c>
      <c r="G160" s="32">
        <f t="shared" ref="G160:K160" si="35">SUM(G145:G159)</f>
        <v>0</v>
      </c>
      <c r="H160" s="32">
        <f t="shared" si="35"/>
        <v>48846463</v>
      </c>
      <c r="I160" s="32">
        <f t="shared" si="35"/>
        <v>62866683</v>
      </c>
      <c r="J160" s="32">
        <f t="shared" si="35"/>
        <v>276613988</v>
      </c>
      <c r="K160" s="32">
        <f t="shared" si="35"/>
        <v>2770444225</v>
      </c>
      <c r="L160" s="32">
        <f t="shared" ref="L160" si="36">SUM(L145:L159)</f>
        <v>1129416085.1100001</v>
      </c>
      <c r="M160" s="32">
        <f t="shared" ref="M160" si="37">SUM(M145:M159)</f>
        <v>0</v>
      </c>
      <c r="N160" s="32">
        <f t="shared" ref="N160" si="38">SUM(N145:N159)</f>
        <v>495219701.64999998</v>
      </c>
      <c r="O160" s="16">
        <f>SUM(O145:O159)</f>
        <v>1624635786.76</v>
      </c>
      <c r="P160" s="37">
        <f>O160/K160</f>
        <v>0.58641707062700388</v>
      </c>
    </row>
    <row r="161" spans="1:16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9"/>
      <c r="P161" s="19"/>
    </row>
    <row r="162" spans="1:16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20058282908</v>
      </c>
      <c r="G162" s="32">
        <f t="shared" ref="G162:J162" si="39">SUM(G52,G142,G160)</f>
        <v>0</v>
      </c>
      <c r="H162" s="32">
        <f t="shared" si="39"/>
        <v>411304786</v>
      </c>
      <c r="I162" s="32">
        <f t="shared" si="39"/>
        <v>529360084</v>
      </c>
      <c r="J162" s="32">
        <f t="shared" si="39"/>
        <v>2329189284</v>
      </c>
      <c r="K162" s="32">
        <f t="shared" ref="K162:N162" si="40">SUM(K52,K142,K160)</f>
        <v>23328137062</v>
      </c>
      <c r="L162" s="32">
        <f t="shared" si="40"/>
        <v>8498095223.8999996</v>
      </c>
      <c r="M162" s="32">
        <f t="shared" si="40"/>
        <v>0</v>
      </c>
      <c r="N162" s="32">
        <f t="shared" si="40"/>
        <v>3873246840.1199999</v>
      </c>
      <c r="O162" s="16">
        <f>SUM(O160,O142,O52)</f>
        <v>12371342064.02</v>
      </c>
      <c r="P162" s="37">
        <f>O162/K162</f>
        <v>0.53031847468746673</v>
      </c>
    </row>
    <row r="163" spans="1:16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9"/>
      <c r="P163" s="19"/>
    </row>
    <row r="164" spans="1:16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472962.7</v>
      </c>
      <c r="M164" s="15"/>
      <c r="N164" s="15">
        <v>220073723.47999996</v>
      </c>
      <c r="O164" s="16">
        <f>SUM(L164:N164)</f>
        <v>220546686.17999995</v>
      </c>
      <c r="P164" s="16">
        <v>0</v>
      </c>
    </row>
    <row r="165" spans="1:16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19"/>
    </row>
    <row r="166" spans="1:16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102064114312</v>
      </c>
      <c r="G166" s="32">
        <f t="shared" ref="G166:N166" si="41">G23+G25-G162+G164</f>
        <v>607769512</v>
      </c>
      <c r="H166" s="32">
        <f t="shared" si="41"/>
        <v>5901809505</v>
      </c>
      <c r="I166" s="32">
        <f t="shared" si="41"/>
        <v>2465299641</v>
      </c>
      <c r="J166" s="32">
        <f t="shared" si="41"/>
        <v>153985010</v>
      </c>
      <c r="K166" s="32">
        <f t="shared" si="41"/>
        <v>111192977980</v>
      </c>
      <c r="L166" s="32">
        <f t="shared" si="41"/>
        <v>65952164742.379967</v>
      </c>
      <c r="M166" s="32">
        <f t="shared" si="41"/>
        <v>9161328934.1199989</v>
      </c>
      <c r="N166" s="32">
        <f t="shared" si="41"/>
        <v>14986314068.095039</v>
      </c>
      <c r="O166" s="16">
        <f>O23+O25-O162+O164</f>
        <v>90099807744.595016</v>
      </c>
      <c r="P166" s="37">
        <f>O166/K166</f>
        <v>0.81030123827424638</v>
      </c>
    </row>
    <row r="167" spans="1:16" s="7" customFormat="1" x14ac:dyDescent="0.3">
      <c r="C167" s="8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</row>
    <row r="168" spans="1:16" x14ac:dyDescent="0.3">
      <c r="K168" s="48"/>
    </row>
    <row r="169" spans="1:16" x14ac:dyDescent="0.3">
      <c r="J169" s="45" t="s">
        <v>167</v>
      </c>
      <c r="K169" s="66">
        <f>K162/K11</f>
        <v>5.5110003585332461E-2</v>
      </c>
      <c r="N169" s="45" t="s">
        <v>167</v>
      </c>
      <c r="O169" s="66">
        <f>O162/O11</f>
        <v>4.6675762875920034E-2</v>
      </c>
      <c r="P169" s="37">
        <f>O169/K169</f>
        <v>0.84695626636364074</v>
      </c>
    </row>
  </sheetData>
  <mergeCells count="3">
    <mergeCell ref="D5:E6"/>
    <mergeCell ref="F5:K5"/>
    <mergeCell ref="L5:O5"/>
  </mergeCells>
  <conditionalFormatting sqref="A1:A1048576">
    <cfRule type="duplicateValues" dxfId="57" priority="14"/>
  </conditionalFormatting>
  <conditionalFormatting sqref="D7:O167">
    <cfRule type="expression" dxfId="56" priority="13">
      <formula>IF(MOD(ROW(),2)=0,TRUE,FALSE)</formula>
    </cfRule>
  </conditionalFormatting>
  <conditionalFormatting sqref="D8:P166">
    <cfRule type="expression" dxfId="55" priority="6">
      <formula>IF($C8="Y2",1,0)</formula>
    </cfRule>
    <cfRule type="expression" dxfId="54" priority="7">
      <formula>IF($C8="X2",1,0)</formula>
    </cfRule>
    <cfRule type="expression" dxfId="53" priority="8">
      <formula>IF($C8="X1",1,0)</formula>
    </cfRule>
  </conditionalFormatting>
  <conditionalFormatting sqref="P7:P166">
    <cfRule type="expression" dxfId="52" priority="9">
      <formula>IF(MOD(ROW(),2)=0,TRUE,FALSE)</formula>
    </cfRule>
  </conditionalFormatting>
  <conditionalFormatting sqref="P29:P52 P55:P142 P145:P162">
    <cfRule type="cellIs" dxfId="51" priority="5" operator="greaterThan">
      <formula>1</formula>
    </cfRule>
  </conditionalFormatting>
  <conditionalFormatting sqref="P169">
    <cfRule type="expression" dxfId="50" priority="1">
      <formula>IF($C169="Y2",1,0)</formula>
    </cfRule>
    <cfRule type="expression" dxfId="49" priority="2">
      <formula>IF($C169="X2",1,0)</formula>
    </cfRule>
    <cfRule type="expression" dxfId="48" priority="3">
      <formula>IF($C169="X1",1,0)</formula>
    </cfRule>
    <cfRule type="expression" dxfId="47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C181-250C-435C-9F78-A5245A922895}">
  <sheetPr>
    <tabColor rgb="FFB4D0CB"/>
    <pageSetUpPr fitToPage="1"/>
  </sheetPr>
  <dimension ref="A1:P169"/>
  <sheetViews>
    <sheetView showGridLines="0" zoomScale="80" zoomScaleNormal="80" workbookViewId="0">
      <pane xSplit="5" ySplit="6" topLeftCell="L148" activePane="bottomRight" state="frozen"/>
      <selection pane="topRight" activeCell="BA157" sqref="BA157"/>
      <selection pane="bottomLeft" activeCell="BA157" sqref="BA157"/>
      <selection pane="bottomRight" activeCell="O165" sqref="O165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66.140625" style="1" customWidth="1"/>
    <col min="6" max="6" width="26.28515625" style="1" bestFit="1" customWidth="1"/>
    <col min="7" max="7" width="22.28515625" style="1" bestFit="1" customWidth="1"/>
    <col min="8" max="9" width="23.5703125" style="1" bestFit="1" customWidth="1"/>
    <col min="10" max="12" width="26.28515625" style="1" bestFit="1" customWidth="1"/>
    <col min="13" max="13" width="19.5703125" style="1" bestFit="1" customWidth="1"/>
    <col min="14" max="14" width="22.28515625" style="1" customWidth="1"/>
    <col min="15" max="15" width="27.5703125" style="3" bestFit="1" customWidth="1"/>
    <col min="16" max="16" width="9.7109375" style="1" customWidth="1"/>
    <col min="17" max="16384" width="8.85546875" style="1"/>
  </cols>
  <sheetData>
    <row r="1" spans="1:16" x14ac:dyDescent="0.3">
      <c r="D1" s="1" t="s">
        <v>0</v>
      </c>
    </row>
    <row r="2" spans="1:16" x14ac:dyDescent="0.3">
      <c r="D2" s="1" t="s">
        <v>1</v>
      </c>
    </row>
    <row r="4" spans="1:16" s="2" customFormat="1" ht="16.5" hidden="1" customHeight="1" x14ac:dyDescent="0.3">
      <c r="O4" s="4" t="e">
        <f>#REF!</f>
        <v>#REF!</v>
      </c>
    </row>
    <row r="5" spans="1:16" s="5" customFormat="1" ht="33" customHeight="1" x14ac:dyDescent="0.25">
      <c r="C5" s="6"/>
      <c r="D5" s="72" t="s">
        <v>2</v>
      </c>
      <c r="E5" s="72"/>
      <c r="F5" s="74" t="s">
        <v>172</v>
      </c>
      <c r="G5" s="75"/>
      <c r="H5" s="75"/>
      <c r="I5" s="75"/>
      <c r="J5" s="75"/>
      <c r="K5" s="76"/>
      <c r="L5" s="75" t="s">
        <v>173</v>
      </c>
      <c r="M5" s="75"/>
      <c r="N5" s="75"/>
      <c r="O5" s="77"/>
      <c r="P5" s="30" t="s">
        <v>5</v>
      </c>
    </row>
    <row r="6" spans="1:16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16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</row>
    <row r="8" spans="1:16" s="12" customFormat="1" x14ac:dyDescent="0.3">
      <c r="C8" s="13" t="s">
        <v>13</v>
      </c>
      <c r="D8" s="14" t="s">
        <v>14</v>
      </c>
      <c r="E8" s="15"/>
      <c r="F8" s="32">
        <v>5539589503431</v>
      </c>
      <c r="G8" s="32">
        <v>0</v>
      </c>
      <c r="H8" s="32">
        <v>729641601176</v>
      </c>
      <c r="I8" s="32">
        <v>544598977781</v>
      </c>
      <c r="J8" s="32">
        <v>1004253035090</v>
      </c>
      <c r="K8" s="32">
        <f>SUM(F8:J8)</f>
        <v>7818083117478</v>
      </c>
      <c r="L8" s="32">
        <v>4232705035360.3701</v>
      </c>
      <c r="M8" s="32"/>
      <c r="N8" s="32">
        <v>906026039627.14001</v>
      </c>
      <c r="O8" s="16">
        <f>SUM(L8:N8)</f>
        <v>5138731074987.5098</v>
      </c>
      <c r="P8" s="37">
        <f>O8/K8</f>
        <v>0.65728785403923795</v>
      </c>
    </row>
    <row r="9" spans="1:16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9"/>
    </row>
    <row r="10" spans="1:16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</row>
    <row r="11" spans="1:16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33">
        <v>200298991450</v>
      </c>
      <c r="G11" s="33">
        <v>0</v>
      </c>
      <c r="H11" s="33">
        <v>2377868599</v>
      </c>
      <c r="I11" s="33">
        <v>5286109986</v>
      </c>
      <c r="J11" s="33">
        <v>22927120245</v>
      </c>
      <c r="K11" s="33">
        <f>SUM(F11:J11)</f>
        <v>230890090280</v>
      </c>
      <c r="L11" s="33">
        <v>103465926406.67999</v>
      </c>
      <c r="M11" s="33">
        <v>0</v>
      </c>
      <c r="N11" s="33">
        <v>41542495166.189995</v>
      </c>
      <c r="O11" s="19">
        <f t="shared" ref="O11:O13" si="0">SUM(L11:N11)</f>
        <v>145008421572.87</v>
      </c>
      <c r="P11" s="37">
        <f>O11/K11</f>
        <v>0.62804090637678966</v>
      </c>
    </row>
    <row r="12" spans="1:16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 t="shared" ref="K12:K13" si="1">SUM(F12:J12)</f>
        <v>0</v>
      </c>
      <c r="L12" s="33">
        <v>0</v>
      </c>
      <c r="M12" s="33">
        <v>0</v>
      </c>
      <c r="N12" s="33">
        <v>0</v>
      </c>
      <c r="O12" s="19">
        <f t="shared" si="0"/>
        <v>0</v>
      </c>
      <c r="P12" s="37" t="e">
        <f>O12/K12</f>
        <v>#DIV/0!</v>
      </c>
    </row>
    <row r="13" spans="1:16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33">
        <v>18036138761</v>
      </c>
      <c r="G13" s="33">
        <v>0</v>
      </c>
      <c r="H13" s="33">
        <v>288716850</v>
      </c>
      <c r="I13" s="33">
        <v>788833201</v>
      </c>
      <c r="J13" s="33">
        <v>13671394317</v>
      </c>
      <c r="K13" s="33">
        <f t="shared" si="1"/>
        <v>32785083129</v>
      </c>
      <c r="L13" s="33">
        <v>10807964835.870001</v>
      </c>
      <c r="M13" s="33">
        <v>0</v>
      </c>
      <c r="N13" s="33">
        <v>5305697174.1300001</v>
      </c>
      <c r="O13" s="19">
        <f t="shared" si="0"/>
        <v>16113662010</v>
      </c>
      <c r="P13" s="37">
        <f>O13/K13</f>
        <v>0.49149370604299863</v>
      </c>
    </row>
    <row r="14" spans="1:16" s="23" customFormat="1" x14ac:dyDescent="0.3">
      <c r="B14" s="12"/>
      <c r="C14" s="13" t="s">
        <v>20</v>
      </c>
      <c r="D14" s="14"/>
      <c r="E14" s="15" t="s">
        <v>21</v>
      </c>
      <c r="F14" s="32">
        <f>F11-F12-F13</f>
        <v>182262852689</v>
      </c>
      <c r="G14" s="32">
        <f t="shared" ref="G14:K14" si="2">G11-G12-G13</f>
        <v>0</v>
      </c>
      <c r="H14" s="32">
        <f t="shared" si="2"/>
        <v>2089151749</v>
      </c>
      <c r="I14" s="32">
        <f t="shared" si="2"/>
        <v>4497276785</v>
      </c>
      <c r="J14" s="32">
        <f t="shared" si="2"/>
        <v>9255725928</v>
      </c>
      <c r="K14" s="32">
        <f t="shared" si="2"/>
        <v>198105007151</v>
      </c>
      <c r="L14" s="32">
        <f t="shared" ref="L14" si="3">L11-L12-L13</f>
        <v>92657961570.809998</v>
      </c>
      <c r="M14" s="32">
        <f t="shared" ref="M14" si="4">M11-M12-M13</f>
        <v>0</v>
      </c>
      <c r="N14" s="32">
        <f t="shared" ref="N14" si="5">N11-N12-N13</f>
        <v>36236797992.059998</v>
      </c>
      <c r="O14" s="16">
        <f t="shared" ref="O14" si="6">O11-O12-O13</f>
        <v>128894759562.87</v>
      </c>
      <c r="P14" s="37">
        <f>O14/K14</f>
        <v>0.6506385750493604</v>
      </c>
    </row>
    <row r="15" spans="1:16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19"/>
    </row>
    <row r="16" spans="1:16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</row>
    <row r="17" spans="1:16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33">
        <v>149669107251</v>
      </c>
      <c r="G17" s="33">
        <v>1889067548</v>
      </c>
      <c r="H17" s="33">
        <v>158460622</v>
      </c>
      <c r="I17" s="33">
        <v>500000000</v>
      </c>
      <c r="J17" s="33">
        <v>25924281317</v>
      </c>
      <c r="K17" s="33">
        <f t="shared" ref="K17:K20" si="7">SUM(F17:J17)</f>
        <v>178140916738</v>
      </c>
      <c r="L17" s="33">
        <v>57450231118.669998</v>
      </c>
      <c r="M17" s="33">
        <v>116546366</v>
      </c>
      <c r="N17" s="33">
        <v>25399709127.23</v>
      </c>
      <c r="O17" s="19">
        <f t="shared" ref="O17:O20" si="8">SUM(L17:N17)</f>
        <v>82966486611.899994</v>
      </c>
      <c r="P17" s="37">
        <f>O17/K17</f>
        <v>0.46573515018968159</v>
      </c>
    </row>
    <row r="18" spans="1:16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33">
        <v>1219679297</v>
      </c>
      <c r="G18" s="33">
        <v>-151546366</v>
      </c>
      <c r="H18" s="33">
        <v>17700891</v>
      </c>
      <c r="I18" s="33">
        <v>0</v>
      </c>
      <c r="J18" s="33">
        <v>3523812717</v>
      </c>
      <c r="K18" s="33">
        <f t="shared" si="7"/>
        <v>4609646539</v>
      </c>
      <c r="L18" s="33">
        <v>8010275787.3599987</v>
      </c>
      <c r="M18" s="33">
        <v>-151546366.30000001</v>
      </c>
      <c r="N18" s="33">
        <v>9290123256.6599998</v>
      </c>
      <c r="O18" s="19">
        <f t="shared" si="8"/>
        <v>17148852677.719997</v>
      </c>
      <c r="P18" s="37">
        <f>O18/K18</f>
        <v>3.7202098973602014</v>
      </c>
    </row>
    <row r="19" spans="1:16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33">
        <v>43057773776</v>
      </c>
      <c r="G19" s="33">
        <v>4180457975</v>
      </c>
      <c r="H19" s="33">
        <v>30365867</v>
      </c>
      <c r="I19" s="33">
        <v>61962783</v>
      </c>
      <c r="J19" s="33">
        <v>19772876680</v>
      </c>
      <c r="K19" s="33">
        <f t="shared" si="7"/>
        <v>67103437081</v>
      </c>
      <c r="L19" s="33">
        <v>14900422894.010002</v>
      </c>
      <c r="M19" s="33">
        <v>918416596.70000005</v>
      </c>
      <c r="N19" s="33">
        <v>8394187557.9920902</v>
      </c>
      <c r="O19" s="19">
        <f t="shared" si="8"/>
        <v>24213027048.702095</v>
      </c>
      <c r="P19" s="37">
        <f>O19/K19</f>
        <v>0.36083139853886698</v>
      </c>
    </row>
    <row r="20" spans="1:16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33">
        <v>2846109985</v>
      </c>
      <c r="G20" s="33">
        <v>0</v>
      </c>
      <c r="H20" s="33">
        <v>50176077</v>
      </c>
      <c r="I20" s="33">
        <v>120569702</v>
      </c>
      <c r="J20" s="33">
        <v>2085992135</v>
      </c>
      <c r="K20" s="33">
        <f t="shared" si="7"/>
        <v>5102847899</v>
      </c>
      <c r="L20" s="33">
        <v>1786518163.6200001</v>
      </c>
      <c r="M20" s="33">
        <v>0</v>
      </c>
      <c r="N20" s="33">
        <v>762997958.50000012</v>
      </c>
      <c r="O20" s="19">
        <f t="shared" si="8"/>
        <v>2549516122.1200004</v>
      </c>
      <c r="P20" s="37">
        <f>O20/K20</f>
        <v>0.49962612497613862</v>
      </c>
    </row>
    <row r="21" spans="1:16" s="23" customFormat="1" x14ac:dyDescent="0.3">
      <c r="B21" s="12"/>
      <c r="C21" s="13" t="s">
        <v>20</v>
      </c>
      <c r="D21" s="14"/>
      <c r="E21" s="15" t="s">
        <v>28</v>
      </c>
      <c r="F21" s="32">
        <f>F17+F18-F19-F20</f>
        <v>104984902787</v>
      </c>
      <c r="G21" s="32">
        <f t="shared" ref="G21:K21" si="9">G17+G18-G19-G20</f>
        <v>-2442936793</v>
      </c>
      <c r="H21" s="32">
        <f t="shared" si="9"/>
        <v>95619569</v>
      </c>
      <c r="I21" s="32">
        <f t="shared" si="9"/>
        <v>317467515</v>
      </c>
      <c r="J21" s="32">
        <f t="shared" si="9"/>
        <v>7589225219</v>
      </c>
      <c r="K21" s="32">
        <f t="shared" si="9"/>
        <v>110544278297</v>
      </c>
      <c r="L21" s="32">
        <f>L17+L18-L19-L20</f>
        <v>48773565848.399994</v>
      </c>
      <c r="M21" s="32">
        <f t="shared" ref="M21" si="10">M17+M18-M19-M20</f>
        <v>-953416597</v>
      </c>
      <c r="N21" s="32">
        <f t="shared" ref="N21" si="11">N17+N18-N19-N20</f>
        <v>25532646867.397911</v>
      </c>
      <c r="O21" s="16">
        <f t="shared" ref="O21" si="12">O17+O18-O19-O20</f>
        <v>73352796118.797913</v>
      </c>
      <c r="P21" s="37">
        <f>O21/K21</f>
        <v>0.66356031491490219</v>
      </c>
    </row>
    <row r="22" spans="1:16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19"/>
    </row>
    <row r="23" spans="1:16" s="23" customFormat="1" x14ac:dyDescent="0.3">
      <c r="B23" s="12"/>
      <c r="C23" s="13" t="s">
        <v>13</v>
      </c>
      <c r="D23" s="14" t="s">
        <v>29</v>
      </c>
      <c r="E23" s="15"/>
      <c r="F23" s="32">
        <f>F14-F21</f>
        <v>77277949902</v>
      </c>
      <c r="G23" s="32">
        <f t="shared" ref="G23:M23" si="13">G14-G21</f>
        <v>2442936793</v>
      </c>
      <c r="H23" s="32">
        <f t="shared" si="13"/>
        <v>1993532180</v>
      </c>
      <c r="I23" s="32">
        <f t="shared" si="13"/>
        <v>4179809270</v>
      </c>
      <c r="J23" s="32">
        <f t="shared" si="13"/>
        <v>1666500709</v>
      </c>
      <c r="K23" s="32">
        <f t="shared" si="13"/>
        <v>87560728854</v>
      </c>
      <c r="L23" s="32">
        <f t="shared" si="13"/>
        <v>43884395722.410004</v>
      </c>
      <c r="M23" s="32">
        <f t="shared" si="13"/>
        <v>953416597</v>
      </c>
      <c r="N23" s="32">
        <f t="shared" ref="N23" si="14">N14-N21</f>
        <v>10704151124.662086</v>
      </c>
      <c r="O23" s="16">
        <f t="shared" ref="O23" si="15">O14-O21</f>
        <v>55541963444.072083</v>
      </c>
      <c r="P23" s="37">
        <f>O23/K23</f>
        <v>0.63432504698177583</v>
      </c>
    </row>
    <row r="24" spans="1:16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1:16" s="23" customFormat="1" x14ac:dyDescent="0.3">
      <c r="B25" s="12">
        <v>19</v>
      </c>
      <c r="C25" s="13" t="s">
        <v>13</v>
      </c>
      <c r="D25" s="14" t="s">
        <v>30</v>
      </c>
      <c r="E25" s="15"/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/>
      <c r="M25" s="15"/>
      <c r="N25" s="15"/>
      <c r="O25" s="19">
        <v>0</v>
      </c>
      <c r="P25" s="19">
        <v>0</v>
      </c>
    </row>
    <row r="26" spans="1:16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1:16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</row>
    <row r="28" spans="1:16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</row>
    <row r="29" spans="1:16" s="20" customFormat="1" x14ac:dyDescent="0.3">
      <c r="A29" s="20">
        <v>94</v>
      </c>
      <c r="B29" s="7"/>
      <c r="C29" s="8"/>
      <c r="D29" s="21"/>
      <c r="E29" s="24" t="s">
        <v>33</v>
      </c>
      <c r="F29" s="31">
        <v>969596418</v>
      </c>
      <c r="G29" s="31">
        <v>0</v>
      </c>
      <c r="H29" s="31">
        <v>19882043</v>
      </c>
      <c r="I29" s="31">
        <v>25588713</v>
      </c>
      <c r="J29" s="31">
        <v>112590574</v>
      </c>
      <c r="K29" s="33">
        <f t="shared" ref="K29:K51" si="16">SUM(F29:J29)</f>
        <v>1127657748</v>
      </c>
      <c r="L29" s="31">
        <v>516810778.18000001</v>
      </c>
      <c r="M29" s="31"/>
      <c r="N29" s="31">
        <v>226941042.81999999</v>
      </c>
      <c r="O29" s="19">
        <f t="shared" ref="O29:O51" si="17">SUM(L29:N29)</f>
        <v>743751821</v>
      </c>
      <c r="P29" s="37">
        <f t="shared" ref="P29:P52" si="18">O29/K29</f>
        <v>0.65955456992080186</v>
      </c>
    </row>
    <row r="30" spans="1:16" s="20" customFormat="1" x14ac:dyDescent="0.3">
      <c r="A30" s="20">
        <v>95</v>
      </c>
      <c r="B30" s="7"/>
      <c r="C30" s="8"/>
      <c r="D30" s="21"/>
      <c r="E30" s="24" t="s">
        <v>34</v>
      </c>
      <c r="F30" s="31">
        <v>35417988</v>
      </c>
      <c r="G30" s="31">
        <v>0</v>
      </c>
      <c r="H30" s="31">
        <v>726263</v>
      </c>
      <c r="I30" s="31">
        <v>934720</v>
      </c>
      <c r="J30" s="31">
        <v>4112775</v>
      </c>
      <c r="K30" s="33">
        <f t="shared" si="16"/>
        <v>41191746</v>
      </c>
      <c r="L30" s="31">
        <v>13555184.060000001</v>
      </c>
      <c r="M30" s="31"/>
      <c r="N30" s="31">
        <v>6085485.9499999993</v>
      </c>
      <c r="O30" s="19">
        <f t="shared" si="17"/>
        <v>19640670.009999998</v>
      </c>
      <c r="P30" s="37">
        <f t="shared" si="18"/>
        <v>0.47681081569108524</v>
      </c>
    </row>
    <row r="31" spans="1:16" s="20" customFormat="1" x14ac:dyDescent="0.3">
      <c r="A31" s="20">
        <v>96</v>
      </c>
      <c r="B31" s="7"/>
      <c r="C31" s="8"/>
      <c r="D31" s="21"/>
      <c r="E31" s="24" t="s">
        <v>35</v>
      </c>
      <c r="F31" s="31">
        <v>180463352</v>
      </c>
      <c r="G31" s="31">
        <v>0</v>
      </c>
      <c r="H31" s="31">
        <v>3700488</v>
      </c>
      <c r="I31" s="31">
        <v>4762626</v>
      </c>
      <c r="J31" s="31">
        <v>20955598</v>
      </c>
      <c r="K31" s="33">
        <f t="shared" si="16"/>
        <v>209882064</v>
      </c>
      <c r="L31" s="31">
        <v>7643750</v>
      </c>
      <c r="M31" s="31"/>
      <c r="N31" s="31">
        <v>2856250</v>
      </c>
      <c r="O31" s="19">
        <f t="shared" si="17"/>
        <v>10500000</v>
      </c>
      <c r="P31" s="37">
        <f t="shared" si="18"/>
        <v>5.0028095778589257E-2</v>
      </c>
    </row>
    <row r="32" spans="1:16" s="20" customFormat="1" x14ac:dyDescent="0.3">
      <c r="A32" s="20">
        <v>97</v>
      </c>
      <c r="B32" s="7"/>
      <c r="C32" s="8"/>
      <c r="D32" s="21"/>
      <c r="E32" s="24" t="s">
        <v>36</v>
      </c>
      <c r="F32" s="31">
        <v>8268054</v>
      </c>
      <c r="G32" s="31">
        <v>0</v>
      </c>
      <c r="H32" s="31">
        <v>169540</v>
      </c>
      <c r="I32" s="31">
        <v>218203</v>
      </c>
      <c r="J32" s="31">
        <v>960095</v>
      </c>
      <c r="K32" s="33">
        <f t="shared" si="16"/>
        <v>9615892</v>
      </c>
      <c r="L32" s="31">
        <v>0</v>
      </c>
      <c r="M32" s="31"/>
      <c r="N32" s="31">
        <v>0</v>
      </c>
      <c r="O32" s="19">
        <f t="shared" si="17"/>
        <v>0</v>
      </c>
      <c r="P32" s="37">
        <f t="shared" si="18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1">
        <v>131045331</v>
      </c>
      <c r="G33" s="31">
        <v>0</v>
      </c>
      <c r="H33" s="31">
        <v>2687148</v>
      </c>
      <c r="I33" s="31">
        <v>3458430</v>
      </c>
      <c r="J33" s="31">
        <v>15217124</v>
      </c>
      <c r="K33" s="33">
        <f t="shared" si="16"/>
        <v>152408033</v>
      </c>
      <c r="L33" s="31">
        <v>0</v>
      </c>
      <c r="M33" s="31"/>
      <c r="N33" s="31">
        <v>0</v>
      </c>
      <c r="O33" s="19">
        <f t="shared" si="17"/>
        <v>0</v>
      </c>
      <c r="P33" s="37">
        <f t="shared" si="18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1">
        <v>1395994313</v>
      </c>
      <c r="G34" s="31">
        <v>0</v>
      </c>
      <c r="H34" s="31">
        <v>28625538</v>
      </c>
      <c r="I34" s="31">
        <v>36841820</v>
      </c>
      <c r="J34" s="31">
        <v>162104354</v>
      </c>
      <c r="K34" s="33">
        <f t="shared" si="16"/>
        <v>1623566025</v>
      </c>
      <c r="L34" s="31">
        <v>673125239.26999998</v>
      </c>
      <c r="M34" s="31"/>
      <c r="N34" s="31">
        <v>295591937.52999997</v>
      </c>
      <c r="O34" s="19">
        <f t="shared" si="17"/>
        <v>968717176.79999995</v>
      </c>
      <c r="P34" s="37">
        <f t="shared" si="18"/>
        <v>0.59666016773170649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3">
        <f t="shared" si="16"/>
        <v>0</v>
      </c>
      <c r="L35" s="31">
        <v>0</v>
      </c>
      <c r="M35" s="31"/>
      <c r="N35" s="31">
        <v>0</v>
      </c>
      <c r="O35" s="19">
        <f t="shared" si="17"/>
        <v>0</v>
      </c>
      <c r="P35" s="37" t="e">
        <f t="shared" si="18"/>
        <v>#DIV/0!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3">
        <f t="shared" si="16"/>
        <v>0</v>
      </c>
      <c r="L36" s="31">
        <v>0</v>
      </c>
      <c r="M36" s="31"/>
      <c r="N36" s="31">
        <v>0</v>
      </c>
      <c r="O36" s="19">
        <f t="shared" si="17"/>
        <v>0</v>
      </c>
      <c r="P36" s="37" t="e">
        <f t="shared" si="18"/>
        <v>#DIV/0!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1">
        <v>198153866</v>
      </c>
      <c r="G37" s="31">
        <v>0</v>
      </c>
      <c r="H37" s="31">
        <v>4063241</v>
      </c>
      <c r="I37" s="31">
        <v>5229498</v>
      </c>
      <c r="J37" s="31">
        <v>23009839</v>
      </c>
      <c r="K37" s="33">
        <f t="shared" si="16"/>
        <v>230456444</v>
      </c>
      <c r="L37" s="31">
        <v>0</v>
      </c>
      <c r="M37" s="31"/>
      <c r="N37" s="31">
        <v>0</v>
      </c>
      <c r="O37" s="19">
        <f t="shared" si="17"/>
        <v>0</v>
      </c>
      <c r="P37" s="37">
        <f t="shared" si="18"/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1">
        <v>50291541</v>
      </c>
      <c r="G38" s="31">
        <v>0</v>
      </c>
      <c r="H38" s="31">
        <v>1031252</v>
      </c>
      <c r="I38" s="31">
        <v>1327249</v>
      </c>
      <c r="J38" s="31">
        <v>5839908</v>
      </c>
      <c r="K38" s="33">
        <f t="shared" si="16"/>
        <v>58489950</v>
      </c>
      <c r="L38" s="31">
        <v>0</v>
      </c>
      <c r="M38" s="31"/>
      <c r="N38" s="31">
        <v>0</v>
      </c>
      <c r="O38" s="19">
        <f t="shared" si="17"/>
        <v>0</v>
      </c>
      <c r="P38" s="37">
        <f t="shared" si="18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1">
        <v>71343529</v>
      </c>
      <c r="G39" s="31">
        <v>0</v>
      </c>
      <c r="H39" s="31">
        <v>1462934</v>
      </c>
      <c r="I39" s="31">
        <v>1882834</v>
      </c>
      <c r="J39" s="31">
        <v>8284487</v>
      </c>
      <c r="K39" s="33">
        <f t="shared" si="16"/>
        <v>82973784</v>
      </c>
      <c r="L39" s="31">
        <v>0</v>
      </c>
      <c r="M39" s="31"/>
      <c r="N39" s="31">
        <v>0</v>
      </c>
      <c r="O39" s="19">
        <f t="shared" si="17"/>
        <v>0</v>
      </c>
      <c r="P39" s="37">
        <f t="shared" si="18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1">
        <v>10354282</v>
      </c>
      <c r="G40" s="31">
        <v>0</v>
      </c>
      <c r="H40" s="31">
        <v>212320</v>
      </c>
      <c r="I40" s="31">
        <v>273261</v>
      </c>
      <c r="J40" s="31">
        <v>1202350</v>
      </c>
      <c r="K40" s="33">
        <f t="shared" si="16"/>
        <v>12042213</v>
      </c>
      <c r="L40" s="31">
        <v>0</v>
      </c>
      <c r="M40" s="31"/>
      <c r="N40" s="31">
        <v>0</v>
      </c>
      <c r="O40" s="19">
        <f t="shared" si="17"/>
        <v>0</v>
      </c>
      <c r="P40" s="37">
        <f t="shared" si="18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1">
        <v>23991629</v>
      </c>
      <c r="G41" s="31">
        <v>0</v>
      </c>
      <c r="H41" s="31">
        <v>491960</v>
      </c>
      <c r="I41" s="31">
        <v>633165</v>
      </c>
      <c r="J41" s="31">
        <v>2785934</v>
      </c>
      <c r="K41" s="33">
        <f t="shared" si="16"/>
        <v>27902688</v>
      </c>
      <c r="L41" s="31">
        <v>0</v>
      </c>
      <c r="M41" s="31"/>
      <c r="N41" s="31">
        <v>0</v>
      </c>
      <c r="O41" s="19">
        <f t="shared" si="17"/>
        <v>0</v>
      </c>
      <c r="P41" s="37">
        <f t="shared" si="18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1">
        <v>290834566</v>
      </c>
      <c r="G42" s="31">
        <v>0</v>
      </c>
      <c r="H42" s="31">
        <v>5963703</v>
      </c>
      <c r="I42" s="31">
        <v>7675443</v>
      </c>
      <c r="J42" s="31">
        <v>33772021</v>
      </c>
      <c r="K42" s="33">
        <f t="shared" si="16"/>
        <v>338245733</v>
      </c>
      <c r="L42" s="31">
        <v>203316284.5</v>
      </c>
      <c r="M42" s="31"/>
      <c r="N42" s="31">
        <v>92991149.810000002</v>
      </c>
      <c r="O42" s="19">
        <f t="shared" si="17"/>
        <v>296307434.31</v>
      </c>
      <c r="P42" s="37">
        <f t="shared" si="18"/>
        <v>0.876012334825226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1">
        <v>1123262216</v>
      </c>
      <c r="G43" s="31">
        <v>0</v>
      </c>
      <c r="H43" s="31">
        <v>23033034</v>
      </c>
      <c r="I43" s="31">
        <v>29644121</v>
      </c>
      <c r="J43" s="31">
        <v>130434411</v>
      </c>
      <c r="K43" s="33">
        <f t="shared" si="16"/>
        <v>1306373782</v>
      </c>
      <c r="L43" s="31">
        <v>151293034.78</v>
      </c>
      <c r="M43" s="31"/>
      <c r="N43" s="31">
        <v>69004985.430000007</v>
      </c>
      <c r="O43" s="19">
        <f t="shared" si="17"/>
        <v>220298020.21000001</v>
      </c>
      <c r="P43" s="37">
        <f t="shared" si="18"/>
        <v>0.16863322216458873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1">
        <v>34442168</v>
      </c>
      <c r="G44" s="31">
        <v>0</v>
      </c>
      <c r="H44" s="31">
        <v>706253</v>
      </c>
      <c r="I44" s="31">
        <v>908967</v>
      </c>
      <c r="J44" s="31">
        <v>3999461</v>
      </c>
      <c r="K44" s="33">
        <f t="shared" si="16"/>
        <v>40056849</v>
      </c>
      <c r="L44" s="31">
        <v>25634999.800000001</v>
      </c>
      <c r="M44" s="31"/>
      <c r="N44" s="31">
        <v>11198333.199999997</v>
      </c>
      <c r="O44" s="19">
        <f t="shared" si="17"/>
        <v>36833333</v>
      </c>
      <c r="P44" s="37">
        <f t="shared" si="18"/>
        <v>0.91952647099126539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1">
        <v>707805475</v>
      </c>
      <c r="G45" s="31">
        <v>0</v>
      </c>
      <c r="H45" s="31">
        <v>14513893</v>
      </c>
      <c r="I45" s="31">
        <v>18679762</v>
      </c>
      <c r="J45" s="31">
        <v>82191129</v>
      </c>
      <c r="K45" s="33">
        <f t="shared" si="16"/>
        <v>823190259</v>
      </c>
      <c r="L45" s="31">
        <v>316284723.10000002</v>
      </c>
      <c r="M45" s="31"/>
      <c r="N45" s="31">
        <v>139048609.90000001</v>
      </c>
      <c r="O45" s="19">
        <f t="shared" si="17"/>
        <v>455333333</v>
      </c>
      <c r="P45" s="37">
        <f t="shared" si="18"/>
        <v>0.55313255717230247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1">
        <v>16470226</v>
      </c>
      <c r="G46" s="31">
        <v>0</v>
      </c>
      <c r="H46" s="31">
        <v>337730</v>
      </c>
      <c r="I46" s="31">
        <v>434667</v>
      </c>
      <c r="J46" s="31">
        <v>1912540</v>
      </c>
      <c r="K46" s="33">
        <f t="shared" si="16"/>
        <v>19155163</v>
      </c>
      <c r="L46" s="31">
        <v>0</v>
      </c>
      <c r="M46" s="31"/>
      <c r="N46" s="31">
        <v>0</v>
      </c>
      <c r="O46" s="19">
        <f t="shared" si="17"/>
        <v>0</v>
      </c>
      <c r="P46" s="37">
        <f t="shared" si="18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1">
        <v>158022669</v>
      </c>
      <c r="G47" s="31">
        <v>0</v>
      </c>
      <c r="H47" s="31">
        <v>3240331</v>
      </c>
      <c r="I47" s="31">
        <v>4170391</v>
      </c>
      <c r="J47" s="31">
        <v>18349762</v>
      </c>
      <c r="K47" s="33">
        <f t="shared" si="16"/>
        <v>183783153</v>
      </c>
      <c r="L47" s="31">
        <v>0</v>
      </c>
      <c r="M47" s="31"/>
      <c r="N47" s="31">
        <v>0</v>
      </c>
      <c r="O47" s="19">
        <f t="shared" si="17"/>
        <v>0</v>
      </c>
      <c r="P47" s="37">
        <f t="shared" si="18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1">
        <v>180733558</v>
      </c>
      <c r="G48" s="31">
        <v>0</v>
      </c>
      <c r="H48" s="31">
        <v>3706029</v>
      </c>
      <c r="I48" s="31">
        <v>4769757</v>
      </c>
      <c r="J48" s="31">
        <v>20986974</v>
      </c>
      <c r="K48" s="33">
        <f t="shared" si="16"/>
        <v>210196318</v>
      </c>
      <c r="L48" s="31">
        <v>109229857.8</v>
      </c>
      <c r="M48" s="31"/>
      <c r="N48" s="31">
        <v>46758142.200000003</v>
      </c>
      <c r="O48" s="19">
        <f t="shared" si="17"/>
        <v>155988000</v>
      </c>
      <c r="P48" s="37">
        <f t="shared" si="18"/>
        <v>0.74210624374495471</v>
      </c>
    </row>
    <row r="49" spans="1:16" s="20" customFormat="1" x14ac:dyDescent="0.3">
      <c r="A49" s="20">
        <v>124</v>
      </c>
      <c r="B49" s="7"/>
      <c r="C49" s="8"/>
      <c r="D49" s="21"/>
      <c r="E49" s="24" t="s">
        <v>53</v>
      </c>
      <c r="F49" s="31">
        <v>32127921</v>
      </c>
      <c r="G49" s="31">
        <v>0</v>
      </c>
      <c r="H49" s="31">
        <v>658799</v>
      </c>
      <c r="I49" s="31">
        <v>847891</v>
      </c>
      <c r="J49" s="31">
        <v>3730729</v>
      </c>
      <c r="K49" s="33">
        <f t="shared" si="16"/>
        <v>37365340</v>
      </c>
      <c r="L49" s="31">
        <v>0</v>
      </c>
      <c r="M49" s="31"/>
      <c r="N49" s="31">
        <v>0</v>
      </c>
      <c r="O49" s="19">
        <f t="shared" si="17"/>
        <v>0</v>
      </c>
      <c r="P49" s="37">
        <f t="shared" si="18"/>
        <v>0</v>
      </c>
    </row>
    <row r="50" spans="1:16" s="20" customFormat="1" x14ac:dyDescent="0.3">
      <c r="A50" s="20">
        <v>143</v>
      </c>
      <c r="B50" s="7"/>
      <c r="C50" s="8"/>
      <c r="D50" s="21"/>
      <c r="E50" s="24" t="s">
        <v>54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3">
        <f t="shared" si="16"/>
        <v>0</v>
      </c>
      <c r="L50" s="31">
        <v>0</v>
      </c>
      <c r="M50" s="31"/>
      <c r="N50" s="31">
        <v>0</v>
      </c>
      <c r="O50" s="19">
        <f t="shared" si="17"/>
        <v>0</v>
      </c>
      <c r="P50" s="37" t="e">
        <f t="shared" si="18"/>
        <v>#DIV/0!</v>
      </c>
    </row>
    <row r="51" spans="1:16" s="20" customFormat="1" x14ac:dyDescent="0.3">
      <c r="A51" s="20">
        <v>0</v>
      </c>
      <c r="B51" s="7"/>
      <c r="C51" s="8"/>
      <c r="D51" s="21"/>
      <c r="E51" s="24" t="s">
        <v>55</v>
      </c>
      <c r="F51" s="31">
        <v>91501256</v>
      </c>
      <c r="G51" s="31">
        <v>0</v>
      </c>
      <c r="H51" s="31">
        <v>1876277</v>
      </c>
      <c r="I51" s="31">
        <v>2414818</v>
      </c>
      <c r="J51" s="31">
        <v>10625224</v>
      </c>
      <c r="K51" s="33">
        <f t="shared" si="16"/>
        <v>106417575</v>
      </c>
      <c r="L51" s="31">
        <v>58436602.100000001</v>
      </c>
      <c r="M51" s="31"/>
      <c r="N51" s="31">
        <v>25871731.899999999</v>
      </c>
      <c r="O51" s="19">
        <f t="shared" si="17"/>
        <v>84308334</v>
      </c>
      <c r="P51" s="37">
        <f t="shared" si="18"/>
        <v>0.79224069896349358</v>
      </c>
    </row>
    <row r="52" spans="1:16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5710120358</v>
      </c>
      <c r="G52" s="32">
        <f t="shared" ref="G52:N52" si="19">SUM(G29:G51)</f>
        <v>0</v>
      </c>
      <c r="H52" s="32">
        <f t="shared" si="19"/>
        <v>117088776</v>
      </c>
      <c r="I52" s="32">
        <f t="shared" si="19"/>
        <v>150696336</v>
      </c>
      <c r="J52" s="32">
        <f t="shared" si="19"/>
        <v>663065289</v>
      </c>
      <c r="K52" s="32">
        <f t="shared" si="19"/>
        <v>6640970759</v>
      </c>
      <c r="L52" s="32">
        <f t="shared" si="19"/>
        <v>2075330453.5899999</v>
      </c>
      <c r="M52" s="32">
        <f t="shared" si="19"/>
        <v>0</v>
      </c>
      <c r="N52" s="32">
        <f t="shared" si="19"/>
        <v>916347668.74000001</v>
      </c>
      <c r="O52" s="16">
        <f t="shared" ref="O52" si="20">SUM(O29:O51)</f>
        <v>2991678122.3299999</v>
      </c>
      <c r="P52" s="37">
        <f t="shared" si="18"/>
        <v>0.45048807334012236</v>
      </c>
    </row>
    <row r="53" spans="1:16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19"/>
    </row>
    <row r="54" spans="1:16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19"/>
    </row>
    <row r="55" spans="1:16" s="20" customFormat="1" x14ac:dyDescent="0.3">
      <c r="A55" s="20">
        <v>169</v>
      </c>
      <c r="B55" s="7"/>
      <c r="C55" s="8"/>
      <c r="D55" s="21"/>
      <c r="E55" s="24" t="s">
        <v>58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3">
        <f t="shared" ref="K55:K118" si="21">SUM(F55:J55)</f>
        <v>0</v>
      </c>
      <c r="L55" s="31">
        <v>0</v>
      </c>
      <c r="M55" s="31"/>
      <c r="N55" s="31">
        <v>0</v>
      </c>
      <c r="O55" s="19">
        <f t="shared" ref="O55:O118" si="22">SUM(L55:N55)</f>
        <v>0</v>
      </c>
      <c r="P55" s="37" t="e">
        <f t="shared" ref="P55:P90" si="23">O55/K55</f>
        <v>#DIV/0!</v>
      </c>
    </row>
    <row r="56" spans="1:16" s="20" customFormat="1" x14ac:dyDescent="0.3">
      <c r="A56" s="20">
        <v>171</v>
      </c>
      <c r="B56" s="7"/>
      <c r="C56" s="8"/>
      <c r="D56" s="21"/>
      <c r="E56" s="24" t="s">
        <v>59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3">
        <f t="shared" si="21"/>
        <v>0</v>
      </c>
      <c r="L56" s="31">
        <v>0</v>
      </c>
      <c r="M56" s="31"/>
      <c r="N56" s="31">
        <v>0</v>
      </c>
      <c r="O56" s="19">
        <f t="shared" si="22"/>
        <v>0</v>
      </c>
      <c r="P56" s="37" t="e">
        <f t="shared" si="23"/>
        <v>#DIV/0!</v>
      </c>
    </row>
    <row r="57" spans="1:16" s="20" customFormat="1" x14ac:dyDescent="0.3">
      <c r="A57" s="20">
        <v>175</v>
      </c>
      <c r="B57" s="7"/>
      <c r="C57" s="8"/>
      <c r="D57" s="21"/>
      <c r="E57" s="24" t="s">
        <v>60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3">
        <f t="shared" si="21"/>
        <v>0</v>
      </c>
      <c r="L57" s="31">
        <v>0</v>
      </c>
      <c r="M57" s="31"/>
      <c r="N57" s="31">
        <v>0</v>
      </c>
      <c r="O57" s="19">
        <f t="shared" si="22"/>
        <v>0</v>
      </c>
      <c r="P57" s="37" t="e">
        <f t="shared" si="23"/>
        <v>#DIV/0!</v>
      </c>
    </row>
    <row r="58" spans="1:16" s="20" customFormat="1" x14ac:dyDescent="0.3">
      <c r="A58" s="20">
        <v>176</v>
      </c>
      <c r="B58" s="7"/>
      <c r="C58" s="8"/>
      <c r="D58" s="21"/>
      <c r="E58" s="24" t="s">
        <v>61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3">
        <f t="shared" si="21"/>
        <v>0</v>
      </c>
      <c r="L58" s="31">
        <v>0</v>
      </c>
      <c r="M58" s="31"/>
      <c r="N58" s="31">
        <v>0</v>
      </c>
      <c r="O58" s="19">
        <f t="shared" si="22"/>
        <v>0</v>
      </c>
      <c r="P58" s="37" t="e">
        <f t="shared" si="23"/>
        <v>#DIV/0!</v>
      </c>
    </row>
    <row r="59" spans="1:16" s="20" customFormat="1" x14ac:dyDescent="0.3">
      <c r="A59" s="20">
        <v>177</v>
      </c>
      <c r="B59" s="7"/>
      <c r="C59" s="8"/>
      <c r="D59" s="21"/>
      <c r="E59" s="24" t="s">
        <v>62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3">
        <f t="shared" si="21"/>
        <v>0</v>
      </c>
      <c r="L59" s="31">
        <v>0</v>
      </c>
      <c r="M59" s="31"/>
      <c r="N59" s="31">
        <v>0</v>
      </c>
      <c r="O59" s="19">
        <f t="shared" si="22"/>
        <v>0</v>
      </c>
      <c r="P59" s="37" t="e">
        <f t="shared" si="23"/>
        <v>#DIV/0!</v>
      </c>
    </row>
    <row r="60" spans="1:16" s="20" customFormat="1" x14ac:dyDescent="0.3">
      <c r="A60" s="20">
        <v>179</v>
      </c>
      <c r="B60" s="7"/>
      <c r="C60" s="8"/>
      <c r="D60" s="21"/>
      <c r="E60" s="24" t="s">
        <v>63</v>
      </c>
      <c r="F60" s="31">
        <v>107469017</v>
      </c>
      <c r="G60" s="31">
        <v>0</v>
      </c>
      <c r="H60" s="31">
        <v>2203704</v>
      </c>
      <c r="I60" s="31">
        <v>2836225</v>
      </c>
      <c r="J60" s="31">
        <v>12479417</v>
      </c>
      <c r="K60" s="33">
        <f t="shared" si="21"/>
        <v>124988363</v>
      </c>
      <c r="L60" s="31">
        <v>60100254.039999999</v>
      </c>
      <c r="M60" s="31"/>
      <c r="N60" s="31">
        <v>26191681.960000001</v>
      </c>
      <c r="O60" s="19">
        <f t="shared" si="22"/>
        <v>86291936</v>
      </c>
      <c r="P60" s="37">
        <f t="shared" si="23"/>
        <v>0.69039976145619253</v>
      </c>
    </row>
    <row r="61" spans="1:16" s="20" customFormat="1" x14ac:dyDescent="0.3">
      <c r="A61" s="20">
        <v>180</v>
      </c>
      <c r="B61" s="7"/>
      <c r="C61" s="8"/>
      <c r="D61" s="21"/>
      <c r="E61" s="24" t="s">
        <v>64</v>
      </c>
      <c r="F61" s="31">
        <v>8352161</v>
      </c>
      <c r="G61" s="31">
        <v>0</v>
      </c>
      <c r="H61" s="31">
        <v>171265</v>
      </c>
      <c r="I61" s="31">
        <v>220423</v>
      </c>
      <c r="J61" s="31">
        <v>969862</v>
      </c>
      <c r="K61" s="33">
        <f t="shared" si="21"/>
        <v>9713711</v>
      </c>
      <c r="L61" s="31">
        <v>6133513.5499999998</v>
      </c>
      <c r="M61" s="31"/>
      <c r="N61" s="31">
        <v>2744486.45</v>
      </c>
      <c r="O61" s="19">
        <f t="shared" si="22"/>
        <v>8878000</v>
      </c>
      <c r="P61" s="37">
        <f t="shared" si="23"/>
        <v>0.91396583653765284</v>
      </c>
    </row>
    <row r="62" spans="1:16" s="20" customFormat="1" x14ac:dyDescent="0.3">
      <c r="A62" s="20">
        <v>181</v>
      </c>
      <c r="B62" s="7"/>
      <c r="C62" s="8"/>
      <c r="D62" s="21"/>
      <c r="E62" s="24" t="s">
        <v>65</v>
      </c>
      <c r="F62" s="31">
        <v>621272226</v>
      </c>
      <c r="G62" s="31">
        <v>0</v>
      </c>
      <c r="H62" s="31">
        <v>12739487</v>
      </c>
      <c r="I62" s="31">
        <v>16396055</v>
      </c>
      <c r="J62" s="31">
        <v>72142796</v>
      </c>
      <c r="K62" s="33">
        <f t="shared" si="21"/>
        <v>722550564</v>
      </c>
      <c r="L62" s="31">
        <v>299763074.85000002</v>
      </c>
      <c r="M62" s="31"/>
      <c r="N62" s="31">
        <v>134875871.25999999</v>
      </c>
      <c r="O62" s="19">
        <f t="shared" si="22"/>
        <v>434638946.11000001</v>
      </c>
      <c r="P62" s="37">
        <f t="shared" si="23"/>
        <v>0.6015342977574647</v>
      </c>
    </row>
    <row r="63" spans="1:16" s="20" customFormat="1" x14ac:dyDescent="0.3">
      <c r="A63" s="20">
        <v>134</v>
      </c>
      <c r="B63" s="7"/>
      <c r="C63" s="8"/>
      <c r="D63" s="21"/>
      <c r="E63" s="24" t="s">
        <v>66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3">
        <f t="shared" si="21"/>
        <v>0</v>
      </c>
      <c r="L63" s="31">
        <v>0</v>
      </c>
      <c r="M63" s="31"/>
      <c r="N63" s="31">
        <v>0</v>
      </c>
      <c r="O63" s="19">
        <f t="shared" si="22"/>
        <v>0</v>
      </c>
      <c r="P63" s="37" t="e">
        <f t="shared" si="23"/>
        <v>#DIV/0!</v>
      </c>
    </row>
    <row r="64" spans="1:16" s="20" customFormat="1" x14ac:dyDescent="0.3">
      <c r="A64" s="20">
        <v>132</v>
      </c>
      <c r="B64" s="7"/>
      <c r="C64" s="8"/>
      <c r="D64" s="21"/>
      <c r="E64" s="24" t="s">
        <v>67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3">
        <f t="shared" si="21"/>
        <v>0</v>
      </c>
      <c r="L64" s="31">
        <v>0</v>
      </c>
      <c r="M64" s="31"/>
      <c r="N64" s="31">
        <v>0</v>
      </c>
      <c r="O64" s="19">
        <f t="shared" si="22"/>
        <v>0</v>
      </c>
      <c r="P64" s="37" t="e">
        <f t="shared" si="23"/>
        <v>#DIV/0!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3">
        <f t="shared" si="21"/>
        <v>0</v>
      </c>
      <c r="L65" s="31">
        <v>0</v>
      </c>
      <c r="M65" s="31"/>
      <c r="N65" s="31">
        <v>0</v>
      </c>
      <c r="O65" s="19">
        <f t="shared" si="22"/>
        <v>0</v>
      </c>
      <c r="P65" s="37" t="e">
        <f t="shared" si="23"/>
        <v>#DIV/0!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3">
        <f t="shared" si="21"/>
        <v>0</v>
      </c>
      <c r="L66" s="31">
        <v>0</v>
      </c>
      <c r="M66" s="31"/>
      <c r="N66" s="31">
        <v>0</v>
      </c>
      <c r="O66" s="19">
        <f t="shared" si="22"/>
        <v>0</v>
      </c>
      <c r="P66" s="37" t="e">
        <f t="shared" si="23"/>
        <v>#DIV/0!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3">
        <f t="shared" si="21"/>
        <v>0</v>
      </c>
      <c r="L67" s="31">
        <v>0</v>
      </c>
      <c r="M67" s="31"/>
      <c r="N67" s="31">
        <v>0</v>
      </c>
      <c r="O67" s="19">
        <f t="shared" si="22"/>
        <v>0</v>
      </c>
      <c r="P67" s="37" t="e">
        <f t="shared" si="23"/>
        <v>#DIV/0!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3">
        <f t="shared" si="21"/>
        <v>0</v>
      </c>
      <c r="L68" s="31">
        <v>0</v>
      </c>
      <c r="M68" s="31"/>
      <c r="N68" s="31">
        <v>0</v>
      </c>
      <c r="O68" s="19">
        <f t="shared" si="22"/>
        <v>0</v>
      </c>
      <c r="P68" s="37" t="e">
        <f t="shared" si="23"/>
        <v>#DIV/0!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3">
        <f t="shared" si="21"/>
        <v>0</v>
      </c>
      <c r="L69" s="31">
        <v>0</v>
      </c>
      <c r="M69" s="31"/>
      <c r="N69" s="31">
        <v>0</v>
      </c>
      <c r="O69" s="19">
        <f t="shared" si="22"/>
        <v>0</v>
      </c>
      <c r="P69" s="37" t="e">
        <f t="shared" si="23"/>
        <v>#DIV/0!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1">
        <v>88305142</v>
      </c>
      <c r="G70" s="31">
        <v>0</v>
      </c>
      <c r="H70" s="31">
        <v>1810740</v>
      </c>
      <c r="I70" s="31">
        <v>2330470</v>
      </c>
      <c r="J70" s="31">
        <v>10254088</v>
      </c>
      <c r="K70" s="33">
        <f t="shared" si="21"/>
        <v>102700440</v>
      </c>
      <c r="L70" s="31">
        <v>15641546.27</v>
      </c>
      <c r="M70" s="31"/>
      <c r="N70" s="31">
        <v>7307875.8300000001</v>
      </c>
      <c r="O70" s="19">
        <f t="shared" si="22"/>
        <v>22949422.100000001</v>
      </c>
      <c r="P70" s="37">
        <f t="shared" si="23"/>
        <v>0.2234598225674593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1">
        <v>8323041</v>
      </c>
      <c r="G71" s="31">
        <v>0</v>
      </c>
      <c r="H71" s="31">
        <v>170668</v>
      </c>
      <c r="I71" s="31">
        <v>219654</v>
      </c>
      <c r="J71" s="31">
        <v>966480</v>
      </c>
      <c r="K71" s="33">
        <f t="shared" si="21"/>
        <v>9679843</v>
      </c>
      <c r="L71" s="31">
        <v>10771451.01</v>
      </c>
      <c r="M71" s="31"/>
      <c r="N71" s="31">
        <v>5717367.9900000002</v>
      </c>
      <c r="O71" s="19">
        <f t="shared" si="22"/>
        <v>16488819</v>
      </c>
      <c r="P71" s="37">
        <f t="shared" si="23"/>
        <v>1.7034180203129328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1">
        <v>46865884</v>
      </c>
      <c r="G72" s="31">
        <v>0</v>
      </c>
      <c r="H72" s="31">
        <v>961008</v>
      </c>
      <c r="I72" s="31">
        <v>1236842</v>
      </c>
      <c r="J72" s="31">
        <v>5442117</v>
      </c>
      <c r="K72" s="33">
        <f t="shared" si="21"/>
        <v>54505851</v>
      </c>
      <c r="L72" s="31">
        <v>29259120</v>
      </c>
      <c r="M72" s="31"/>
      <c r="N72" s="31">
        <v>12790879.999999998</v>
      </c>
      <c r="O72" s="19">
        <f t="shared" si="22"/>
        <v>42050000</v>
      </c>
      <c r="P72" s="37">
        <f t="shared" si="23"/>
        <v>0.77147680897597581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3">
        <f t="shared" si="21"/>
        <v>0</v>
      </c>
      <c r="L73" s="31">
        <v>0</v>
      </c>
      <c r="M73" s="31"/>
      <c r="N73" s="31">
        <v>0</v>
      </c>
      <c r="O73" s="19">
        <f t="shared" si="22"/>
        <v>0</v>
      </c>
      <c r="P73" s="37" t="e">
        <f t="shared" si="23"/>
        <v>#DIV/0!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3">
        <f t="shared" si="21"/>
        <v>0</v>
      </c>
      <c r="L74" s="31">
        <v>0</v>
      </c>
      <c r="M74" s="31"/>
      <c r="N74" s="31">
        <v>0</v>
      </c>
      <c r="O74" s="19">
        <f t="shared" si="22"/>
        <v>0</v>
      </c>
      <c r="P74" s="37" t="e">
        <f t="shared" si="23"/>
        <v>#DIV/0!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3">
        <f t="shared" si="21"/>
        <v>0</v>
      </c>
      <c r="L75" s="31">
        <v>0</v>
      </c>
      <c r="M75" s="31"/>
      <c r="N75" s="31">
        <v>0</v>
      </c>
      <c r="O75" s="19">
        <f t="shared" si="22"/>
        <v>0</v>
      </c>
      <c r="P75" s="37" t="e">
        <f t="shared" si="23"/>
        <v>#DIV/0!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1">
        <v>118293537</v>
      </c>
      <c r="G76" s="31">
        <v>0</v>
      </c>
      <c r="H76" s="31">
        <v>2425666</v>
      </c>
      <c r="I76" s="31">
        <v>3121896</v>
      </c>
      <c r="J76" s="31">
        <v>13736372</v>
      </c>
      <c r="K76" s="33">
        <f t="shared" si="21"/>
        <v>137577471</v>
      </c>
      <c r="L76" s="31">
        <v>50709462.020000003</v>
      </c>
      <c r="M76" s="31"/>
      <c r="N76" s="31">
        <v>22634868.989999998</v>
      </c>
      <c r="O76" s="19">
        <f t="shared" si="22"/>
        <v>73344331.010000005</v>
      </c>
      <c r="P76" s="37">
        <f t="shared" si="23"/>
        <v>0.53311294703185819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1">
        <v>35066687</v>
      </c>
      <c r="G77" s="31">
        <v>0</v>
      </c>
      <c r="H77" s="31">
        <v>719059</v>
      </c>
      <c r="I77" s="31">
        <v>925448</v>
      </c>
      <c r="J77" s="31">
        <v>4071981</v>
      </c>
      <c r="K77" s="33">
        <f t="shared" si="21"/>
        <v>40783175</v>
      </c>
      <c r="L77" s="31">
        <v>13548185.439999999</v>
      </c>
      <c r="M77" s="31"/>
      <c r="N77" s="31">
        <v>7055954.5699999994</v>
      </c>
      <c r="O77" s="19">
        <f t="shared" si="22"/>
        <v>20604140.009999998</v>
      </c>
      <c r="P77" s="37">
        <f t="shared" si="23"/>
        <v>0.50521176955938318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1">
        <v>4205571</v>
      </c>
      <c r="G78" s="31">
        <v>0</v>
      </c>
      <c r="H78" s="31">
        <v>86237</v>
      </c>
      <c r="I78" s="31">
        <v>110990</v>
      </c>
      <c r="J78" s="31">
        <v>488355</v>
      </c>
      <c r="K78" s="33">
        <f t="shared" si="21"/>
        <v>4891153</v>
      </c>
      <c r="L78" s="31">
        <v>2650348.14</v>
      </c>
      <c r="M78" s="31"/>
      <c r="N78" s="31">
        <v>1163851.9099999999</v>
      </c>
      <c r="O78" s="19">
        <f t="shared" si="22"/>
        <v>3814200.05</v>
      </c>
      <c r="P78" s="37">
        <f t="shared" si="23"/>
        <v>0.77981613946650208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1">
        <v>29140536</v>
      </c>
      <c r="G79" s="31">
        <v>0</v>
      </c>
      <c r="H79" s="31">
        <v>597541</v>
      </c>
      <c r="I79" s="31">
        <v>769051</v>
      </c>
      <c r="J79" s="31">
        <v>3383830</v>
      </c>
      <c r="K79" s="33">
        <f t="shared" si="21"/>
        <v>33890958</v>
      </c>
      <c r="L79" s="31">
        <v>17484619.77</v>
      </c>
      <c r="M79" s="31"/>
      <c r="N79" s="31">
        <v>7903159.2300000004</v>
      </c>
      <c r="O79" s="19">
        <f t="shared" si="22"/>
        <v>25387779</v>
      </c>
      <c r="P79" s="37">
        <f t="shared" si="23"/>
        <v>0.74910184008371794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1">
        <v>159167930</v>
      </c>
      <c r="G80" s="31">
        <v>0</v>
      </c>
      <c r="H80" s="31">
        <v>3263815</v>
      </c>
      <c r="I80" s="31">
        <v>4200616</v>
      </c>
      <c r="J80" s="31">
        <v>18482750</v>
      </c>
      <c r="K80" s="33">
        <f t="shared" si="21"/>
        <v>185115111</v>
      </c>
      <c r="L80" s="31">
        <v>57355950.890000001</v>
      </c>
      <c r="M80" s="31"/>
      <c r="N80" s="31">
        <v>24513157.109999999</v>
      </c>
      <c r="O80" s="19">
        <f t="shared" si="22"/>
        <v>81869108</v>
      </c>
      <c r="P80" s="37">
        <f t="shared" si="23"/>
        <v>0.44226053485174421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3">
        <f t="shared" si="21"/>
        <v>0</v>
      </c>
      <c r="L81" s="31">
        <v>0</v>
      </c>
      <c r="M81" s="31"/>
      <c r="N81" s="31">
        <v>0</v>
      </c>
      <c r="O81" s="19">
        <f t="shared" si="22"/>
        <v>0</v>
      </c>
      <c r="P81" s="37" t="e">
        <f t="shared" si="23"/>
        <v>#DIV/0!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3">
        <f t="shared" si="21"/>
        <v>0</v>
      </c>
      <c r="L82" s="31">
        <v>0</v>
      </c>
      <c r="M82" s="31"/>
      <c r="N82" s="31">
        <v>0</v>
      </c>
      <c r="O82" s="19">
        <f t="shared" si="22"/>
        <v>0</v>
      </c>
      <c r="P82" s="37" t="e">
        <f t="shared" si="23"/>
        <v>#DIV/0!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3">
        <f t="shared" si="21"/>
        <v>0</v>
      </c>
      <c r="L83" s="31">
        <v>0</v>
      </c>
      <c r="M83" s="31"/>
      <c r="N83" s="31">
        <v>0</v>
      </c>
      <c r="O83" s="19">
        <f t="shared" si="22"/>
        <v>0</v>
      </c>
      <c r="P83" s="37" t="e">
        <f t="shared" si="23"/>
        <v>#DIV/0!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3">
        <f t="shared" si="21"/>
        <v>0</v>
      </c>
      <c r="L84" s="31">
        <v>0</v>
      </c>
      <c r="M84" s="31"/>
      <c r="N84" s="31">
        <v>0</v>
      </c>
      <c r="O84" s="19">
        <f t="shared" si="22"/>
        <v>0</v>
      </c>
      <c r="P84" s="37" t="e">
        <f t="shared" si="23"/>
        <v>#DIV/0!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3">
        <f t="shared" si="21"/>
        <v>0</v>
      </c>
      <c r="L85" s="31">
        <v>0</v>
      </c>
      <c r="M85" s="31"/>
      <c r="N85" s="31">
        <v>0</v>
      </c>
      <c r="O85" s="19">
        <f t="shared" si="22"/>
        <v>0</v>
      </c>
      <c r="P85" s="37" t="e">
        <f t="shared" si="23"/>
        <v>#DIV/0!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1">
        <v>122159756</v>
      </c>
      <c r="G86" s="61">
        <v>0</v>
      </c>
      <c r="H86" s="61">
        <v>2504945</v>
      </c>
      <c r="I86" s="61">
        <v>3223930</v>
      </c>
      <c r="J86" s="61">
        <v>14185322</v>
      </c>
      <c r="K86" s="64">
        <f t="shared" si="21"/>
        <v>142073953</v>
      </c>
      <c r="L86" s="61">
        <v>88405701.430000007</v>
      </c>
      <c r="M86" s="61"/>
      <c r="N86" s="61">
        <v>47263428.579999998</v>
      </c>
      <c r="O86" s="62">
        <f t="shared" si="22"/>
        <v>135669130.00999999</v>
      </c>
      <c r="P86" s="65">
        <f t="shared" si="23"/>
        <v>0.95491909069356284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1">
        <v>1981045</v>
      </c>
      <c r="G87" s="31">
        <v>0</v>
      </c>
      <c r="H87" s="31">
        <v>40622</v>
      </c>
      <c r="I87" s="31">
        <v>52282</v>
      </c>
      <c r="J87" s="31">
        <v>230041</v>
      </c>
      <c r="K87" s="33">
        <f t="shared" si="21"/>
        <v>2303990</v>
      </c>
      <c r="L87" s="31">
        <v>0</v>
      </c>
      <c r="M87" s="31"/>
      <c r="N87" s="31">
        <v>0</v>
      </c>
      <c r="O87" s="19">
        <f t="shared" si="22"/>
        <v>0</v>
      </c>
      <c r="P87" s="37">
        <f t="shared" si="23"/>
        <v>0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1">
        <v>79031537</v>
      </c>
      <c r="G88" s="31">
        <v>0</v>
      </c>
      <c r="H88" s="31">
        <v>1620580</v>
      </c>
      <c r="I88" s="31">
        <v>2085729</v>
      </c>
      <c r="J88" s="31">
        <v>9177227</v>
      </c>
      <c r="K88" s="33">
        <f t="shared" si="21"/>
        <v>91915073</v>
      </c>
      <c r="L88" s="31">
        <v>29871883.370000001</v>
      </c>
      <c r="M88" s="31"/>
      <c r="N88" s="31">
        <v>15174704.630000001</v>
      </c>
      <c r="O88" s="19">
        <f t="shared" si="22"/>
        <v>45046588</v>
      </c>
      <c r="P88" s="37">
        <f t="shared" si="23"/>
        <v>0.49008923705038021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  <c r="K89" s="33">
        <f t="shared" si="21"/>
        <v>0</v>
      </c>
      <c r="L89" s="31">
        <v>0</v>
      </c>
      <c r="M89" s="31"/>
      <c r="N89" s="31">
        <v>0</v>
      </c>
      <c r="O89" s="19">
        <f t="shared" si="22"/>
        <v>0</v>
      </c>
      <c r="P89" s="37" t="e">
        <f t="shared" si="23"/>
        <v>#DIV/0!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1">
        <v>8813446</v>
      </c>
      <c r="G90" s="31">
        <v>0</v>
      </c>
      <c r="H90" s="31">
        <v>180724</v>
      </c>
      <c r="I90" s="31">
        <v>232597</v>
      </c>
      <c r="J90" s="31">
        <v>1023427</v>
      </c>
      <c r="K90" s="33">
        <f t="shared" si="21"/>
        <v>10250194</v>
      </c>
      <c r="L90" s="31">
        <v>3348964.2</v>
      </c>
      <c r="M90" s="31"/>
      <c r="N90" s="31">
        <v>1827035.8</v>
      </c>
      <c r="O90" s="19">
        <f t="shared" si="22"/>
        <v>5176000</v>
      </c>
      <c r="P90" s="37">
        <f t="shared" si="23"/>
        <v>0.50496605234983849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3">
        <f t="shared" si="21"/>
        <v>0</v>
      </c>
      <c r="L91" s="31">
        <v>0</v>
      </c>
      <c r="M91" s="31"/>
      <c r="N91" s="31">
        <v>0</v>
      </c>
      <c r="O91" s="19">
        <f t="shared" si="22"/>
        <v>0</v>
      </c>
      <c r="P91" s="37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1">
        <v>0</v>
      </c>
      <c r="G92" s="31">
        <v>0</v>
      </c>
      <c r="H92" s="31">
        <v>0</v>
      </c>
      <c r="I92" s="31">
        <v>0</v>
      </c>
      <c r="J92" s="31">
        <v>0</v>
      </c>
      <c r="K92" s="33">
        <f t="shared" si="21"/>
        <v>0</v>
      </c>
      <c r="L92" s="31">
        <v>0</v>
      </c>
      <c r="M92" s="31"/>
      <c r="N92" s="31">
        <v>0</v>
      </c>
      <c r="O92" s="19">
        <f t="shared" si="22"/>
        <v>0</v>
      </c>
      <c r="P92" s="37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  <c r="K93" s="33">
        <f t="shared" si="21"/>
        <v>0</v>
      </c>
      <c r="L93" s="31">
        <v>0</v>
      </c>
      <c r="M93" s="31"/>
      <c r="N93" s="31">
        <v>0</v>
      </c>
      <c r="O93" s="19">
        <f t="shared" si="22"/>
        <v>0</v>
      </c>
      <c r="P93" s="37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3">
        <f t="shared" si="21"/>
        <v>0</v>
      </c>
      <c r="L94" s="31">
        <v>0</v>
      </c>
      <c r="M94" s="31"/>
      <c r="N94" s="31">
        <v>0</v>
      </c>
      <c r="O94" s="19">
        <f t="shared" si="22"/>
        <v>0</v>
      </c>
      <c r="P94" s="37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1">
        <v>5891173</v>
      </c>
      <c r="G95" s="31">
        <v>0</v>
      </c>
      <c r="H95" s="31">
        <v>120801</v>
      </c>
      <c r="I95" s="31">
        <v>155474</v>
      </c>
      <c r="J95" s="31">
        <v>684089</v>
      </c>
      <c r="K95" s="33">
        <f t="shared" si="21"/>
        <v>6851537</v>
      </c>
      <c r="L95" s="31">
        <v>0</v>
      </c>
      <c r="M95" s="31"/>
      <c r="N95" s="31">
        <v>0</v>
      </c>
      <c r="O95" s="19">
        <f t="shared" si="22"/>
        <v>0</v>
      </c>
      <c r="P95" s="37">
        <f>O95/K95</f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3">
        <f t="shared" si="21"/>
        <v>0</v>
      </c>
      <c r="L96" s="31">
        <v>0</v>
      </c>
      <c r="M96" s="31"/>
      <c r="N96" s="31">
        <v>0</v>
      </c>
      <c r="O96" s="19">
        <f t="shared" si="22"/>
        <v>0</v>
      </c>
      <c r="P96" s="37">
        <v>0</v>
      </c>
    </row>
    <row r="97" spans="1:16" s="20" customFormat="1" x14ac:dyDescent="0.3">
      <c r="A97" s="20">
        <v>214</v>
      </c>
      <c r="B97" s="7"/>
      <c r="C97" s="8"/>
      <c r="D97" s="21"/>
      <c r="E97" s="24" t="s">
        <v>100</v>
      </c>
      <c r="F97" s="31">
        <v>125008361</v>
      </c>
      <c r="G97" s="31">
        <v>0</v>
      </c>
      <c r="H97" s="31">
        <v>2563357</v>
      </c>
      <c r="I97" s="31">
        <v>3299108</v>
      </c>
      <c r="J97" s="31">
        <v>14516105</v>
      </c>
      <c r="K97" s="33">
        <f t="shared" si="21"/>
        <v>145386931</v>
      </c>
      <c r="L97" s="31">
        <v>57384700.119999997</v>
      </c>
      <c r="M97" s="31"/>
      <c r="N97" s="31">
        <v>28112416.059999999</v>
      </c>
      <c r="O97" s="19">
        <f t="shared" si="22"/>
        <v>85497116.179999992</v>
      </c>
      <c r="P97" s="37">
        <f>O97/K97</f>
        <v>0.58806603586673134</v>
      </c>
    </row>
    <row r="98" spans="1:16" s="20" customFormat="1" x14ac:dyDescent="0.3">
      <c r="A98" s="20">
        <v>215</v>
      </c>
      <c r="B98" s="7"/>
      <c r="C98" s="8"/>
      <c r="D98" s="21"/>
      <c r="E98" s="24" t="s">
        <v>101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3">
        <f t="shared" si="21"/>
        <v>0</v>
      </c>
      <c r="L98" s="31">
        <v>6414012.6900000004</v>
      </c>
      <c r="M98" s="31"/>
      <c r="N98" s="31">
        <v>2744937.32</v>
      </c>
      <c r="O98" s="19">
        <f t="shared" si="22"/>
        <v>9158950.0099999998</v>
      </c>
      <c r="P98" s="37">
        <v>0</v>
      </c>
    </row>
    <row r="99" spans="1:16" s="20" customFormat="1" x14ac:dyDescent="0.3">
      <c r="A99" s="20">
        <v>216</v>
      </c>
      <c r="B99" s="7"/>
      <c r="C99" s="8"/>
      <c r="D99" s="21"/>
      <c r="E99" s="24" t="s">
        <v>102</v>
      </c>
      <c r="F99" s="31">
        <v>72196154</v>
      </c>
      <c r="G99" s="31">
        <v>0</v>
      </c>
      <c r="H99" s="31">
        <v>1480417</v>
      </c>
      <c r="I99" s="31">
        <v>1905336</v>
      </c>
      <c r="J99" s="31">
        <v>8383495</v>
      </c>
      <c r="K99" s="33">
        <f t="shared" si="21"/>
        <v>83965402</v>
      </c>
      <c r="L99" s="31">
        <v>23336203.989999998</v>
      </c>
      <c r="M99" s="31"/>
      <c r="N99" s="31">
        <v>10917570.039999999</v>
      </c>
      <c r="O99" s="19">
        <f t="shared" si="22"/>
        <v>34253774.030000001</v>
      </c>
      <c r="P99" s="37">
        <f>O99/K99</f>
        <v>0.40795105143425625</v>
      </c>
    </row>
    <row r="100" spans="1:16" s="20" customFormat="1" x14ac:dyDescent="0.3">
      <c r="A100" s="20">
        <v>210</v>
      </c>
      <c r="B100" s="7"/>
      <c r="C100" s="8"/>
      <c r="D100" s="21"/>
      <c r="E100" s="24" t="s">
        <v>103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3">
        <f t="shared" si="21"/>
        <v>0</v>
      </c>
      <c r="L100" s="31">
        <v>0</v>
      </c>
      <c r="M100" s="31"/>
      <c r="N100" s="31">
        <v>0</v>
      </c>
      <c r="O100" s="19">
        <f t="shared" si="22"/>
        <v>0</v>
      </c>
      <c r="P100" s="37">
        <v>0</v>
      </c>
    </row>
    <row r="101" spans="1:16" s="20" customFormat="1" x14ac:dyDescent="0.3">
      <c r="A101" s="20">
        <v>217</v>
      </c>
      <c r="B101" s="7"/>
      <c r="C101" s="8"/>
      <c r="D101" s="21"/>
      <c r="E101" s="24" t="s">
        <v>104</v>
      </c>
      <c r="F101" s="31">
        <v>142178063</v>
      </c>
      <c r="G101" s="31">
        <v>0</v>
      </c>
      <c r="H101" s="31">
        <v>2915430</v>
      </c>
      <c r="I101" s="31">
        <v>3752235</v>
      </c>
      <c r="J101" s="31">
        <v>16509869</v>
      </c>
      <c r="K101" s="33">
        <f t="shared" si="21"/>
        <v>165355597</v>
      </c>
      <c r="L101" s="31">
        <v>164925487.25</v>
      </c>
      <c r="M101" s="31"/>
      <c r="N101" s="31">
        <v>69517212.75</v>
      </c>
      <c r="O101" s="19">
        <f t="shared" si="22"/>
        <v>234442700</v>
      </c>
      <c r="P101" s="37">
        <f>O101/K101</f>
        <v>1.4178092804442537</v>
      </c>
    </row>
    <row r="102" spans="1:16" s="20" customFormat="1" x14ac:dyDescent="0.3">
      <c r="A102" s="20">
        <v>218</v>
      </c>
      <c r="B102" s="7"/>
      <c r="C102" s="8"/>
      <c r="D102" s="21"/>
      <c r="E102" s="24" t="s">
        <v>105</v>
      </c>
      <c r="F102" s="31">
        <v>21347979</v>
      </c>
      <c r="G102" s="31">
        <v>0</v>
      </c>
      <c r="H102" s="31">
        <v>437751</v>
      </c>
      <c r="I102" s="31">
        <v>563397</v>
      </c>
      <c r="J102" s="31">
        <v>2478951</v>
      </c>
      <c r="K102" s="33">
        <f t="shared" si="21"/>
        <v>24828078</v>
      </c>
      <c r="L102" s="31">
        <v>0</v>
      </c>
      <c r="M102" s="31"/>
      <c r="N102" s="31">
        <v>0</v>
      </c>
      <c r="O102" s="19">
        <f t="shared" si="22"/>
        <v>0</v>
      </c>
      <c r="P102" s="37">
        <f>O102/K102</f>
        <v>0</v>
      </c>
    </row>
    <row r="103" spans="1:16" s="20" customFormat="1" x14ac:dyDescent="0.3">
      <c r="A103" s="20">
        <v>219</v>
      </c>
      <c r="B103" s="7"/>
      <c r="C103" s="8"/>
      <c r="D103" s="21"/>
      <c r="E103" s="24" t="s">
        <v>106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3">
        <f t="shared" si="21"/>
        <v>0</v>
      </c>
      <c r="L103" s="31">
        <v>0</v>
      </c>
      <c r="M103" s="31"/>
      <c r="N103" s="31">
        <v>0</v>
      </c>
      <c r="O103" s="19">
        <f t="shared" si="22"/>
        <v>0</v>
      </c>
      <c r="P103" s="37">
        <v>0</v>
      </c>
    </row>
    <row r="104" spans="1:16" s="20" customFormat="1" x14ac:dyDescent="0.3">
      <c r="A104" s="20">
        <v>220</v>
      </c>
      <c r="B104" s="7"/>
      <c r="C104" s="8"/>
      <c r="D104" s="21"/>
      <c r="E104" s="24" t="s">
        <v>107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3">
        <f t="shared" si="21"/>
        <v>0</v>
      </c>
      <c r="L104" s="31">
        <v>0</v>
      </c>
      <c r="M104" s="31"/>
      <c r="N104" s="31">
        <v>0</v>
      </c>
      <c r="O104" s="19">
        <f t="shared" si="22"/>
        <v>0</v>
      </c>
      <c r="P104" s="37">
        <v>0</v>
      </c>
    </row>
    <row r="105" spans="1:16" s="20" customFormat="1" x14ac:dyDescent="0.3">
      <c r="A105" s="20">
        <v>0</v>
      </c>
      <c r="B105" s="7"/>
      <c r="C105" s="8"/>
      <c r="D105" s="21"/>
      <c r="E105" s="24" t="s">
        <v>108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3">
        <f t="shared" si="21"/>
        <v>0</v>
      </c>
      <c r="L105" s="31">
        <v>0</v>
      </c>
      <c r="M105" s="31"/>
      <c r="N105" s="31">
        <v>0</v>
      </c>
      <c r="O105" s="19">
        <f t="shared" si="22"/>
        <v>0</v>
      </c>
      <c r="P105" s="37">
        <v>0</v>
      </c>
    </row>
    <row r="106" spans="1:16" s="20" customFormat="1" x14ac:dyDescent="0.3">
      <c r="A106" s="20">
        <v>225</v>
      </c>
      <c r="B106" s="7"/>
      <c r="C106" s="8"/>
      <c r="D106" s="21"/>
      <c r="E106" s="24" t="s">
        <v>109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3">
        <f t="shared" si="21"/>
        <v>0</v>
      </c>
      <c r="L106" s="31">
        <v>0</v>
      </c>
      <c r="M106" s="31"/>
      <c r="N106" s="31">
        <v>0</v>
      </c>
      <c r="O106" s="19">
        <f t="shared" si="22"/>
        <v>0</v>
      </c>
      <c r="P106" s="37">
        <v>0</v>
      </c>
    </row>
    <row r="107" spans="1:16" s="20" customFormat="1" x14ac:dyDescent="0.3">
      <c r="A107" s="20">
        <v>229</v>
      </c>
      <c r="B107" s="7"/>
      <c r="C107" s="8"/>
      <c r="D107" s="21"/>
      <c r="E107" s="24" t="s">
        <v>110</v>
      </c>
      <c r="F107" s="31">
        <v>0</v>
      </c>
      <c r="G107" s="31">
        <v>0</v>
      </c>
      <c r="H107" s="31">
        <v>0</v>
      </c>
      <c r="I107" s="31">
        <v>0</v>
      </c>
      <c r="J107" s="31">
        <v>0</v>
      </c>
      <c r="K107" s="33">
        <f t="shared" si="21"/>
        <v>0</v>
      </c>
      <c r="L107" s="31">
        <v>0</v>
      </c>
      <c r="M107" s="31"/>
      <c r="N107" s="31">
        <v>0</v>
      </c>
      <c r="O107" s="19">
        <f t="shared" si="22"/>
        <v>0</v>
      </c>
      <c r="P107" s="37">
        <v>0</v>
      </c>
    </row>
    <row r="108" spans="1:16" s="20" customFormat="1" x14ac:dyDescent="0.3">
      <c r="A108" s="20">
        <v>230</v>
      </c>
      <c r="B108" s="7"/>
      <c r="C108" s="8"/>
      <c r="D108" s="21"/>
      <c r="E108" s="24" t="s">
        <v>111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3">
        <f t="shared" si="21"/>
        <v>0</v>
      </c>
      <c r="L108" s="31">
        <v>0</v>
      </c>
      <c r="M108" s="31"/>
      <c r="N108" s="31">
        <v>0</v>
      </c>
      <c r="O108" s="19">
        <f t="shared" si="22"/>
        <v>0</v>
      </c>
      <c r="P108" s="37">
        <v>0</v>
      </c>
    </row>
    <row r="109" spans="1:16" s="20" customFormat="1" x14ac:dyDescent="0.3">
      <c r="A109" s="20">
        <v>231</v>
      </c>
      <c r="B109" s="7"/>
      <c r="C109" s="8"/>
      <c r="D109" s="21"/>
      <c r="E109" s="24" t="s">
        <v>112</v>
      </c>
      <c r="F109" s="31">
        <v>37321435</v>
      </c>
      <c r="G109" s="31">
        <v>0</v>
      </c>
      <c r="H109" s="31">
        <v>765294</v>
      </c>
      <c r="I109" s="31">
        <v>984954</v>
      </c>
      <c r="J109" s="31">
        <v>4333805</v>
      </c>
      <c r="K109" s="33">
        <f t="shared" si="21"/>
        <v>43405488</v>
      </c>
      <c r="L109" s="31">
        <v>8524285.6799999997</v>
      </c>
      <c r="M109" s="31"/>
      <c r="N109" s="31">
        <v>2927896.3199999994</v>
      </c>
      <c r="O109" s="19">
        <f t="shared" si="22"/>
        <v>11452182</v>
      </c>
      <c r="P109" s="37">
        <f t="shared" ref="P109:P115" si="24">O109/K109</f>
        <v>0.26384179806940544</v>
      </c>
    </row>
    <row r="110" spans="1:16" s="20" customFormat="1" x14ac:dyDescent="0.3">
      <c r="A110" s="20">
        <v>255</v>
      </c>
      <c r="B110" s="7"/>
      <c r="C110" s="8"/>
      <c r="D110" s="21"/>
      <c r="E110" s="24" t="s">
        <v>113</v>
      </c>
      <c r="F110" s="31">
        <v>366271168</v>
      </c>
      <c r="G110" s="31">
        <v>0</v>
      </c>
      <c r="H110" s="31">
        <v>7510567</v>
      </c>
      <c r="I110" s="31">
        <v>9666298</v>
      </c>
      <c r="J110" s="31">
        <v>42531800</v>
      </c>
      <c r="K110" s="33">
        <f t="shared" si="21"/>
        <v>425979833</v>
      </c>
      <c r="L110" s="31">
        <v>193868384.71000001</v>
      </c>
      <c r="M110" s="31"/>
      <c r="N110" s="31">
        <v>110968937.62</v>
      </c>
      <c r="O110" s="19">
        <f t="shared" si="22"/>
        <v>304837322.33000004</v>
      </c>
      <c r="P110" s="37">
        <f t="shared" si="24"/>
        <v>0.7156144463064289</v>
      </c>
    </row>
    <row r="111" spans="1:16" s="20" customFormat="1" x14ac:dyDescent="0.3">
      <c r="A111" s="20">
        <v>200</v>
      </c>
      <c r="B111" s="7"/>
      <c r="C111" s="8"/>
      <c r="D111" s="21"/>
      <c r="E111" s="24" t="s">
        <v>114</v>
      </c>
      <c r="F111" s="31">
        <v>11748149</v>
      </c>
      <c r="G111" s="31">
        <v>0</v>
      </c>
      <c r="H111" s="31">
        <v>240902</v>
      </c>
      <c r="I111" s="31">
        <v>310047</v>
      </c>
      <c r="J111" s="31">
        <v>1364208</v>
      </c>
      <c r="K111" s="33">
        <f t="shared" si="21"/>
        <v>13663306</v>
      </c>
      <c r="L111" s="31">
        <v>10256327.68</v>
      </c>
      <c r="M111" s="31"/>
      <c r="N111" s="31">
        <v>4587443.41</v>
      </c>
      <c r="O111" s="19">
        <f t="shared" si="22"/>
        <v>14843771.09</v>
      </c>
      <c r="P111" s="37">
        <f t="shared" si="24"/>
        <v>1.0863967395592253</v>
      </c>
    </row>
    <row r="112" spans="1:16" s="20" customFormat="1" x14ac:dyDescent="0.3">
      <c r="A112" s="20">
        <v>201</v>
      </c>
      <c r="B112" s="7"/>
      <c r="C112" s="8"/>
      <c r="D112" s="21"/>
      <c r="E112" s="24" t="s">
        <v>115</v>
      </c>
      <c r="F112" s="31">
        <v>6573006</v>
      </c>
      <c r="G112" s="31">
        <v>0</v>
      </c>
      <c r="H112" s="31">
        <v>134783</v>
      </c>
      <c r="I112" s="31">
        <v>173469</v>
      </c>
      <c r="J112" s="31">
        <v>763265</v>
      </c>
      <c r="K112" s="33">
        <f t="shared" si="21"/>
        <v>7644523</v>
      </c>
      <c r="L112" s="31">
        <v>0</v>
      </c>
      <c r="M112" s="31"/>
      <c r="N112" s="31">
        <v>0</v>
      </c>
      <c r="O112" s="19">
        <f t="shared" si="22"/>
        <v>0</v>
      </c>
      <c r="P112" s="37">
        <f t="shared" si="24"/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1">
        <v>4301089</v>
      </c>
      <c r="G113" s="31">
        <v>0</v>
      </c>
      <c r="H113" s="31">
        <v>88196</v>
      </c>
      <c r="I113" s="31">
        <v>113510</v>
      </c>
      <c r="J113" s="31">
        <v>499447</v>
      </c>
      <c r="K113" s="33">
        <f t="shared" si="21"/>
        <v>5002242</v>
      </c>
      <c r="L113" s="31">
        <v>0</v>
      </c>
      <c r="M113" s="31"/>
      <c r="N113" s="31">
        <v>0</v>
      </c>
      <c r="O113" s="19">
        <f t="shared" si="22"/>
        <v>0</v>
      </c>
      <c r="P113" s="37">
        <f t="shared" si="24"/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1">
        <v>1356267</v>
      </c>
      <c r="G114" s="31">
        <v>0</v>
      </c>
      <c r="H114" s="31">
        <v>27811</v>
      </c>
      <c r="I114" s="31">
        <v>35793</v>
      </c>
      <c r="J114" s="31">
        <v>157491</v>
      </c>
      <c r="K114" s="33">
        <f t="shared" si="21"/>
        <v>1577362</v>
      </c>
      <c r="L114" s="31">
        <v>0</v>
      </c>
      <c r="M114" s="31"/>
      <c r="N114" s="31">
        <v>0</v>
      </c>
      <c r="O114" s="19">
        <f t="shared" si="22"/>
        <v>0</v>
      </c>
      <c r="P114" s="37">
        <f t="shared" si="24"/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1">
        <v>699271</v>
      </c>
      <c r="G115" s="31">
        <v>0</v>
      </c>
      <c r="H115" s="31">
        <v>14339</v>
      </c>
      <c r="I115" s="31">
        <v>18455</v>
      </c>
      <c r="J115" s="31">
        <v>81200</v>
      </c>
      <c r="K115" s="33">
        <f t="shared" si="21"/>
        <v>813265</v>
      </c>
      <c r="L115" s="31">
        <v>0</v>
      </c>
      <c r="M115" s="31"/>
      <c r="N115" s="31">
        <v>0</v>
      </c>
      <c r="O115" s="19">
        <f t="shared" si="22"/>
        <v>0</v>
      </c>
      <c r="P115" s="37">
        <f t="shared" si="24"/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3">
        <f t="shared" si="21"/>
        <v>0</v>
      </c>
      <c r="L116" s="31">
        <v>0</v>
      </c>
      <c r="M116" s="31"/>
      <c r="N116" s="31">
        <v>0</v>
      </c>
      <c r="O116" s="19">
        <f t="shared" si="22"/>
        <v>0</v>
      </c>
      <c r="P116" s="37"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1">
        <v>3154608</v>
      </c>
      <c r="G117" s="31">
        <v>0</v>
      </c>
      <c r="H117" s="31">
        <v>64687</v>
      </c>
      <c r="I117" s="31">
        <v>83254</v>
      </c>
      <c r="J117" s="31">
        <v>366317</v>
      </c>
      <c r="K117" s="33">
        <f t="shared" si="21"/>
        <v>3668866</v>
      </c>
      <c r="L117" s="31">
        <v>2774803.68</v>
      </c>
      <c r="M117" s="31"/>
      <c r="N117" s="31">
        <v>1432116.32</v>
      </c>
      <c r="O117" s="19">
        <f t="shared" si="22"/>
        <v>4206920</v>
      </c>
      <c r="P117" s="37">
        <f>O117/K117</f>
        <v>1.1466540342438236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3">
        <f t="shared" si="21"/>
        <v>0</v>
      </c>
      <c r="L118" s="31">
        <v>0</v>
      </c>
      <c r="M118" s="31"/>
      <c r="N118" s="31">
        <v>0</v>
      </c>
      <c r="O118" s="19">
        <f t="shared" si="22"/>
        <v>0</v>
      </c>
      <c r="P118" s="37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3">
        <f t="shared" ref="K119:K141" si="25">SUM(F119:J119)</f>
        <v>0</v>
      </c>
      <c r="L119" s="31">
        <v>0</v>
      </c>
      <c r="M119" s="31"/>
      <c r="N119" s="31">
        <v>0</v>
      </c>
      <c r="O119" s="19">
        <f t="shared" ref="O119:O141" si="26">SUM(L119:N119)</f>
        <v>0</v>
      </c>
      <c r="P119" s="37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3">
        <f t="shared" si="25"/>
        <v>0</v>
      </c>
      <c r="L120" s="31">
        <v>0</v>
      </c>
      <c r="M120" s="31"/>
      <c r="N120" s="31">
        <v>0</v>
      </c>
      <c r="O120" s="19">
        <f t="shared" si="26"/>
        <v>0</v>
      </c>
      <c r="P120" s="37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3">
        <f t="shared" si="25"/>
        <v>0</v>
      </c>
      <c r="L121" s="31">
        <v>0</v>
      </c>
      <c r="M121" s="31"/>
      <c r="N121" s="31">
        <v>0</v>
      </c>
      <c r="O121" s="19">
        <f t="shared" si="26"/>
        <v>0</v>
      </c>
      <c r="P121" s="37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1">
        <v>27044945</v>
      </c>
      <c r="G122" s="31">
        <v>0</v>
      </c>
      <c r="H122" s="31">
        <v>554570</v>
      </c>
      <c r="I122" s="31">
        <v>713746</v>
      </c>
      <c r="J122" s="31">
        <v>3140488</v>
      </c>
      <c r="K122" s="33">
        <f t="shared" si="25"/>
        <v>31453749</v>
      </c>
      <c r="L122" s="31">
        <v>3895917.74</v>
      </c>
      <c r="M122" s="31"/>
      <c r="N122" s="31">
        <v>1206122.2599999998</v>
      </c>
      <c r="O122" s="19">
        <f t="shared" si="26"/>
        <v>5102040</v>
      </c>
      <c r="P122" s="37">
        <f>O122/K122</f>
        <v>0.16220769104503249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1">
        <v>0</v>
      </c>
      <c r="G123" s="31">
        <v>0</v>
      </c>
      <c r="H123" s="31">
        <v>0</v>
      </c>
      <c r="I123" s="31">
        <v>0</v>
      </c>
      <c r="J123" s="31">
        <v>0</v>
      </c>
      <c r="K123" s="33">
        <f t="shared" si="25"/>
        <v>0</v>
      </c>
      <c r="L123" s="31">
        <v>0</v>
      </c>
      <c r="M123" s="31"/>
      <c r="N123" s="31">
        <v>0</v>
      </c>
      <c r="O123" s="19">
        <f t="shared" si="26"/>
        <v>0</v>
      </c>
      <c r="P123" s="37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1">
        <v>12331273</v>
      </c>
      <c r="G124" s="31">
        <v>0</v>
      </c>
      <c r="H124" s="31">
        <v>252859</v>
      </c>
      <c r="I124" s="31">
        <v>325436</v>
      </c>
      <c r="J124" s="31">
        <v>1431921</v>
      </c>
      <c r="K124" s="33">
        <f t="shared" si="25"/>
        <v>14341489</v>
      </c>
      <c r="L124" s="31">
        <v>1713767.45</v>
      </c>
      <c r="M124" s="31"/>
      <c r="N124" s="31">
        <v>938932.54999999993</v>
      </c>
      <c r="O124" s="19">
        <f t="shared" si="26"/>
        <v>2652700</v>
      </c>
      <c r="P124" s="37">
        <f>O124/K124</f>
        <v>0.18496684688737688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1">
        <v>29459671</v>
      </c>
      <c r="G125" s="31">
        <v>0</v>
      </c>
      <c r="H125" s="31">
        <v>604085</v>
      </c>
      <c r="I125" s="31">
        <v>777473</v>
      </c>
      <c r="J125" s="31">
        <v>3420889</v>
      </c>
      <c r="K125" s="33">
        <f t="shared" si="25"/>
        <v>34262118</v>
      </c>
      <c r="L125" s="31">
        <v>11291238.359999999</v>
      </c>
      <c r="M125" s="31"/>
      <c r="N125" s="31">
        <v>4609208.6399999997</v>
      </c>
      <c r="O125" s="19">
        <f t="shared" si="26"/>
        <v>15900447</v>
      </c>
      <c r="P125" s="37">
        <f>O125/K125</f>
        <v>0.46408243063082089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3">
        <f t="shared" si="25"/>
        <v>0</v>
      </c>
      <c r="L126" s="31">
        <v>0</v>
      </c>
      <c r="M126" s="31"/>
      <c r="N126" s="31">
        <v>0</v>
      </c>
      <c r="O126" s="19">
        <f t="shared" si="26"/>
        <v>0</v>
      </c>
      <c r="P126" s="37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3">
        <f t="shared" si="25"/>
        <v>0</v>
      </c>
      <c r="L127" s="31">
        <v>0</v>
      </c>
      <c r="M127" s="31"/>
      <c r="N127" s="31">
        <v>0</v>
      </c>
      <c r="O127" s="19">
        <f t="shared" si="26"/>
        <v>0</v>
      </c>
      <c r="P127" s="37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1">
        <v>94766714</v>
      </c>
      <c r="G128" s="31">
        <v>0</v>
      </c>
      <c r="H128" s="31">
        <v>1943237</v>
      </c>
      <c r="I128" s="31">
        <v>2500997</v>
      </c>
      <c r="J128" s="31">
        <v>11004412</v>
      </c>
      <c r="K128" s="33">
        <f t="shared" si="25"/>
        <v>110215360</v>
      </c>
      <c r="L128" s="31">
        <v>45062021.979999997</v>
      </c>
      <c r="M128" s="31"/>
      <c r="N128" s="31">
        <v>19903189.02</v>
      </c>
      <c r="O128" s="19">
        <f t="shared" si="26"/>
        <v>64965211</v>
      </c>
      <c r="P128" s="37">
        <f>O128/K128</f>
        <v>0.5894388132470828</v>
      </c>
    </row>
    <row r="129" spans="1:16" s="20" customFormat="1" x14ac:dyDescent="0.3">
      <c r="A129" s="20">
        <v>252</v>
      </c>
      <c r="B129" s="7"/>
      <c r="C129" s="8"/>
      <c r="D129" s="21"/>
      <c r="E129" s="24" t="s">
        <v>132</v>
      </c>
      <c r="F129" s="31">
        <v>30757764</v>
      </c>
      <c r="G129" s="31">
        <v>0</v>
      </c>
      <c r="H129" s="31">
        <v>630703</v>
      </c>
      <c r="I129" s="31">
        <v>811731</v>
      </c>
      <c r="J129" s="31">
        <v>3571625</v>
      </c>
      <c r="K129" s="33">
        <f t="shared" si="25"/>
        <v>35771823</v>
      </c>
      <c r="L129" s="31">
        <v>3579380.8</v>
      </c>
      <c r="M129" s="31"/>
      <c r="N129" s="31">
        <v>1815315.2</v>
      </c>
      <c r="O129" s="19">
        <f t="shared" si="26"/>
        <v>5394696</v>
      </c>
      <c r="P129" s="37">
        <f>O129/K129</f>
        <v>0.15080852882448847</v>
      </c>
    </row>
    <row r="130" spans="1:16" s="20" customFormat="1" x14ac:dyDescent="0.3">
      <c r="A130" s="20">
        <v>253</v>
      </c>
      <c r="B130" s="7"/>
      <c r="C130" s="8"/>
      <c r="D130" s="21"/>
      <c r="E130" s="24" t="s">
        <v>133</v>
      </c>
      <c r="F130" s="31">
        <v>4980606</v>
      </c>
      <c r="G130" s="31">
        <v>0</v>
      </c>
      <c r="H130" s="31">
        <v>102130</v>
      </c>
      <c r="I130" s="31">
        <v>131444</v>
      </c>
      <c r="J130" s="31">
        <v>578353</v>
      </c>
      <c r="K130" s="33">
        <f t="shared" si="25"/>
        <v>5792533</v>
      </c>
      <c r="L130" s="31">
        <v>2604067</v>
      </c>
      <c r="M130" s="31"/>
      <c r="N130" s="31">
        <v>1040933</v>
      </c>
      <c r="O130" s="19">
        <f t="shared" si="26"/>
        <v>3645000</v>
      </c>
      <c r="P130" s="37">
        <f>O130/K130</f>
        <v>0.62925839179509202</v>
      </c>
    </row>
    <row r="131" spans="1:16" s="20" customFormat="1" x14ac:dyDescent="0.3">
      <c r="A131" s="20">
        <v>254</v>
      </c>
      <c r="B131" s="7"/>
      <c r="C131" s="8"/>
      <c r="D131" s="21"/>
      <c r="E131" s="24" t="s">
        <v>134</v>
      </c>
      <c r="F131" s="31">
        <v>2403714</v>
      </c>
      <c r="G131" s="31">
        <v>0</v>
      </c>
      <c r="H131" s="31">
        <v>49289</v>
      </c>
      <c r="I131" s="31">
        <v>63437</v>
      </c>
      <c r="J131" s="31">
        <v>279122</v>
      </c>
      <c r="K131" s="33">
        <f t="shared" si="25"/>
        <v>2795562</v>
      </c>
      <c r="L131" s="31">
        <v>480312.83</v>
      </c>
      <c r="M131" s="31"/>
      <c r="N131" s="31">
        <v>152087.17000000001</v>
      </c>
      <c r="O131" s="19">
        <f t="shared" si="26"/>
        <v>632400</v>
      </c>
      <c r="P131" s="37">
        <f>O131/K131</f>
        <v>0.22621569473329514</v>
      </c>
    </row>
    <row r="132" spans="1:16" s="20" customFormat="1" x14ac:dyDescent="0.3">
      <c r="A132" s="20">
        <v>233</v>
      </c>
      <c r="B132" s="7"/>
      <c r="C132" s="8"/>
      <c r="D132" s="21"/>
      <c r="E132" s="24" t="s">
        <v>135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3">
        <f t="shared" si="25"/>
        <v>0</v>
      </c>
      <c r="L132" s="31">
        <v>0</v>
      </c>
      <c r="M132" s="31"/>
      <c r="N132" s="31">
        <v>0</v>
      </c>
      <c r="O132" s="19">
        <f t="shared" si="26"/>
        <v>0</v>
      </c>
      <c r="P132" s="37">
        <v>0</v>
      </c>
    </row>
    <row r="133" spans="1:16" s="20" customFormat="1" x14ac:dyDescent="0.3">
      <c r="A133" s="20">
        <v>234</v>
      </c>
      <c r="B133" s="7"/>
      <c r="C133" s="8"/>
      <c r="D133" s="21"/>
      <c r="E133" s="24" t="s">
        <v>136</v>
      </c>
      <c r="F133" s="31">
        <v>402127</v>
      </c>
      <c r="G133" s="31">
        <v>0</v>
      </c>
      <c r="H133" s="31">
        <v>8246</v>
      </c>
      <c r="I133" s="31">
        <v>10613</v>
      </c>
      <c r="J133" s="31">
        <v>46695</v>
      </c>
      <c r="K133" s="33">
        <f t="shared" si="25"/>
        <v>467681</v>
      </c>
      <c r="L133" s="31">
        <v>2779450</v>
      </c>
      <c r="M133" s="31"/>
      <c r="N133" s="31">
        <v>1220549.9999999998</v>
      </c>
      <c r="O133" s="19">
        <f t="shared" si="26"/>
        <v>4000000</v>
      </c>
      <c r="P133" s="37">
        <f>O133/K133</f>
        <v>8.5528383663223444</v>
      </c>
    </row>
    <row r="134" spans="1:16" s="20" customFormat="1" x14ac:dyDescent="0.3">
      <c r="A134" s="20">
        <v>237</v>
      </c>
      <c r="B134" s="7"/>
      <c r="C134" s="8"/>
      <c r="D134" s="21"/>
      <c r="E134" s="24" t="s">
        <v>137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3">
        <f t="shared" si="25"/>
        <v>0</v>
      </c>
      <c r="L134" s="31">
        <v>0</v>
      </c>
      <c r="M134" s="31"/>
      <c r="N134" s="31">
        <v>0</v>
      </c>
      <c r="O134" s="19">
        <f t="shared" si="26"/>
        <v>0</v>
      </c>
      <c r="P134" s="37">
        <v>0</v>
      </c>
    </row>
    <row r="135" spans="1:16" s="20" customFormat="1" x14ac:dyDescent="0.3">
      <c r="A135" s="20">
        <v>256</v>
      </c>
      <c r="B135" s="7"/>
      <c r="C135" s="8"/>
      <c r="D135" s="21"/>
      <c r="E135" s="24" t="s">
        <v>138</v>
      </c>
      <c r="F135" s="31">
        <v>194551343</v>
      </c>
      <c r="G135" s="31">
        <v>0</v>
      </c>
      <c r="H135" s="31">
        <v>3989369</v>
      </c>
      <c r="I135" s="31">
        <v>5134423</v>
      </c>
      <c r="J135" s="31">
        <v>22591510</v>
      </c>
      <c r="K135" s="33">
        <f t="shared" si="25"/>
        <v>226266645</v>
      </c>
      <c r="L135" s="31">
        <v>104289248.8</v>
      </c>
      <c r="M135" s="31"/>
      <c r="N135" s="31">
        <v>45367125.929999992</v>
      </c>
      <c r="O135" s="19">
        <f t="shared" si="26"/>
        <v>149656374.72999999</v>
      </c>
      <c r="P135" s="37">
        <f>O135/K135</f>
        <v>0.66141597993818302</v>
      </c>
    </row>
    <row r="136" spans="1:16" s="20" customFormat="1" x14ac:dyDescent="0.3">
      <c r="A136" s="20">
        <v>261</v>
      </c>
      <c r="B136" s="7"/>
      <c r="C136" s="8"/>
      <c r="D136" s="21"/>
      <c r="E136" s="24" t="s">
        <v>139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3">
        <f t="shared" si="25"/>
        <v>0</v>
      </c>
      <c r="L136" s="31">
        <v>0</v>
      </c>
      <c r="M136" s="31"/>
      <c r="N136" s="31">
        <v>0</v>
      </c>
      <c r="O136" s="19">
        <f t="shared" si="26"/>
        <v>0</v>
      </c>
      <c r="P136" s="37">
        <v>0</v>
      </c>
    </row>
    <row r="137" spans="1:16" s="20" customFormat="1" x14ac:dyDescent="0.3">
      <c r="A137" s="20">
        <v>227</v>
      </c>
      <c r="B137" s="7"/>
      <c r="C137" s="8"/>
      <c r="D137" s="21"/>
      <c r="E137" s="24" t="s">
        <v>140</v>
      </c>
      <c r="F137" s="31">
        <v>59115868</v>
      </c>
      <c r="G137" s="31">
        <v>0</v>
      </c>
      <c r="H137" s="31">
        <v>1212199</v>
      </c>
      <c r="I137" s="31">
        <v>1560133</v>
      </c>
      <c r="J137" s="31">
        <v>6864598</v>
      </c>
      <c r="K137" s="33">
        <f t="shared" si="25"/>
        <v>68752798</v>
      </c>
      <c r="L137" s="31">
        <v>0</v>
      </c>
      <c r="M137" s="31"/>
      <c r="N137" s="31">
        <v>0</v>
      </c>
      <c r="O137" s="19">
        <f t="shared" si="26"/>
        <v>0</v>
      </c>
      <c r="P137" s="37">
        <f>O137/K137</f>
        <v>0</v>
      </c>
    </row>
    <row r="138" spans="1:16" s="20" customFormat="1" x14ac:dyDescent="0.3">
      <c r="A138" s="20">
        <v>226</v>
      </c>
      <c r="B138" s="7"/>
      <c r="C138" s="8"/>
      <c r="D138" s="21"/>
      <c r="E138" s="24" t="s">
        <v>141</v>
      </c>
      <c r="F138" s="31">
        <v>69301</v>
      </c>
      <c r="G138" s="31">
        <v>0</v>
      </c>
      <c r="H138" s="31">
        <v>1421</v>
      </c>
      <c r="I138" s="31">
        <v>1829</v>
      </c>
      <c r="J138" s="31">
        <v>8047</v>
      </c>
      <c r="K138" s="33">
        <f t="shared" si="25"/>
        <v>80598</v>
      </c>
      <c r="L138" s="31">
        <v>0</v>
      </c>
      <c r="M138" s="31"/>
      <c r="N138" s="31">
        <v>0</v>
      </c>
      <c r="O138" s="19">
        <f t="shared" si="26"/>
        <v>0</v>
      </c>
      <c r="P138" s="37">
        <f>O138/K138</f>
        <v>0</v>
      </c>
    </row>
    <row r="139" spans="1:16" s="20" customFormat="1" x14ac:dyDescent="0.3">
      <c r="A139" s="20">
        <v>228</v>
      </c>
      <c r="B139" s="7"/>
      <c r="C139" s="8"/>
      <c r="D139" s="21"/>
      <c r="E139" s="24" t="s">
        <v>142</v>
      </c>
      <c r="F139" s="31">
        <v>371039</v>
      </c>
      <c r="G139" s="31">
        <v>0</v>
      </c>
      <c r="H139" s="31">
        <v>7608</v>
      </c>
      <c r="I139" s="31">
        <v>9792</v>
      </c>
      <c r="J139" s="31">
        <v>43085</v>
      </c>
      <c r="K139" s="33">
        <f t="shared" si="25"/>
        <v>431524</v>
      </c>
      <c r="L139" s="31">
        <v>0</v>
      </c>
      <c r="M139" s="31"/>
      <c r="N139" s="31">
        <v>0</v>
      </c>
      <c r="O139" s="19">
        <f t="shared" si="26"/>
        <v>0</v>
      </c>
      <c r="P139" s="37">
        <f>O139/K139</f>
        <v>0</v>
      </c>
    </row>
    <row r="140" spans="1:16" s="20" customFormat="1" x14ac:dyDescent="0.3">
      <c r="A140" s="20">
        <v>260</v>
      </c>
      <c r="B140" s="7"/>
      <c r="C140" s="8"/>
      <c r="D140" s="21"/>
      <c r="E140" s="24" t="s">
        <v>143</v>
      </c>
      <c r="F140" s="31">
        <v>0</v>
      </c>
      <c r="G140" s="31">
        <v>0</v>
      </c>
      <c r="H140" s="31">
        <v>0</v>
      </c>
      <c r="I140" s="31">
        <v>0</v>
      </c>
      <c r="J140" s="31">
        <v>0</v>
      </c>
      <c r="K140" s="33">
        <f t="shared" si="25"/>
        <v>0</v>
      </c>
      <c r="L140" s="31">
        <v>0</v>
      </c>
      <c r="M140" s="31"/>
      <c r="N140" s="31">
        <v>0</v>
      </c>
      <c r="O140" s="19">
        <f t="shared" si="26"/>
        <v>0</v>
      </c>
      <c r="P140" s="37">
        <v>0</v>
      </c>
    </row>
    <row r="141" spans="1:16" s="20" customFormat="1" x14ac:dyDescent="0.3">
      <c r="A141" s="20">
        <v>238</v>
      </c>
      <c r="B141" s="7"/>
      <c r="C141" s="8"/>
      <c r="D141" s="21"/>
      <c r="E141" s="24" t="s">
        <v>144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3">
        <f t="shared" si="25"/>
        <v>0</v>
      </c>
      <c r="L141" s="31">
        <v>0</v>
      </c>
      <c r="M141" s="31"/>
      <c r="N141" s="31">
        <v>0</v>
      </c>
      <c r="O141" s="19">
        <f t="shared" si="26"/>
        <v>0</v>
      </c>
      <c r="P141" s="37">
        <v>0</v>
      </c>
    </row>
    <row r="142" spans="1:16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2692748604</v>
      </c>
      <c r="G142" s="32">
        <f t="shared" ref="G142:K142" si="27">SUM(G55:G141)</f>
        <v>0</v>
      </c>
      <c r="H142" s="32">
        <f t="shared" si="27"/>
        <v>55216112</v>
      </c>
      <c r="I142" s="32">
        <f t="shared" si="27"/>
        <v>71064592</v>
      </c>
      <c r="J142" s="32">
        <f t="shared" si="27"/>
        <v>312684852</v>
      </c>
      <c r="K142" s="32">
        <f t="shared" si="27"/>
        <v>3131714160</v>
      </c>
      <c r="L142" s="32">
        <f t="shared" ref="L142" si="28">SUM(L55:L141)</f>
        <v>1328223685.7399998</v>
      </c>
      <c r="M142" s="32">
        <f t="shared" ref="M142" si="29">SUM(M55:M141)</f>
        <v>0</v>
      </c>
      <c r="N142" s="32">
        <f t="shared" ref="N142" si="30">SUM(N55:N141)</f>
        <v>624626317.91999996</v>
      </c>
      <c r="O142" s="16">
        <f t="shared" ref="O142" si="31">SUM(O55:O141)</f>
        <v>1952850003.6600001</v>
      </c>
      <c r="P142" s="37">
        <f>O142/K142</f>
        <v>0.62357223676505646</v>
      </c>
    </row>
    <row r="143" spans="1:16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19"/>
    </row>
    <row r="144" spans="1:16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19"/>
    </row>
    <row r="145" spans="1:16" s="20" customFormat="1" x14ac:dyDescent="0.3">
      <c r="A145" s="20">
        <v>269</v>
      </c>
      <c r="B145" s="7"/>
      <c r="C145" s="8"/>
      <c r="D145" s="21"/>
      <c r="E145" s="24" t="s">
        <v>147</v>
      </c>
      <c r="F145" s="31">
        <v>82754010</v>
      </c>
      <c r="G145" s="31">
        <v>0</v>
      </c>
      <c r="H145" s="31">
        <v>1696911</v>
      </c>
      <c r="I145" s="31">
        <v>2183969</v>
      </c>
      <c r="J145" s="31">
        <v>9609484</v>
      </c>
      <c r="K145" s="33">
        <f t="shared" ref="K145:K159" si="32">SUM(F145:J145)</f>
        <v>96244374</v>
      </c>
      <c r="L145" s="31">
        <v>78159690.879999995</v>
      </c>
      <c r="M145" s="31"/>
      <c r="N145" s="31">
        <v>34322549.68</v>
      </c>
      <c r="O145" s="19">
        <f t="shared" ref="O145:O159" si="33">SUM(L145:N145)</f>
        <v>112482240.56</v>
      </c>
      <c r="P145" s="37">
        <f>O145/K145</f>
        <v>1.1687149688354772</v>
      </c>
    </row>
    <row r="146" spans="1:16" s="20" customFormat="1" x14ac:dyDescent="0.3">
      <c r="A146" s="20">
        <v>270</v>
      </c>
      <c r="B146" s="7"/>
      <c r="C146" s="8"/>
      <c r="D146" s="21"/>
      <c r="E146" s="24" t="s">
        <v>148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3">
        <f t="shared" si="32"/>
        <v>0</v>
      </c>
      <c r="L146" s="31">
        <v>0</v>
      </c>
      <c r="M146" s="31"/>
      <c r="N146" s="31">
        <v>0</v>
      </c>
      <c r="O146" s="19">
        <f t="shared" si="33"/>
        <v>0</v>
      </c>
      <c r="P146" s="37">
        <v>0</v>
      </c>
    </row>
    <row r="147" spans="1:16" s="20" customFormat="1" x14ac:dyDescent="0.3">
      <c r="A147" s="20">
        <v>271</v>
      </c>
      <c r="B147" s="7"/>
      <c r="C147" s="8"/>
      <c r="D147" s="21"/>
      <c r="E147" s="24" t="s">
        <v>149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3">
        <f t="shared" si="32"/>
        <v>0</v>
      </c>
      <c r="L147" s="31">
        <v>1097900.6000000001</v>
      </c>
      <c r="M147" s="31"/>
      <c r="N147" s="31">
        <v>402066.05999999994</v>
      </c>
      <c r="O147" s="19">
        <f t="shared" si="33"/>
        <v>1499966.6600000001</v>
      </c>
      <c r="P147" s="37">
        <v>0</v>
      </c>
    </row>
    <row r="148" spans="1:16" s="20" customFormat="1" x14ac:dyDescent="0.3">
      <c r="A148" s="20">
        <v>272</v>
      </c>
      <c r="B148" s="7"/>
      <c r="C148" s="8"/>
      <c r="D148" s="21"/>
      <c r="E148" s="24" t="s">
        <v>150</v>
      </c>
      <c r="F148" s="31">
        <v>216677709</v>
      </c>
      <c r="G148" s="31">
        <v>0</v>
      </c>
      <c r="H148" s="31">
        <v>4443081</v>
      </c>
      <c r="I148" s="31">
        <v>5718362</v>
      </c>
      <c r="J148" s="31">
        <v>25160848</v>
      </c>
      <c r="K148" s="33">
        <f t="shared" si="32"/>
        <v>252000000</v>
      </c>
      <c r="L148" s="31">
        <v>106817533.95</v>
      </c>
      <c r="M148" s="31"/>
      <c r="N148" s="31">
        <v>45178080.689999998</v>
      </c>
      <c r="O148" s="19">
        <f t="shared" si="33"/>
        <v>151995614.63999999</v>
      </c>
      <c r="P148" s="37">
        <f>O148/K148</f>
        <v>0.6031572009523809</v>
      </c>
    </row>
    <row r="149" spans="1:16" s="20" customFormat="1" x14ac:dyDescent="0.3">
      <c r="A149" s="20">
        <v>273</v>
      </c>
      <c r="B149" s="7"/>
      <c r="C149" s="8"/>
      <c r="D149" s="21"/>
      <c r="E149" s="24" t="s">
        <v>151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3">
        <f t="shared" si="32"/>
        <v>0</v>
      </c>
      <c r="L149" s="31">
        <v>34136572.369999997</v>
      </c>
      <c r="M149" s="31"/>
      <c r="N149" s="31">
        <v>15569472.109999999</v>
      </c>
      <c r="O149" s="19">
        <f t="shared" si="33"/>
        <v>49706044.479999997</v>
      </c>
      <c r="P149" s="37">
        <v>0</v>
      </c>
    </row>
    <row r="150" spans="1:16" s="20" customFormat="1" x14ac:dyDescent="0.3">
      <c r="A150" s="20">
        <v>265</v>
      </c>
      <c r="B150" s="7"/>
      <c r="C150" s="8"/>
      <c r="D150" s="21"/>
      <c r="E150" s="24" t="s">
        <v>152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3">
        <f t="shared" si="32"/>
        <v>0</v>
      </c>
      <c r="L150" s="31">
        <v>0</v>
      </c>
      <c r="M150" s="31"/>
      <c r="N150" s="31">
        <v>0</v>
      </c>
      <c r="O150" s="19">
        <f t="shared" si="33"/>
        <v>0</v>
      </c>
      <c r="P150" s="37">
        <v>0</v>
      </c>
    </row>
    <row r="151" spans="1:16" s="20" customFormat="1" x14ac:dyDescent="0.3">
      <c r="A151" s="20">
        <v>266</v>
      </c>
      <c r="B151" s="7"/>
      <c r="C151" s="8"/>
      <c r="D151" s="21"/>
      <c r="E151" s="24" t="s">
        <v>153</v>
      </c>
      <c r="F151" s="31">
        <v>16703372</v>
      </c>
      <c r="G151" s="31">
        <v>0</v>
      </c>
      <c r="H151" s="31">
        <v>342511</v>
      </c>
      <c r="I151" s="31">
        <v>440820</v>
      </c>
      <c r="J151" s="31">
        <v>1939613</v>
      </c>
      <c r="K151" s="33">
        <f t="shared" si="32"/>
        <v>19426316</v>
      </c>
      <c r="L151" s="31">
        <v>0</v>
      </c>
      <c r="M151" s="31"/>
      <c r="N151" s="31">
        <v>0</v>
      </c>
      <c r="O151" s="19">
        <f t="shared" si="33"/>
        <v>0</v>
      </c>
      <c r="P151" s="37">
        <f>O151/K151</f>
        <v>0</v>
      </c>
    </row>
    <row r="152" spans="1:16" s="20" customFormat="1" x14ac:dyDescent="0.3">
      <c r="A152" s="20">
        <v>267</v>
      </c>
      <c r="B152" s="7"/>
      <c r="C152" s="8"/>
      <c r="D152" s="21"/>
      <c r="E152" s="24" t="s">
        <v>154</v>
      </c>
      <c r="F152" s="31">
        <v>41471451</v>
      </c>
      <c r="G152" s="31">
        <v>0</v>
      </c>
      <c r="H152" s="31">
        <v>850392</v>
      </c>
      <c r="I152" s="31">
        <v>1094477</v>
      </c>
      <c r="J152" s="31">
        <v>4815709</v>
      </c>
      <c r="K152" s="33">
        <f t="shared" si="32"/>
        <v>48232029</v>
      </c>
      <c r="L152" s="31">
        <v>4366402.3899999997</v>
      </c>
      <c r="M152" s="31"/>
      <c r="N152" s="31">
        <v>1936448.1699999997</v>
      </c>
      <c r="O152" s="19">
        <f t="shared" si="33"/>
        <v>6302850.5599999996</v>
      </c>
      <c r="P152" s="37">
        <f>O152/K152</f>
        <v>0.13067769883784072</v>
      </c>
    </row>
    <row r="153" spans="1:16" s="20" customFormat="1" x14ac:dyDescent="0.3">
      <c r="A153" s="20">
        <v>268</v>
      </c>
      <c r="B153" s="7"/>
      <c r="C153" s="8"/>
      <c r="D153" s="21"/>
      <c r="E153" s="24" t="s">
        <v>155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3">
        <f t="shared" si="32"/>
        <v>0</v>
      </c>
      <c r="L153" s="31">
        <v>0</v>
      </c>
      <c r="M153" s="31"/>
      <c r="N153" s="31">
        <v>0</v>
      </c>
      <c r="O153" s="19">
        <f t="shared" si="33"/>
        <v>0</v>
      </c>
      <c r="P153" s="37">
        <v>0</v>
      </c>
    </row>
    <row r="154" spans="1:16" s="20" customFormat="1" x14ac:dyDescent="0.3">
      <c r="A154" s="20">
        <v>274</v>
      </c>
      <c r="B154" s="7"/>
      <c r="C154" s="8"/>
      <c r="D154" s="21"/>
      <c r="E154" s="24" t="s">
        <v>156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3">
        <f t="shared" si="32"/>
        <v>0</v>
      </c>
      <c r="L154" s="31">
        <v>0</v>
      </c>
      <c r="M154" s="31"/>
      <c r="N154" s="31">
        <v>0</v>
      </c>
      <c r="O154" s="19">
        <f t="shared" si="33"/>
        <v>0</v>
      </c>
      <c r="P154" s="37">
        <v>0</v>
      </c>
    </row>
    <row r="155" spans="1:16" s="20" customFormat="1" x14ac:dyDescent="0.3">
      <c r="A155" s="20">
        <v>275</v>
      </c>
      <c r="B155" s="7"/>
      <c r="C155" s="8"/>
      <c r="D155" s="21"/>
      <c r="E155" s="24" t="s">
        <v>157</v>
      </c>
      <c r="F155" s="31">
        <v>26832842</v>
      </c>
      <c r="G155" s="31">
        <v>0</v>
      </c>
      <c r="H155" s="31">
        <v>550220</v>
      </c>
      <c r="I155" s="31">
        <v>708148</v>
      </c>
      <c r="J155" s="31">
        <v>3115858</v>
      </c>
      <c r="K155" s="33">
        <f t="shared" si="32"/>
        <v>31207068</v>
      </c>
      <c r="L155" s="31">
        <v>15434849.17</v>
      </c>
      <c r="M155" s="31"/>
      <c r="N155" s="31">
        <v>6756931.4299999988</v>
      </c>
      <c r="O155" s="19">
        <f t="shared" si="33"/>
        <v>22191780.599999998</v>
      </c>
      <c r="P155" s="37">
        <f>O155/K155</f>
        <v>0.71111392457631706</v>
      </c>
    </row>
    <row r="156" spans="1:16" s="20" customFormat="1" x14ac:dyDescent="0.3">
      <c r="A156" s="20">
        <v>276</v>
      </c>
      <c r="B156" s="7"/>
      <c r="C156" s="8"/>
      <c r="D156" s="21"/>
      <c r="E156" s="24" t="s">
        <v>158</v>
      </c>
      <c r="F156" s="31">
        <v>118389049</v>
      </c>
      <c r="G156" s="31">
        <v>0</v>
      </c>
      <c r="H156" s="31">
        <v>2427625</v>
      </c>
      <c r="I156" s="31">
        <v>3124417</v>
      </c>
      <c r="J156" s="31">
        <v>13747463</v>
      </c>
      <c r="K156" s="33">
        <f t="shared" si="32"/>
        <v>137688554</v>
      </c>
      <c r="L156" s="31">
        <v>64125453.350000001</v>
      </c>
      <c r="M156" s="31"/>
      <c r="N156" s="31">
        <v>27947856.600000001</v>
      </c>
      <c r="O156" s="19">
        <f t="shared" si="33"/>
        <v>92073309.950000003</v>
      </c>
      <c r="P156" s="37">
        <f>O156/K156</f>
        <v>0.6687070731384106</v>
      </c>
    </row>
    <row r="157" spans="1:16" s="20" customFormat="1" x14ac:dyDescent="0.3">
      <c r="A157" s="20">
        <v>277</v>
      </c>
      <c r="B157" s="7"/>
      <c r="C157" s="8"/>
      <c r="D157" s="21"/>
      <c r="E157" s="24" t="s">
        <v>159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3">
        <f t="shared" si="32"/>
        <v>0</v>
      </c>
      <c r="L157" s="31">
        <v>0</v>
      </c>
      <c r="M157" s="31"/>
      <c r="N157" s="31">
        <v>0</v>
      </c>
      <c r="O157" s="19">
        <f t="shared" si="33"/>
        <v>0</v>
      </c>
      <c r="P157" s="37">
        <v>0</v>
      </c>
    </row>
    <row r="158" spans="1:16" s="20" customFormat="1" x14ac:dyDescent="0.3">
      <c r="A158" s="20">
        <v>278</v>
      </c>
      <c r="B158" s="7"/>
      <c r="C158" s="8"/>
      <c r="D158" s="21"/>
      <c r="E158" s="24" t="s">
        <v>160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3">
        <f t="shared" si="32"/>
        <v>0</v>
      </c>
      <c r="L158" s="31">
        <v>0</v>
      </c>
      <c r="M158" s="31"/>
      <c r="N158" s="31">
        <v>0</v>
      </c>
      <c r="O158" s="19">
        <f t="shared" si="33"/>
        <v>0</v>
      </c>
      <c r="P158" s="37">
        <v>0</v>
      </c>
    </row>
    <row r="159" spans="1:16" s="20" customFormat="1" x14ac:dyDescent="0.3">
      <c r="A159" s="20">
        <v>279</v>
      </c>
      <c r="B159" s="7"/>
      <c r="C159" s="8"/>
      <c r="D159" s="21"/>
      <c r="E159" s="24" t="s">
        <v>161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3">
        <f t="shared" si="32"/>
        <v>0</v>
      </c>
      <c r="L159" s="31">
        <v>0</v>
      </c>
      <c r="M159" s="31"/>
      <c r="N159" s="31">
        <v>0</v>
      </c>
      <c r="O159" s="19">
        <f t="shared" si="33"/>
        <v>0</v>
      </c>
      <c r="P159" s="37">
        <v>0</v>
      </c>
    </row>
    <row r="160" spans="1:16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502828433</v>
      </c>
      <c r="G160" s="32">
        <f t="shared" ref="G160:K160" si="34">SUM(G145:G159)</f>
        <v>0</v>
      </c>
      <c r="H160" s="32">
        <f t="shared" si="34"/>
        <v>10310740</v>
      </c>
      <c r="I160" s="32">
        <f t="shared" si="34"/>
        <v>13270193</v>
      </c>
      <c r="J160" s="32">
        <f t="shared" si="34"/>
        <v>58388975</v>
      </c>
      <c r="K160" s="32">
        <f t="shared" si="34"/>
        <v>584798341</v>
      </c>
      <c r="L160" s="32">
        <f t="shared" ref="L160" si="35">SUM(L145:L159)</f>
        <v>304138402.70999998</v>
      </c>
      <c r="M160" s="32">
        <f t="shared" ref="M160" si="36">SUM(M145:M159)</f>
        <v>0</v>
      </c>
      <c r="N160" s="32">
        <f t="shared" ref="N160" si="37">SUM(N145:N159)</f>
        <v>132113404.74000001</v>
      </c>
      <c r="O160" s="16">
        <f t="shared" ref="O160" si="38">SUM(O145:O159)</f>
        <v>436251807.44999999</v>
      </c>
      <c r="P160" s="37">
        <f>O160/K160</f>
        <v>0.74598673912790736</v>
      </c>
    </row>
    <row r="161" spans="1:16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9"/>
      <c r="P161" s="19"/>
    </row>
    <row r="162" spans="1:16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8905697395</v>
      </c>
      <c r="G162" s="32">
        <f t="shared" ref="G162:K162" si="39">SUM(G52,G142,G160)</f>
        <v>0</v>
      </c>
      <c r="H162" s="32">
        <f t="shared" si="39"/>
        <v>182615628</v>
      </c>
      <c r="I162" s="32">
        <f t="shared" si="39"/>
        <v>235031121</v>
      </c>
      <c r="J162" s="32">
        <f t="shared" si="39"/>
        <v>1034139116</v>
      </c>
      <c r="K162" s="32">
        <f t="shared" si="39"/>
        <v>10357483260</v>
      </c>
      <c r="L162" s="32">
        <f t="shared" ref="L162:M162" si="40">SUM(L52,L142,L160)</f>
        <v>3707692542.04</v>
      </c>
      <c r="M162" s="32">
        <f t="shared" si="40"/>
        <v>0</v>
      </c>
      <c r="N162" s="32">
        <f t="shared" ref="N162" si="41">SUM(N52,N142,N160)</f>
        <v>1673087391.3999999</v>
      </c>
      <c r="O162" s="16">
        <f t="shared" ref="O162" si="42">SUM(O160,O142,O52)</f>
        <v>5380779933.4400005</v>
      </c>
      <c r="P162" s="37">
        <f>O162/K162</f>
        <v>0.51950650542881016</v>
      </c>
    </row>
    <row r="163" spans="1:16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9"/>
      <c r="P163" s="19"/>
    </row>
    <row r="164" spans="1:16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32">
        <v>153472.87</v>
      </c>
      <c r="M164" s="15"/>
      <c r="N164" s="15">
        <v>19259462.439999998</v>
      </c>
      <c r="O164" s="16">
        <f>SUM(L164:N164)</f>
        <v>19412935.309999999</v>
      </c>
      <c r="P164" s="16">
        <v>0</v>
      </c>
    </row>
    <row r="165" spans="1:16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19"/>
    </row>
    <row r="166" spans="1:16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68372252507</v>
      </c>
      <c r="G166" s="32">
        <f t="shared" ref="G166:N166" si="43">G23+G25-G162+G164</f>
        <v>2442936793</v>
      </c>
      <c r="H166" s="32">
        <f t="shared" si="43"/>
        <v>1810916552</v>
      </c>
      <c r="I166" s="32">
        <f t="shared" si="43"/>
        <v>3944778149</v>
      </c>
      <c r="J166" s="32">
        <f t="shared" si="43"/>
        <v>632361593</v>
      </c>
      <c r="K166" s="32">
        <f t="shared" si="43"/>
        <v>77203245594</v>
      </c>
      <c r="L166" s="32">
        <f t="shared" si="43"/>
        <v>40176856653.240005</v>
      </c>
      <c r="M166" s="32">
        <f t="shared" si="43"/>
        <v>953416597</v>
      </c>
      <c r="N166" s="32">
        <f t="shared" si="43"/>
        <v>9050323195.7020874</v>
      </c>
      <c r="O166" s="16">
        <f t="shared" ref="O166" si="44">O23+O25-O162+O164</f>
        <v>50180596445.942078</v>
      </c>
      <c r="P166" s="37">
        <f>O166/K166</f>
        <v>0.64998039991523304</v>
      </c>
    </row>
    <row r="167" spans="1:16" s="7" customFormat="1" x14ac:dyDescent="0.3">
      <c r="C167" s="8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</row>
    <row r="168" spans="1:16" x14ac:dyDescent="0.3">
      <c r="K168" s="48"/>
    </row>
    <row r="169" spans="1:16" x14ac:dyDescent="0.3">
      <c r="J169" s="45" t="s">
        <v>167</v>
      </c>
      <c r="K169" s="66">
        <f>K162/K11</f>
        <v>4.4858933735265547E-2</v>
      </c>
      <c r="N169" s="45" t="s">
        <v>167</v>
      </c>
      <c r="O169" s="66">
        <f>O162/O11</f>
        <v>3.710667197860669E-2</v>
      </c>
      <c r="P169" s="37">
        <f>O169/K169</f>
        <v>0.82718577747726385</v>
      </c>
    </row>
  </sheetData>
  <mergeCells count="3">
    <mergeCell ref="D5:E6"/>
    <mergeCell ref="F5:K5"/>
    <mergeCell ref="L5:O5"/>
  </mergeCells>
  <conditionalFormatting sqref="A1:A1048576">
    <cfRule type="duplicateValues" dxfId="46" priority="14"/>
  </conditionalFormatting>
  <conditionalFormatting sqref="D7:O167">
    <cfRule type="expression" dxfId="45" priority="13">
      <formula>IF(MOD(ROW(),2)=0,TRUE,FALSE)</formula>
    </cfRule>
  </conditionalFormatting>
  <conditionalFormatting sqref="D8:P166">
    <cfRule type="expression" dxfId="44" priority="6">
      <formula>IF($C8="Y2",1,0)</formula>
    </cfRule>
    <cfRule type="expression" dxfId="43" priority="7">
      <formula>IF($C8="X2",1,0)</formula>
    </cfRule>
    <cfRule type="expression" dxfId="42" priority="8">
      <formula>IF($C8="X1",1,0)</formula>
    </cfRule>
  </conditionalFormatting>
  <conditionalFormatting sqref="P7:P166">
    <cfRule type="expression" dxfId="41" priority="9">
      <formula>IF(MOD(ROW(),2)=0,TRUE,FALSE)</formula>
    </cfRule>
  </conditionalFormatting>
  <conditionalFormatting sqref="P29:P52 P55:P142 P145:P162">
    <cfRule type="cellIs" dxfId="40" priority="5" operator="greaterThan">
      <formula>1</formula>
    </cfRule>
  </conditionalFormatting>
  <conditionalFormatting sqref="P169">
    <cfRule type="expression" dxfId="39" priority="1">
      <formula>IF($C169="Y2",1,0)</formula>
    </cfRule>
    <cfRule type="expression" dxfId="38" priority="2">
      <formula>IF($C169="X2",1,0)</formula>
    </cfRule>
    <cfRule type="expression" dxfId="37" priority="3">
      <formula>IF($C169="X1",1,0)</formula>
    </cfRule>
    <cfRule type="expression" dxfId="36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180C-32A9-476F-B5F9-9498B4328959}">
  <sheetPr>
    <tabColor theme="7" tint="0.79998168889431442"/>
    <pageSetUpPr fitToPage="1"/>
  </sheetPr>
  <dimension ref="A1:P169"/>
  <sheetViews>
    <sheetView showGridLines="0" zoomScale="70" zoomScaleNormal="70" workbookViewId="0">
      <pane xSplit="5" ySplit="6" topLeftCell="I140" activePane="bottomRight" state="frozen"/>
      <selection pane="topRight" activeCell="BA157" sqref="BA157"/>
      <selection pane="bottomLeft" activeCell="BA157" sqref="BA157"/>
      <selection pane="bottomRight" activeCell="I156" sqref="I156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66.140625" style="1" customWidth="1"/>
    <col min="6" max="6" width="26.28515625" style="1" bestFit="1" customWidth="1"/>
    <col min="7" max="7" width="22.28515625" style="1" bestFit="1" customWidth="1"/>
    <col min="8" max="10" width="23.5703125" style="1" bestFit="1" customWidth="1"/>
    <col min="11" max="11" width="26.28515625" style="1" bestFit="1" customWidth="1"/>
    <col min="12" max="12" width="24.85546875" style="1" customWidth="1"/>
    <col min="13" max="13" width="22.28515625" style="1" bestFit="1" customWidth="1"/>
    <col min="14" max="14" width="22.28515625" style="1" customWidth="1"/>
    <col min="15" max="15" width="27.5703125" style="3" bestFit="1" customWidth="1"/>
    <col min="16" max="16" width="9.5703125" style="1" customWidth="1"/>
    <col min="17" max="16384" width="8.85546875" style="1"/>
  </cols>
  <sheetData>
    <row r="1" spans="1:16" x14ac:dyDescent="0.3">
      <c r="D1" s="1" t="s">
        <v>0</v>
      </c>
    </row>
    <row r="2" spans="1:16" x14ac:dyDescent="0.3">
      <c r="D2" s="1" t="s">
        <v>1</v>
      </c>
    </row>
    <row r="4" spans="1:16" s="2" customFormat="1" ht="16.5" hidden="1" customHeight="1" x14ac:dyDescent="0.3">
      <c r="O4" s="4" t="e">
        <f>#REF!</f>
        <v>#REF!</v>
      </c>
    </row>
    <row r="5" spans="1:16" s="5" customFormat="1" ht="33" customHeight="1" x14ac:dyDescent="0.25">
      <c r="C5" s="6"/>
      <c r="D5" s="72" t="s">
        <v>2</v>
      </c>
      <c r="E5" s="72"/>
      <c r="F5" s="74" t="s">
        <v>174</v>
      </c>
      <c r="G5" s="75"/>
      <c r="H5" s="75"/>
      <c r="I5" s="75"/>
      <c r="J5" s="75"/>
      <c r="K5" s="75"/>
      <c r="L5" s="78" t="s">
        <v>175</v>
      </c>
      <c r="M5" s="75"/>
      <c r="N5" s="75"/>
      <c r="O5" s="77"/>
      <c r="P5" s="30" t="s">
        <v>5</v>
      </c>
    </row>
    <row r="6" spans="1:16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16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</row>
    <row r="8" spans="1:16" s="12" customFormat="1" x14ac:dyDescent="0.3">
      <c r="C8" s="13" t="s">
        <v>13</v>
      </c>
      <c r="D8" s="14" t="s">
        <v>14</v>
      </c>
      <c r="E8" s="15"/>
      <c r="F8" s="32">
        <v>4664917476573</v>
      </c>
      <c r="G8" s="32">
        <v>0</v>
      </c>
      <c r="H8" s="32">
        <v>795972655829</v>
      </c>
      <c r="I8" s="32">
        <v>458609665500</v>
      </c>
      <c r="J8" s="32">
        <v>884960450602</v>
      </c>
      <c r="K8" s="32">
        <f>SUM(F8:J8)</f>
        <v>6804460248504</v>
      </c>
      <c r="L8" s="32">
        <v>3126265217041.4399</v>
      </c>
      <c r="M8" s="15"/>
      <c r="N8" s="32">
        <v>417777882286.25</v>
      </c>
      <c r="O8" s="16">
        <f>SUM(L8:N8)</f>
        <v>3544043099327.6899</v>
      </c>
      <c r="P8" s="37">
        <f>O8/K8</f>
        <v>0.52084117915258132</v>
      </c>
    </row>
    <row r="9" spans="1:16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9"/>
    </row>
    <row r="10" spans="1:16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</row>
    <row r="11" spans="1:16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33">
        <v>168672834905</v>
      </c>
      <c r="G11" s="33">
        <v>0</v>
      </c>
      <c r="H11" s="33">
        <v>2594038472</v>
      </c>
      <c r="I11" s="33">
        <v>4451461041</v>
      </c>
      <c r="J11" s="33">
        <v>19420563629</v>
      </c>
      <c r="K11" s="33">
        <f>SUM(F11:J11)</f>
        <v>195138898047</v>
      </c>
      <c r="L11" s="33">
        <v>86405665146.949982</v>
      </c>
      <c r="M11" s="33">
        <v>0</v>
      </c>
      <c r="N11" s="33">
        <v>28404526611.850002</v>
      </c>
      <c r="O11" s="19">
        <f t="shared" ref="O11:O13" si="0">SUM(L11:N11)</f>
        <v>114810191758.79999</v>
      </c>
      <c r="P11" s="37">
        <f>O11/K11</f>
        <v>0.58835113300243957</v>
      </c>
    </row>
    <row r="12" spans="1:16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 t="shared" ref="K12:K13" si="1">SUM(F12:J12)</f>
        <v>0</v>
      </c>
      <c r="L12" s="33">
        <v>0</v>
      </c>
      <c r="M12" s="33">
        <v>0</v>
      </c>
      <c r="N12" s="33">
        <v>0</v>
      </c>
      <c r="O12" s="19">
        <f t="shared" si="0"/>
        <v>0</v>
      </c>
      <c r="P12" s="37">
        <v>0</v>
      </c>
    </row>
    <row r="13" spans="1:16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33">
        <v>15188327378</v>
      </c>
      <c r="G13" s="33">
        <v>0</v>
      </c>
      <c r="H13" s="33">
        <v>314963836</v>
      </c>
      <c r="I13" s="33">
        <v>664280590</v>
      </c>
      <c r="J13" s="33">
        <v>11526814963</v>
      </c>
      <c r="K13" s="33">
        <f t="shared" si="1"/>
        <v>27694386767</v>
      </c>
      <c r="L13" s="33">
        <v>9349269249.539999</v>
      </c>
      <c r="M13" s="33">
        <v>0</v>
      </c>
      <c r="N13" s="33">
        <v>3501219216.9399996</v>
      </c>
      <c r="O13" s="19">
        <f t="shared" si="0"/>
        <v>12850488466.48</v>
      </c>
      <c r="P13" s="37">
        <f>O13/K13</f>
        <v>0.46401057999927803</v>
      </c>
    </row>
    <row r="14" spans="1:16" s="23" customFormat="1" x14ac:dyDescent="0.3">
      <c r="B14" s="12"/>
      <c r="C14" s="13" t="s">
        <v>20</v>
      </c>
      <c r="D14" s="14"/>
      <c r="E14" s="15" t="s">
        <v>21</v>
      </c>
      <c r="F14" s="32">
        <f>F11-F12-F13</f>
        <v>153484507527</v>
      </c>
      <c r="G14" s="32">
        <f t="shared" ref="G14:K14" si="2">G11-G12-G13</f>
        <v>0</v>
      </c>
      <c r="H14" s="32">
        <f t="shared" si="2"/>
        <v>2279074636</v>
      </c>
      <c r="I14" s="32">
        <f t="shared" si="2"/>
        <v>3787180451</v>
      </c>
      <c r="J14" s="32">
        <f t="shared" si="2"/>
        <v>7893748666</v>
      </c>
      <c r="K14" s="32">
        <f t="shared" si="2"/>
        <v>167444511280</v>
      </c>
      <c r="L14" s="32">
        <f t="shared" ref="L14" si="3">L11-L12-L13</f>
        <v>77056395897.409988</v>
      </c>
      <c r="M14" s="32">
        <f t="shared" ref="M14" si="4">M11-M12-M13</f>
        <v>0</v>
      </c>
      <c r="N14" s="32">
        <f t="shared" ref="N14" si="5">N11-N12-N13</f>
        <v>24903307394.910004</v>
      </c>
      <c r="O14" s="16">
        <f t="shared" ref="O14" si="6">O11-O12-O13</f>
        <v>101959703292.31999</v>
      </c>
      <c r="P14" s="37">
        <f>O14/K14</f>
        <v>0.60891636586297782</v>
      </c>
    </row>
    <row r="15" spans="1:16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19"/>
    </row>
    <row r="16" spans="1:16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</row>
    <row r="17" spans="1:16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33">
        <v>115373687533</v>
      </c>
      <c r="G17" s="33">
        <v>8584555675</v>
      </c>
      <c r="H17" s="33">
        <v>75000000</v>
      </c>
      <c r="I17" s="33">
        <v>1271904226</v>
      </c>
      <c r="J17" s="33">
        <v>16228026979</v>
      </c>
      <c r="K17" s="33">
        <f t="shared" ref="K17:K20" si="7">SUM(F17:J17)</f>
        <v>141533174413</v>
      </c>
      <c r="L17" s="33">
        <v>62472543622.459999</v>
      </c>
      <c r="M17" s="33">
        <v>679061700.60000002</v>
      </c>
      <c r="N17" s="33">
        <v>30437561828.810001</v>
      </c>
      <c r="O17" s="19">
        <f t="shared" ref="O17:O20" si="8">SUM(L17:N17)</f>
        <v>93589167151.869995</v>
      </c>
      <c r="P17" s="37">
        <f>O17/K17</f>
        <v>0.66125251228219262</v>
      </c>
    </row>
    <row r="18" spans="1:16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33">
        <v>3434033608</v>
      </c>
      <c r="G18" s="33">
        <v>-2934113950</v>
      </c>
      <c r="H18" s="33">
        <v>51649426</v>
      </c>
      <c r="I18" s="33">
        <v>87275286</v>
      </c>
      <c r="J18" s="33">
        <v>8568198213</v>
      </c>
      <c r="K18" s="33">
        <f t="shared" si="7"/>
        <v>9207042583</v>
      </c>
      <c r="L18" s="33">
        <v>11979626037.040001</v>
      </c>
      <c r="M18" s="33">
        <v>-1642049377.3499999</v>
      </c>
      <c r="N18" s="33">
        <v>-12086151269.26</v>
      </c>
      <c r="O18" s="19">
        <f t="shared" si="8"/>
        <v>-1748574609.5699997</v>
      </c>
      <c r="P18" s="37">
        <f>O18/K18</f>
        <v>-0.18991707639091299</v>
      </c>
    </row>
    <row r="19" spans="1:16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33">
        <v>38329244677</v>
      </c>
      <c r="G19" s="33">
        <v>6769350368</v>
      </c>
      <c r="H19" s="33">
        <v>22094493</v>
      </c>
      <c r="I19" s="33">
        <v>45084709</v>
      </c>
      <c r="J19" s="33">
        <v>16659323166</v>
      </c>
      <c r="K19" s="33">
        <f t="shared" si="7"/>
        <v>61825097413</v>
      </c>
      <c r="L19" s="33">
        <v>16502994275.389999</v>
      </c>
      <c r="M19" s="33">
        <v>3056059580.5999999</v>
      </c>
      <c r="N19" s="33">
        <v>4211881669.2300005</v>
      </c>
      <c r="O19" s="19">
        <f t="shared" si="8"/>
        <v>23770935525.219997</v>
      </c>
      <c r="P19" s="37">
        <f>O19/K19</f>
        <v>0.38448682686946595</v>
      </c>
    </row>
    <row r="20" spans="1:16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33">
        <v>2396724198</v>
      </c>
      <c r="G20" s="33">
        <v>0</v>
      </c>
      <c r="H20" s="33">
        <v>54737539</v>
      </c>
      <c r="I20" s="33">
        <v>101532381</v>
      </c>
      <c r="J20" s="33">
        <v>1758987457</v>
      </c>
      <c r="K20" s="33">
        <f t="shared" si="7"/>
        <v>4311981575</v>
      </c>
      <c r="L20" s="33">
        <v>1527035902.0799999</v>
      </c>
      <c r="M20" s="33">
        <v>0</v>
      </c>
      <c r="N20" s="33">
        <v>503509536.42000002</v>
      </c>
      <c r="O20" s="19">
        <f t="shared" si="8"/>
        <v>2030545438.5</v>
      </c>
      <c r="P20" s="37">
        <f>O20/K20</f>
        <v>0.47090772610734077</v>
      </c>
    </row>
    <row r="21" spans="1:16" s="23" customFormat="1" x14ac:dyDescent="0.3">
      <c r="B21" s="12"/>
      <c r="C21" s="13" t="s">
        <v>20</v>
      </c>
      <c r="D21" s="14"/>
      <c r="E21" s="15" t="s">
        <v>28</v>
      </c>
      <c r="F21" s="32">
        <f>F17+F18-F19-F20</f>
        <v>78081752266</v>
      </c>
      <c r="G21" s="32">
        <f t="shared" ref="G21:K21" si="9">G17+G18-G19-G20</f>
        <v>-1118908643</v>
      </c>
      <c r="H21" s="32">
        <f t="shared" si="9"/>
        <v>49817394</v>
      </c>
      <c r="I21" s="32">
        <f t="shared" si="9"/>
        <v>1212562422</v>
      </c>
      <c r="J21" s="32">
        <f t="shared" si="9"/>
        <v>6377914569</v>
      </c>
      <c r="K21" s="32">
        <f t="shared" si="9"/>
        <v>84603138008</v>
      </c>
      <c r="L21" s="32">
        <f t="shared" ref="L21" si="10">L17+L18-L19-L20</f>
        <v>56422139482.029999</v>
      </c>
      <c r="M21" s="32">
        <f t="shared" ref="M21" si="11">M17+M18-M19-M20</f>
        <v>-4019047257.3499999</v>
      </c>
      <c r="N21" s="32">
        <f t="shared" ref="N21" si="12">N17+N18-N19-N20</f>
        <v>13636019353.900003</v>
      </c>
      <c r="O21" s="16">
        <f t="shared" ref="O21" si="13">O17+O18-O19-O20</f>
        <v>66039111578.579987</v>
      </c>
      <c r="P21" s="37">
        <f>O21/K21</f>
        <v>0.78057520245094669</v>
      </c>
    </row>
    <row r="22" spans="1:16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19"/>
    </row>
    <row r="23" spans="1:16" s="23" customFormat="1" x14ac:dyDescent="0.3">
      <c r="B23" s="12"/>
      <c r="C23" s="13" t="s">
        <v>13</v>
      </c>
      <c r="D23" s="14" t="s">
        <v>29</v>
      </c>
      <c r="E23" s="15"/>
      <c r="F23" s="32">
        <f>F14-F21</f>
        <v>75402755261</v>
      </c>
      <c r="G23" s="32">
        <f t="shared" ref="G23:K23" si="14">G14-G21</f>
        <v>1118908643</v>
      </c>
      <c r="H23" s="32">
        <f t="shared" si="14"/>
        <v>2229257242</v>
      </c>
      <c r="I23" s="32">
        <f t="shared" si="14"/>
        <v>2574618029</v>
      </c>
      <c r="J23" s="32">
        <f t="shared" si="14"/>
        <v>1515834097</v>
      </c>
      <c r="K23" s="32">
        <f t="shared" si="14"/>
        <v>82841373272</v>
      </c>
      <c r="L23" s="32">
        <f t="shared" ref="L23:M23" si="15">L14-L21</f>
        <v>20634256415.37999</v>
      </c>
      <c r="M23" s="32">
        <f t="shared" si="15"/>
        <v>4019047257.3499999</v>
      </c>
      <c r="N23" s="32">
        <f t="shared" ref="N23" si="16">N14-N21</f>
        <v>11267288041.01</v>
      </c>
      <c r="O23" s="16">
        <f t="shared" ref="O23" si="17">O14-O21</f>
        <v>35920591713.740005</v>
      </c>
      <c r="P23" s="37">
        <f>O23/K23</f>
        <v>0.43360690793715995</v>
      </c>
    </row>
    <row r="24" spans="1:16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1:16" s="23" customFormat="1" x14ac:dyDescent="0.3">
      <c r="B25" s="12">
        <v>19</v>
      </c>
      <c r="C25" s="13" t="s">
        <v>13</v>
      </c>
      <c r="D25" s="14" t="s">
        <v>30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9">
        <v>0</v>
      </c>
      <c r="P25" s="19">
        <v>0</v>
      </c>
    </row>
    <row r="26" spans="1:16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1:16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</row>
    <row r="28" spans="1:16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</row>
    <row r="29" spans="1:16" s="20" customFormat="1" x14ac:dyDescent="0.3">
      <c r="A29" s="20">
        <v>94</v>
      </c>
      <c r="B29" s="7"/>
      <c r="C29" s="8"/>
      <c r="D29" s="21"/>
      <c r="E29" s="24" t="s">
        <v>33</v>
      </c>
      <c r="F29" s="31">
        <v>969596418</v>
      </c>
      <c r="G29" s="31">
        <v>0</v>
      </c>
      <c r="H29" s="31">
        <v>19882043</v>
      </c>
      <c r="I29" s="31">
        <v>25588713</v>
      </c>
      <c r="J29" s="31">
        <v>112590574</v>
      </c>
      <c r="K29" s="33">
        <f t="shared" ref="K29:K51" si="18">SUM(F29:J29)</f>
        <v>1127657748</v>
      </c>
      <c r="L29" s="31">
        <v>464319093.24000001</v>
      </c>
      <c r="M29" s="31"/>
      <c r="N29" s="31">
        <v>203450904.75999999</v>
      </c>
      <c r="O29" s="19">
        <f t="shared" ref="O29:O51" si="19">SUM(L29:N29)</f>
        <v>667769998</v>
      </c>
      <c r="P29" s="37">
        <f t="shared" ref="P29:P34" si="20">O29/K29</f>
        <v>0.59217435359651338</v>
      </c>
    </row>
    <row r="30" spans="1:16" s="20" customFormat="1" x14ac:dyDescent="0.3">
      <c r="A30" s="20">
        <v>95</v>
      </c>
      <c r="B30" s="7"/>
      <c r="C30" s="8"/>
      <c r="D30" s="21"/>
      <c r="E30" s="24" t="s">
        <v>34</v>
      </c>
      <c r="F30" s="31">
        <v>30358275</v>
      </c>
      <c r="G30" s="31">
        <v>0</v>
      </c>
      <c r="H30" s="31">
        <v>622511</v>
      </c>
      <c r="I30" s="31">
        <v>801188</v>
      </c>
      <c r="J30" s="31">
        <v>3525235</v>
      </c>
      <c r="K30" s="33">
        <f t="shared" si="18"/>
        <v>35307209</v>
      </c>
      <c r="L30" s="31">
        <v>11683487.41</v>
      </c>
      <c r="M30" s="31"/>
      <c r="N30" s="31">
        <v>5126852.5899999989</v>
      </c>
      <c r="O30" s="19">
        <f t="shared" si="19"/>
        <v>16810340</v>
      </c>
      <c r="P30" s="37">
        <f t="shared" si="20"/>
        <v>0.47611636479111108</v>
      </c>
    </row>
    <row r="31" spans="1:16" s="20" customFormat="1" x14ac:dyDescent="0.3">
      <c r="A31" s="20">
        <v>96</v>
      </c>
      <c r="B31" s="7"/>
      <c r="C31" s="8"/>
      <c r="D31" s="21"/>
      <c r="E31" s="24" t="s">
        <v>35</v>
      </c>
      <c r="F31" s="31">
        <v>156401572</v>
      </c>
      <c r="G31" s="31">
        <v>0</v>
      </c>
      <c r="H31" s="31">
        <v>3207090</v>
      </c>
      <c r="I31" s="31">
        <v>4127609</v>
      </c>
      <c r="J31" s="31">
        <v>18161518</v>
      </c>
      <c r="K31" s="33">
        <f t="shared" si="18"/>
        <v>181897789</v>
      </c>
      <c r="L31" s="31">
        <v>4104850</v>
      </c>
      <c r="M31" s="31"/>
      <c r="N31" s="31">
        <v>1395149.9999999998</v>
      </c>
      <c r="O31" s="19">
        <f t="shared" si="19"/>
        <v>5500000</v>
      </c>
      <c r="P31" s="37">
        <f t="shared" si="20"/>
        <v>3.0236761151615756E-2</v>
      </c>
    </row>
    <row r="32" spans="1:16" s="20" customFormat="1" x14ac:dyDescent="0.3">
      <c r="A32" s="20">
        <v>97</v>
      </c>
      <c r="B32" s="7"/>
      <c r="C32" s="8"/>
      <c r="D32" s="21"/>
      <c r="E32" s="24" t="s">
        <v>36</v>
      </c>
      <c r="F32" s="31">
        <v>7165646</v>
      </c>
      <c r="G32" s="31">
        <v>0</v>
      </c>
      <c r="H32" s="31">
        <v>146935</v>
      </c>
      <c r="I32" s="31">
        <v>189109</v>
      </c>
      <c r="J32" s="31">
        <v>832083</v>
      </c>
      <c r="K32" s="33">
        <f t="shared" si="18"/>
        <v>8333773</v>
      </c>
      <c r="L32" s="31">
        <v>0</v>
      </c>
      <c r="M32" s="31"/>
      <c r="N32" s="31">
        <v>0</v>
      </c>
      <c r="O32" s="19">
        <f t="shared" si="19"/>
        <v>0</v>
      </c>
      <c r="P32" s="37">
        <f t="shared" si="20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1">
        <v>113572620</v>
      </c>
      <c r="G33" s="31">
        <v>0</v>
      </c>
      <c r="H33" s="31">
        <v>2328861</v>
      </c>
      <c r="I33" s="31">
        <v>2997306</v>
      </c>
      <c r="J33" s="31">
        <v>13188174</v>
      </c>
      <c r="K33" s="33">
        <f t="shared" si="18"/>
        <v>132086961</v>
      </c>
      <c r="L33" s="31">
        <v>0</v>
      </c>
      <c r="M33" s="31"/>
      <c r="N33" s="31">
        <v>0</v>
      </c>
      <c r="O33" s="19">
        <f t="shared" si="19"/>
        <v>0</v>
      </c>
      <c r="P33" s="37">
        <f t="shared" si="20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1">
        <v>1048226553</v>
      </c>
      <c r="G34" s="31">
        <v>0</v>
      </c>
      <c r="H34" s="31">
        <v>21494392</v>
      </c>
      <c r="I34" s="31">
        <v>27663848</v>
      </c>
      <c r="J34" s="31">
        <v>121721190</v>
      </c>
      <c r="K34" s="33">
        <f t="shared" si="18"/>
        <v>1219105983</v>
      </c>
      <c r="L34" s="31">
        <v>660222753.09000003</v>
      </c>
      <c r="M34" s="31"/>
      <c r="N34" s="31">
        <v>289926021.79000002</v>
      </c>
      <c r="O34" s="19">
        <f t="shared" si="19"/>
        <v>950148774.88000011</v>
      </c>
      <c r="P34" s="37">
        <f t="shared" si="20"/>
        <v>0.7793816026904038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3">
        <f t="shared" si="18"/>
        <v>0</v>
      </c>
      <c r="L35" s="31">
        <v>0</v>
      </c>
      <c r="M35" s="31"/>
      <c r="N35" s="31">
        <v>0</v>
      </c>
      <c r="O35" s="19">
        <f t="shared" si="19"/>
        <v>0</v>
      </c>
      <c r="P35" s="37">
        <v>0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3">
        <f t="shared" si="18"/>
        <v>0</v>
      </c>
      <c r="L36" s="31">
        <v>0</v>
      </c>
      <c r="M36" s="31"/>
      <c r="N36" s="31">
        <v>0</v>
      </c>
      <c r="O36" s="19">
        <f t="shared" si="19"/>
        <v>0</v>
      </c>
      <c r="P36" s="37">
        <v>0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1">
        <v>171733351</v>
      </c>
      <c r="G37" s="31">
        <v>0</v>
      </c>
      <c r="H37" s="31">
        <v>3521475</v>
      </c>
      <c r="I37" s="31">
        <v>4532231</v>
      </c>
      <c r="J37" s="31">
        <v>19941861</v>
      </c>
      <c r="K37" s="33">
        <f t="shared" si="18"/>
        <v>199728918</v>
      </c>
      <c r="L37" s="31">
        <v>0</v>
      </c>
      <c r="M37" s="31"/>
      <c r="N37" s="31">
        <v>0</v>
      </c>
      <c r="O37" s="19">
        <f t="shared" si="19"/>
        <v>0</v>
      </c>
      <c r="P37" s="37">
        <f t="shared" ref="P37:P49" si="21">O37/K37</f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1">
        <v>43586002</v>
      </c>
      <c r="G38" s="31">
        <v>0</v>
      </c>
      <c r="H38" s="31">
        <v>893752</v>
      </c>
      <c r="I38" s="31">
        <v>1150282</v>
      </c>
      <c r="J38" s="31">
        <v>5061253</v>
      </c>
      <c r="K38" s="33">
        <f t="shared" si="18"/>
        <v>50691289</v>
      </c>
      <c r="L38" s="31">
        <v>0</v>
      </c>
      <c r="M38" s="31"/>
      <c r="N38" s="31">
        <v>0</v>
      </c>
      <c r="O38" s="19">
        <f t="shared" si="19"/>
        <v>0</v>
      </c>
      <c r="P38" s="37">
        <f t="shared" si="21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1">
        <v>61831059</v>
      </c>
      <c r="G39" s="31">
        <v>0</v>
      </c>
      <c r="H39" s="31">
        <v>1267876</v>
      </c>
      <c r="I39" s="31">
        <v>1631789</v>
      </c>
      <c r="J39" s="31">
        <v>7179889</v>
      </c>
      <c r="K39" s="33">
        <f t="shared" si="18"/>
        <v>71910613</v>
      </c>
      <c r="L39" s="31">
        <v>0</v>
      </c>
      <c r="M39" s="31"/>
      <c r="N39" s="31">
        <v>0</v>
      </c>
      <c r="O39" s="19">
        <f t="shared" si="19"/>
        <v>0</v>
      </c>
      <c r="P39" s="37">
        <f t="shared" si="21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1">
        <v>8973711</v>
      </c>
      <c r="G40" s="31">
        <v>0</v>
      </c>
      <c r="H40" s="31">
        <v>184010</v>
      </c>
      <c r="I40" s="31">
        <v>236826</v>
      </c>
      <c r="J40" s="31">
        <v>1042037</v>
      </c>
      <c r="K40" s="33">
        <f t="shared" si="18"/>
        <v>10436584</v>
      </c>
      <c r="L40" s="31">
        <v>0</v>
      </c>
      <c r="M40" s="31"/>
      <c r="N40" s="31">
        <v>0</v>
      </c>
      <c r="O40" s="19">
        <f t="shared" si="19"/>
        <v>0</v>
      </c>
      <c r="P40" s="37">
        <f t="shared" si="21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1">
        <v>20792745</v>
      </c>
      <c r="G41" s="31">
        <v>0</v>
      </c>
      <c r="H41" s="31">
        <v>426365</v>
      </c>
      <c r="I41" s="31">
        <v>548743</v>
      </c>
      <c r="J41" s="31">
        <v>2414476</v>
      </c>
      <c r="K41" s="33">
        <f t="shared" si="18"/>
        <v>24182329</v>
      </c>
      <c r="L41" s="31">
        <v>0</v>
      </c>
      <c r="M41" s="31"/>
      <c r="N41" s="31">
        <v>0</v>
      </c>
      <c r="O41" s="19">
        <f t="shared" si="19"/>
        <v>0</v>
      </c>
      <c r="P41" s="37">
        <f t="shared" si="21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1">
        <v>139469311</v>
      </c>
      <c r="G42" s="31">
        <v>0</v>
      </c>
      <c r="H42" s="31">
        <v>2859886</v>
      </c>
      <c r="I42" s="31">
        <v>3680748</v>
      </c>
      <c r="J42" s="31">
        <v>16195326</v>
      </c>
      <c r="K42" s="33">
        <f t="shared" si="18"/>
        <v>162205271</v>
      </c>
      <c r="L42" s="31">
        <v>199419111.46000001</v>
      </c>
      <c r="M42" s="31"/>
      <c r="N42" s="31">
        <v>91208692.459999979</v>
      </c>
      <c r="O42" s="19">
        <f t="shared" si="19"/>
        <v>290627803.91999996</v>
      </c>
      <c r="P42" s="37">
        <f t="shared" si="21"/>
        <v>1.7917284816225236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1">
        <v>1113365698</v>
      </c>
      <c r="G43" s="31">
        <v>0</v>
      </c>
      <c r="H43" s="31">
        <v>22830101</v>
      </c>
      <c r="I43" s="31">
        <v>29382941</v>
      </c>
      <c r="J43" s="31">
        <v>129285217</v>
      </c>
      <c r="K43" s="33">
        <f t="shared" si="18"/>
        <v>1294863957</v>
      </c>
      <c r="L43" s="31">
        <v>146982056.88</v>
      </c>
      <c r="M43" s="31"/>
      <c r="N43" s="31">
        <v>74709036.75</v>
      </c>
      <c r="O43" s="19">
        <f t="shared" si="19"/>
        <v>221691093.63</v>
      </c>
      <c r="P43" s="37">
        <f t="shared" si="21"/>
        <v>0.17120801952324324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1">
        <v>29986962</v>
      </c>
      <c r="G44" s="31">
        <v>0</v>
      </c>
      <c r="H44" s="31">
        <v>614897</v>
      </c>
      <c r="I44" s="31">
        <v>791389</v>
      </c>
      <c r="J44" s="31">
        <v>3482118</v>
      </c>
      <c r="K44" s="33">
        <f t="shared" si="18"/>
        <v>34875366</v>
      </c>
      <c r="L44" s="31">
        <v>27794500</v>
      </c>
      <c r="M44" s="31"/>
      <c r="N44" s="31">
        <v>12205499.999999998</v>
      </c>
      <c r="O44" s="19">
        <f t="shared" si="19"/>
        <v>40000000</v>
      </c>
      <c r="P44" s="37">
        <f t="shared" si="21"/>
        <v>1.1469413682999055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1">
        <v>707805475</v>
      </c>
      <c r="G45" s="31">
        <v>0</v>
      </c>
      <c r="H45" s="31">
        <v>14513893</v>
      </c>
      <c r="I45" s="31">
        <v>18679762</v>
      </c>
      <c r="J45" s="31">
        <v>82191129</v>
      </c>
      <c r="K45" s="33">
        <f t="shared" si="18"/>
        <v>823190259</v>
      </c>
      <c r="L45" s="31">
        <v>304866886.89999998</v>
      </c>
      <c r="M45" s="31"/>
      <c r="N45" s="31">
        <v>133849780.09999998</v>
      </c>
      <c r="O45" s="19">
        <f t="shared" si="19"/>
        <v>438716666.99999994</v>
      </c>
      <c r="P45" s="37">
        <f t="shared" si="21"/>
        <v>0.5329468639885836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1">
        <v>14274196</v>
      </c>
      <c r="G46" s="31">
        <v>0</v>
      </c>
      <c r="H46" s="31">
        <v>292699</v>
      </c>
      <c r="I46" s="31">
        <v>376712</v>
      </c>
      <c r="J46" s="31">
        <v>1657535</v>
      </c>
      <c r="K46" s="33">
        <f t="shared" si="18"/>
        <v>16601142</v>
      </c>
      <c r="L46" s="31">
        <v>0</v>
      </c>
      <c r="M46" s="31"/>
      <c r="N46" s="31">
        <v>0</v>
      </c>
      <c r="O46" s="19">
        <f t="shared" si="19"/>
        <v>0</v>
      </c>
      <c r="P46" s="37">
        <f t="shared" si="21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1">
        <v>136952980</v>
      </c>
      <c r="G47" s="31">
        <v>0</v>
      </c>
      <c r="H47" s="31">
        <v>2808287</v>
      </c>
      <c r="I47" s="31">
        <v>3614339</v>
      </c>
      <c r="J47" s="31">
        <v>15903127</v>
      </c>
      <c r="K47" s="33">
        <f t="shared" si="18"/>
        <v>159278733</v>
      </c>
      <c r="L47" s="31">
        <v>0</v>
      </c>
      <c r="M47" s="31"/>
      <c r="N47" s="31">
        <v>0</v>
      </c>
      <c r="O47" s="19">
        <f t="shared" si="19"/>
        <v>0</v>
      </c>
      <c r="P47" s="37">
        <f t="shared" si="21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1">
        <v>180733558</v>
      </c>
      <c r="G48" s="31">
        <v>0</v>
      </c>
      <c r="H48" s="31">
        <v>3706029</v>
      </c>
      <c r="I48" s="31">
        <v>4769757</v>
      </c>
      <c r="J48" s="31">
        <v>20986974</v>
      </c>
      <c r="K48" s="33">
        <f t="shared" si="18"/>
        <v>210196318</v>
      </c>
      <c r="L48" s="31">
        <v>100053793.8</v>
      </c>
      <c r="M48" s="31"/>
      <c r="N48" s="31">
        <v>42824206.200000003</v>
      </c>
      <c r="O48" s="19">
        <f t="shared" si="19"/>
        <v>142878000</v>
      </c>
      <c r="P48" s="37">
        <f t="shared" si="21"/>
        <v>0.67973597900987015</v>
      </c>
    </row>
    <row r="49" spans="1:16" s="20" customFormat="1" x14ac:dyDescent="0.3">
      <c r="A49" s="20">
        <v>124</v>
      </c>
      <c r="B49" s="7"/>
      <c r="C49" s="8"/>
      <c r="D49" s="21"/>
      <c r="E49" s="24" t="s">
        <v>53</v>
      </c>
      <c r="F49" s="31">
        <v>32127921</v>
      </c>
      <c r="G49" s="31">
        <v>0</v>
      </c>
      <c r="H49" s="31">
        <v>658799</v>
      </c>
      <c r="I49" s="31">
        <v>847891</v>
      </c>
      <c r="J49" s="31">
        <v>3730729</v>
      </c>
      <c r="K49" s="33">
        <f t="shared" si="18"/>
        <v>37365340</v>
      </c>
      <c r="L49" s="31">
        <v>0</v>
      </c>
      <c r="M49" s="31"/>
      <c r="N49" s="31">
        <v>0</v>
      </c>
      <c r="O49" s="19">
        <f t="shared" si="19"/>
        <v>0</v>
      </c>
      <c r="P49" s="37">
        <f t="shared" si="21"/>
        <v>0</v>
      </c>
    </row>
    <row r="50" spans="1:16" s="20" customFormat="1" x14ac:dyDescent="0.3">
      <c r="A50" s="20">
        <v>143</v>
      </c>
      <c r="B50" s="7"/>
      <c r="C50" s="8"/>
      <c r="D50" s="21"/>
      <c r="E50" s="24" t="s">
        <v>54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3">
        <f t="shared" si="18"/>
        <v>0</v>
      </c>
      <c r="L50" s="31">
        <v>0</v>
      </c>
      <c r="M50" s="31"/>
      <c r="N50" s="31">
        <v>0</v>
      </c>
      <c r="O50" s="19">
        <f t="shared" si="19"/>
        <v>0</v>
      </c>
      <c r="P50" s="37">
        <v>0</v>
      </c>
    </row>
    <row r="51" spans="1:16" s="20" customFormat="1" x14ac:dyDescent="0.3">
      <c r="A51" s="20">
        <v>0</v>
      </c>
      <c r="B51" s="7"/>
      <c r="C51" s="8"/>
      <c r="D51" s="21"/>
      <c r="E51" s="24" t="s">
        <v>55</v>
      </c>
      <c r="F51" s="31">
        <v>79301088</v>
      </c>
      <c r="G51" s="31">
        <v>0</v>
      </c>
      <c r="H51" s="31">
        <v>1626107</v>
      </c>
      <c r="I51" s="31">
        <v>2092843</v>
      </c>
      <c r="J51" s="31">
        <v>9208527</v>
      </c>
      <c r="K51" s="33">
        <f t="shared" si="18"/>
        <v>92228565</v>
      </c>
      <c r="L51" s="31">
        <v>58182183.100000001</v>
      </c>
      <c r="M51" s="31"/>
      <c r="N51" s="31">
        <v>26001149.899999995</v>
      </c>
      <c r="O51" s="19">
        <f t="shared" si="19"/>
        <v>84183333</v>
      </c>
      <c r="P51" s="37">
        <f>O51/K51</f>
        <v>0.91276854410561414</v>
      </c>
    </row>
    <row r="52" spans="1:16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5066255141</v>
      </c>
      <c r="G52" s="32">
        <f t="shared" ref="G52:K52" si="22">SUM(G29:G51)</f>
        <v>0</v>
      </c>
      <c r="H52" s="32">
        <f t="shared" si="22"/>
        <v>103886008</v>
      </c>
      <c r="I52" s="32">
        <f t="shared" si="22"/>
        <v>133704026</v>
      </c>
      <c r="J52" s="32">
        <f t="shared" si="22"/>
        <v>588298972</v>
      </c>
      <c r="K52" s="32">
        <f t="shared" si="22"/>
        <v>5892144147</v>
      </c>
      <c r="L52" s="32">
        <f t="shared" ref="L52" si="23">SUM(L29:L51)</f>
        <v>1977628715.8799999</v>
      </c>
      <c r="M52" s="32">
        <f t="shared" ref="M52" si="24">SUM(M29:M51)</f>
        <v>0</v>
      </c>
      <c r="N52" s="32">
        <f t="shared" ref="N52" si="25">SUM(N29:N51)</f>
        <v>880697294.54999995</v>
      </c>
      <c r="O52" s="16">
        <f t="shared" ref="O52" si="26">SUM(O29:O51)</f>
        <v>2858326010.4300003</v>
      </c>
      <c r="P52" s="37">
        <f>O52/K52</f>
        <v>0.48510795715772231</v>
      </c>
    </row>
    <row r="53" spans="1:16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19"/>
    </row>
    <row r="54" spans="1:16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19"/>
    </row>
    <row r="55" spans="1:16" s="20" customFormat="1" x14ac:dyDescent="0.3">
      <c r="A55" s="20">
        <v>169</v>
      </c>
      <c r="B55" s="7"/>
      <c r="C55" s="8"/>
      <c r="D55" s="21"/>
      <c r="E55" s="24" t="s">
        <v>58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3">
        <f t="shared" ref="K55:K118" si="27">SUM(F55:J55)</f>
        <v>0</v>
      </c>
      <c r="L55" s="31">
        <v>0</v>
      </c>
      <c r="M55" s="31"/>
      <c r="N55" s="31">
        <v>0</v>
      </c>
      <c r="O55" s="19">
        <f t="shared" ref="O55:O118" si="28">SUM(L55:N55)</f>
        <v>0</v>
      </c>
      <c r="P55" s="37">
        <v>0</v>
      </c>
    </row>
    <row r="56" spans="1:16" s="20" customFormat="1" x14ac:dyDescent="0.3">
      <c r="A56" s="20">
        <v>171</v>
      </c>
      <c r="B56" s="7"/>
      <c r="C56" s="8"/>
      <c r="D56" s="21"/>
      <c r="E56" s="24" t="s">
        <v>59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3">
        <f t="shared" si="27"/>
        <v>0</v>
      </c>
      <c r="L56" s="31">
        <v>0</v>
      </c>
      <c r="M56" s="31"/>
      <c r="N56" s="31">
        <v>0</v>
      </c>
      <c r="O56" s="19">
        <f t="shared" si="28"/>
        <v>0</v>
      </c>
      <c r="P56" s="37">
        <v>0</v>
      </c>
    </row>
    <row r="57" spans="1:16" s="20" customFormat="1" x14ac:dyDescent="0.3">
      <c r="A57" s="20">
        <v>175</v>
      </c>
      <c r="B57" s="7"/>
      <c r="C57" s="8"/>
      <c r="D57" s="21"/>
      <c r="E57" s="24" t="s">
        <v>60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3">
        <f t="shared" si="27"/>
        <v>0</v>
      </c>
      <c r="L57" s="31">
        <v>0</v>
      </c>
      <c r="M57" s="31"/>
      <c r="N57" s="31">
        <v>0</v>
      </c>
      <c r="O57" s="19">
        <f t="shared" si="28"/>
        <v>0</v>
      </c>
      <c r="P57" s="37">
        <v>0</v>
      </c>
    </row>
    <row r="58" spans="1:16" s="20" customFormat="1" x14ac:dyDescent="0.3">
      <c r="A58" s="20">
        <v>176</v>
      </c>
      <c r="B58" s="7"/>
      <c r="C58" s="8"/>
      <c r="D58" s="21"/>
      <c r="E58" s="24" t="s">
        <v>61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3">
        <f t="shared" si="27"/>
        <v>0</v>
      </c>
      <c r="L58" s="31">
        <v>0</v>
      </c>
      <c r="M58" s="31"/>
      <c r="N58" s="31">
        <v>0</v>
      </c>
      <c r="O58" s="19">
        <f t="shared" si="28"/>
        <v>0</v>
      </c>
      <c r="P58" s="37">
        <v>0</v>
      </c>
    </row>
    <row r="59" spans="1:16" s="20" customFormat="1" x14ac:dyDescent="0.3">
      <c r="A59" s="20">
        <v>177</v>
      </c>
      <c r="B59" s="7"/>
      <c r="C59" s="8"/>
      <c r="D59" s="21"/>
      <c r="E59" s="24" t="s">
        <v>62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3">
        <f t="shared" si="27"/>
        <v>0</v>
      </c>
      <c r="L59" s="31">
        <v>0</v>
      </c>
      <c r="M59" s="31"/>
      <c r="N59" s="31">
        <v>0</v>
      </c>
      <c r="O59" s="19">
        <f t="shared" si="28"/>
        <v>0</v>
      </c>
      <c r="P59" s="37">
        <v>0</v>
      </c>
    </row>
    <row r="60" spans="1:16" s="20" customFormat="1" x14ac:dyDescent="0.3">
      <c r="A60" s="20">
        <v>179</v>
      </c>
      <c r="B60" s="7"/>
      <c r="C60" s="8"/>
      <c r="D60" s="21"/>
      <c r="E60" s="24" t="s">
        <v>63</v>
      </c>
      <c r="F60" s="31">
        <v>145489959</v>
      </c>
      <c r="G60" s="31">
        <v>0</v>
      </c>
      <c r="H60" s="31">
        <v>2983342</v>
      </c>
      <c r="I60" s="31">
        <v>3839640</v>
      </c>
      <c r="J60" s="31">
        <v>16894450</v>
      </c>
      <c r="K60" s="33">
        <f t="shared" si="27"/>
        <v>169207391</v>
      </c>
      <c r="L60" s="31">
        <v>63427433.439999998</v>
      </c>
      <c r="M60" s="31"/>
      <c r="N60" s="31">
        <v>29669437.579999998</v>
      </c>
      <c r="O60" s="19">
        <f t="shared" si="28"/>
        <v>93096871.019999996</v>
      </c>
      <c r="P60" s="37">
        <f>O60/K60</f>
        <v>0.55019388024250071</v>
      </c>
    </row>
    <row r="61" spans="1:16" s="20" customFormat="1" x14ac:dyDescent="0.3">
      <c r="A61" s="20">
        <v>180</v>
      </c>
      <c r="B61" s="7"/>
      <c r="C61" s="8"/>
      <c r="D61" s="21"/>
      <c r="E61" s="24" t="s">
        <v>64</v>
      </c>
      <c r="F61" s="31">
        <v>17069430</v>
      </c>
      <c r="G61" s="31">
        <v>0</v>
      </c>
      <c r="H61" s="31">
        <v>350017</v>
      </c>
      <c r="I61" s="31">
        <v>450481</v>
      </c>
      <c r="J61" s="31">
        <v>1982120</v>
      </c>
      <c r="K61" s="33">
        <f t="shared" si="27"/>
        <v>19852048</v>
      </c>
      <c r="L61" s="31">
        <v>5919841.4299999997</v>
      </c>
      <c r="M61" s="31"/>
      <c r="N61" s="31">
        <v>2682572.5699999998</v>
      </c>
      <c r="O61" s="19">
        <f t="shared" si="28"/>
        <v>8602414</v>
      </c>
      <c r="P61" s="37">
        <f>O61/K61</f>
        <v>0.43332627444785543</v>
      </c>
    </row>
    <row r="62" spans="1:16" s="20" customFormat="1" x14ac:dyDescent="0.3">
      <c r="A62" s="20">
        <v>181</v>
      </c>
      <c r="B62" s="7"/>
      <c r="C62" s="8"/>
      <c r="D62" s="21"/>
      <c r="E62" s="24" t="s">
        <v>65</v>
      </c>
      <c r="F62" s="31">
        <v>647042055</v>
      </c>
      <c r="G62" s="31">
        <v>0</v>
      </c>
      <c r="H62" s="31">
        <v>13267910</v>
      </c>
      <c r="I62" s="31">
        <v>17076149</v>
      </c>
      <c r="J62" s="31">
        <v>75135216</v>
      </c>
      <c r="K62" s="33">
        <f t="shared" si="27"/>
        <v>752521330</v>
      </c>
      <c r="L62" s="31">
        <v>349162483.74000001</v>
      </c>
      <c r="M62" s="31"/>
      <c r="N62" s="31">
        <v>153260230.94</v>
      </c>
      <c r="O62" s="19">
        <f t="shared" si="28"/>
        <v>502422714.68000001</v>
      </c>
      <c r="P62" s="37">
        <f>O62/K62</f>
        <v>0.66765245668185913</v>
      </c>
    </row>
    <row r="63" spans="1:16" s="20" customFormat="1" x14ac:dyDescent="0.3">
      <c r="A63" s="20">
        <v>134</v>
      </c>
      <c r="B63" s="7"/>
      <c r="C63" s="8"/>
      <c r="D63" s="21"/>
      <c r="E63" s="24" t="s">
        <v>66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3">
        <f t="shared" si="27"/>
        <v>0</v>
      </c>
      <c r="L63" s="31">
        <v>0</v>
      </c>
      <c r="M63" s="31"/>
      <c r="N63" s="31">
        <v>0</v>
      </c>
      <c r="O63" s="19">
        <f t="shared" si="28"/>
        <v>0</v>
      </c>
      <c r="P63" s="37">
        <v>0</v>
      </c>
    </row>
    <row r="64" spans="1:16" s="20" customFormat="1" x14ac:dyDescent="0.3">
      <c r="A64" s="20">
        <v>132</v>
      </c>
      <c r="B64" s="7"/>
      <c r="C64" s="8"/>
      <c r="D64" s="21"/>
      <c r="E64" s="24" t="s">
        <v>67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3">
        <f t="shared" si="27"/>
        <v>0</v>
      </c>
      <c r="L64" s="31">
        <v>0</v>
      </c>
      <c r="M64" s="31"/>
      <c r="N64" s="31">
        <v>0</v>
      </c>
      <c r="O64" s="19">
        <f t="shared" si="28"/>
        <v>0</v>
      </c>
      <c r="P64" s="37">
        <v>0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3">
        <f t="shared" si="27"/>
        <v>0</v>
      </c>
      <c r="L65" s="31">
        <v>0</v>
      </c>
      <c r="M65" s="31"/>
      <c r="N65" s="31">
        <v>0</v>
      </c>
      <c r="O65" s="19">
        <f t="shared" si="28"/>
        <v>0</v>
      </c>
      <c r="P65" s="37">
        <v>0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3">
        <f t="shared" si="27"/>
        <v>0</v>
      </c>
      <c r="L66" s="31">
        <v>0</v>
      </c>
      <c r="M66" s="31"/>
      <c r="N66" s="31">
        <v>0</v>
      </c>
      <c r="O66" s="19">
        <f t="shared" si="28"/>
        <v>0</v>
      </c>
      <c r="P66" s="37">
        <v>0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3">
        <f t="shared" si="27"/>
        <v>0</v>
      </c>
      <c r="L67" s="31">
        <v>0</v>
      </c>
      <c r="M67" s="31"/>
      <c r="N67" s="31">
        <v>0</v>
      </c>
      <c r="O67" s="19">
        <f t="shared" si="28"/>
        <v>0</v>
      </c>
      <c r="P67" s="37">
        <v>0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3">
        <f t="shared" si="27"/>
        <v>0</v>
      </c>
      <c r="L68" s="31">
        <v>0</v>
      </c>
      <c r="M68" s="31"/>
      <c r="N68" s="31">
        <v>0</v>
      </c>
      <c r="O68" s="19">
        <f t="shared" si="28"/>
        <v>0</v>
      </c>
      <c r="P68" s="37">
        <v>0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3">
        <f t="shared" si="27"/>
        <v>0</v>
      </c>
      <c r="L69" s="31">
        <v>0</v>
      </c>
      <c r="M69" s="31"/>
      <c r="N69" s="31">
        <v>0</v>
      </c>
      <c r="O69" s="19">
        <f t="shared" si="28"/>
        <v>0</v>
      </c>
      <c r="P69" s="37">
        <v>0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1">
        <v>88305142</v>
      </c>
      <c r="G70" s="31">
        <v>0</v>
      </c>
      <c r="H70" s="31">
        <v>1810740</v>
      </c>
      <c r="I70" s="31">
        <v>2330470</v>
      </c>
      <c r="J70" s="31">
        <v>10254088</v>
      </c>
      <c r="K70" s="33">
        <f t="shared" si="27"/>
        <v>102700440</v>
      </c>
      <c r="L70" s="31">
        <v>24986708.629999999</v>
      </c>
      <c r="M70" s="31"/>
      <c r="N70" s="31">
        <v>10373966.719999999</v>
      </c>
      <c r="O70" s="19">
        <f t="shared" si="28"/>
        <v>35360675.349999994</v>
      </c>
      <c r="P70" s="37">
        <f>O70/K70</f>
        <v>0.34430889828709588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1">
        <v>8323041</v>
      </c>
      <c r="G71" s="31">
        <v>0</v>
      </c>
      <c r="H71" s="31">
        <v>170668</v>
      </c>
      <c r="I71" s="31">
        <v>219654</v>
      </c>
      <c r="J71" s="31">
        <v>966480</v>
      </c>
      <c r="K71" s="33">
        <f t="shared" si="27"/>
        <v>9679843</v>
      </c>
      <c r="L71" s="31">
        <v>8855705.6899999995</v>
      </c>
      <c r="M71" s="31"/>
      <c r="N71" s="31">
        <v>3613678.3099999996</v>
      </c>
      <c r="O71" s="19">
        <f t="shared" si="28"/>
        <v>12469384</v>
      </c>
      <c r="P71" s="37">
        <f>O71/K71</f>
        <v>1.2881803971407388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1">
        <v>46865884</v>
      </c>
      <c r="G72" s="31">
        <v>0</v>
      </c>
      <c r="H72" s="31">
        <v>961008</v>
      </c>
      <c r="I72" s="31">
        <v>1236842</v>
      </c>
      <c r="J72" s="31">
        <v>5442117</v>
      </c>
      <c r="K72" s="33">
        <f t="shared" si="27"/>
        <v>54505851</v>
      </c>
      <c r="L72" s="31">
        <v>40202020</v>
      </c>
      <c r="M72" s="31"/>
      <c r="N72" s="31">
        <v>16697979.999999998</v>
      </c>
      <c r="O72" s="19">
        <f t="shared" si="28"/>
        <v>56900000</v>
      </c>
      <c r="P72" s="37">
        <f>O72/K72</f>
        <v>1.043924623798645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3">
        <f t="shared" si="27"/>
        <v>0</v>
      </c>
      <c r="L73" s="31">
        <v>0</v>
      </c>
      <c r="M73" s="31"/>
      <c r="N73" s="31">
        <v>0</v>
      </c>
      <c r="O73" s="19">
        <f t="shared" si="28"/>
        <v>0</v>
      </c>
      <c r="P73" s="37">
        <v>0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3">
        <f t="shared" si="27"/>
        <v>0</v>
      </c>
      <c r="L74" s="31">
        <v>0</v>
      </c>
      <c r="M74" s="31"/>
      <c r="N74" s="31">
        <v>0</v>
      </c>
      <c r="O74" s="19">
        <f t="shared" si="28"/>
        <v>0</v>
      </c>
      <c r="P74" s="37">
        <v>0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3">
        <f t="shared" si="27"/>
        <v>0</v>
      </c>
      <c r="L75" s="31">
        <v>0</v>
      </c>
      <c r="M75" s="31"/>
      <c r="N75" s="31">
        <v>0</v>
      </c>
      <c r="O75" s="19">
        <f t="shared" si="28"/>
        <v>0</v>
      </c>
      <c r="P75" s="37">
        <v>0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1">
        <v>44093868</v>
      </c>
      <c r="G76" s="31">
        <v>0</v>
      </c>
      <c r="H76" s="31">
        <v>904166</v>
      </c>
      <c r="I76" s="31">
        <v>1163686</v>
      </c>
      <c r="J76" s="31">
        <v>5120227</v>
      </c>
      <c r="K76" s="33">
        <f t="shared" si="27"/>
        <v>51281947</v>
      </c>
      <c r="L76" s="31">
        <v>20208444.370000001</v>
      </c>
      <c r="M76" s="31"/>
      <c r="N76" s="31">
        <v>9092468.6300000008</v>
      </c>
      <c r="O76" s="19">
        <f t="shared" si="28"/>
        <v>29300913</v>
      </c>
      <c r="P76" s="37">
        <f>O76/K76</f>
        <v>0.57136896537879112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1">
        <v>47472760</v>
      </c>
      <c r="G77" s="31">
        <v>0</v>
      </c>
      <c r="H77" s="31">
        <v>973452</v>
      </c>
      <c r="I77" s="31">
        <v>1252858</v>
      </c>
      <c r="J77" s="31">
        <v>5512588</v>
      </c>
      <c r="K77" s="33">
        <f t="shared" si="27"/>
        <v>55211658</v>
      </c>
      <c r="L77" s="31">
        <v>15892719.060000001</v>
      </c>
      <c r="M77" s="31"/>
      <c r="N77" s="31">
        <v>7013154.9699999997</v>
      </c>
      <c r="O77" s="19">
        <f t="shared" si="28"/>
        <v>22905874.030000001</v>
      </c>
      <c r="P77" s="37">
        <f>O77/K77</f>
        <v>0.41487386649392055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1">
        <v>8594985</v>
      </c>
      <c r="G78" s="31">
        <v>0</v>
      </c>
      <c r="H78" s="31">
        <v>176244</v>
      </c>
      <c r="I78" s="31">
        <v>226831</v>
      </c>
      <c r="J78" s="31">
        <v>998059</v>
      </c>
      <c r="K78" s="33">
        <f t="shared" si="27"/>
        <v>9996119</v>
      </c>
      <c r="L78" s="31">
        <v>2266571.77</v>
      </c>
      <c r="M78" s="31"/>
      <c r="N78" s="31">
        <v>957633.25</v>
      </c>
      <c r="O78" s="19">
        <f t="shared" si="28"/>
        <v>3224205.02</v>
      </c>
      <c r="P78" s="37">
        <f>O78/K78</f>
        <v>0.3225456819791761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1">
        <v>25765958</v>
      </c>
      <c r="G79" s="31">
        <v>0</v>
      </c>
      <c r="H79" s="31">
        <v>528343</v>
      </c>
      <c r="I79" s="31">
        <v>679992</v>
      </c>
      <c r="J79" s="31">
        <v>2991971</v>
      </c>
      <c r="K79" s="33">
        <f t="shared" si="27"/>
        <v>29966264</v>
      </c>
      <c r="L79" s="31">
        <v>25241021.670000002</v>
      </c>
      <c r="M79" s="31"/>
      <c r="N79" s="31">
        <v>11269016.33</v>
      </c>
      <c r="O79" s="19">
        <f t="shared" si="28"/>
        <v>36510038</v>
      </c>
      <c r="P79" s="37">
        <f>O79/K79</f>
        <v>1.2183713658799775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1">
        <v>140735718</v>
      </c>
      <c r="G80" s="31">
        <v>0</v>
      </c>
      <c r="H80" s="31">
        <v>2885854</v>
      </c>
      <c r="I80" s="31">
        <v>3714170</v>
      </c>
      <c r="J80" s="31">
        <v>16342382</v>
      </c>
      <c r="K80" s="33">
        <f t="shared" si="27"/>
        <v>163678124</v>
      </c>
      <c r="L80" s="31">
        <v>37904003.68</v>
      </c>
      <c r="M80" s="31"/>
      <c r="N80" s="31">
        <v>15667995.32</v>
      </c>
      <c r="O80" s="19">
        <f t="shared" si="28"/>
        <v>53571999</v>
      </c>
      <c r="P80" s="37">
        <f>O80/K80</f>
        <v>0.32730091041366038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3">
        <f t="shared" si="27"/>
        <v>0</v>
      </c>
      <c r="L81" s="31">
        <v>0</v>
      </c>
      <c r="M81" s="31"/>
      <c r="N81" s="31">
        <v>0</v>
      </c>
      <c r="O81" s="19">
        <f t="shared" si="28"/>
        <v>0</v>
      </c>
      <c r="P81" s="37">
        <v>0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3">
        <f t="shared" si="27"/>
        <v>0</v>
      </c>
      <c r="L82" s="31">
        <v>0</v>
      </c>
      <c r="M82" s="31"/>
      <c r="N82" s="31">
        <v>0</v>
      </c>
      <c r="O82" s="19">
        <f t="shared" si="28"/>
        <v>0</v>
      </c>
      <c r="P82" s="37">
        <v>0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3">
        <f t="shared" si="27"/>
        <v>0</v>
      </c>
      <c r="L83" s="31">
        <v>0</v>
      </c>
      <c r="M83" s="31"/>
      <c r="N83" s="31">
        <v>0</v>
      </c>
      <c r="O83" s="19">
        <f t="shared" si="28"/>
        <v>0</v>
      </c>
      <c r="P83" s="37">
        <v>0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3">
        <f t="shared" si="27"/>
        <v>0</v>
      </c>
      <c r="L84" s="31">
        <v>0</v>
      </c>
      <c r="M84" s="31"/>
      <c r="N84" s="31">
        <v>0</v>
      </c>
      <c r="O84" s="19">
        <f t="shared" si="28"/>
        <v>0</v>
      </c>
      <c r="P84" s="37">
        <v>0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3">
        <f t="shared" si="27"/>
        <v>0</v>
      </c>
      <c r="L85" s="31">
        <v>0</v>
      </c>
      <c r="M85" s="31"/>
      <c r="N85" s="31">
        <v>0</v>
      </c>
      <c r="O85" s="19">
        <f t="shared" si="28"/>
        <v>0</v>
      </c>
      <c r="P85" s="37">
        <v>0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1">
        <v>71636919</v>
      </c>
      <c r="G86" s="61">
        <v>0</v>
      </c>
      <c r="H86" s="61">
        <v>1468950</v>
      </c>
      <c r="I86" s="61">
        <v>1890577</v>
      </c>
      <c r="J86" s="61">
        <v>8318556</v>
      </c>
      <c r="K86" s="64">
        <f t="shared" si="27"/>
        <v>83315002</v>
      </c>
      <c r="L86" s="61">
        <v>61194034.189999998</v>
      </c>
      <c r="M86" s="61"/>
      <c r="N86" s="61">
        <v>25982905.82</v>
      </c>
      <c r="O86" s="62">
        <f t="shared" si="28"/>
        <v>87176940.00999999</v>
      </c>
      <c r="P86" s="65">
        <v>0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1">
        <v>4048690</v>
      </c>
      <c r="G87" s="31">
        <v>0</v>
      </c>
      <c r="H87" s="31">
        <v>83020</v>
      </c>
      <c r="I87" s="31">
        <v>106849</v>
      </c>
      <c r="J87" s="31">
        <v>470138</v>
      </c>
      <c r="K87" s="33">
        <f t="shared" si="27"/>
        <v>4708697</v>
      </c>
      <c r="L87" s="31">
        <v>2777286.6</v>
      </c>
      <c r="M87" s="31"/>
      <c r="N87" s="31">
        <v>1009549.3999999999</v>
      </c>
      <c r="O87" s="19">
        <f t="shared" si="28"/>
        <v>3786836</v>
      </c>
      <c r="P87" s="37">
        <f>O87/K87</f>
        <v>0.80422163498734367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1">
        <v>43463197</v>
      </c>
      <c r="G88" s="31">
        <v>0</v>
      </c>
      <c r="H88" s="31">
        <v>891234</v>
      </c>
      <c r="I88" s="31">
        <v>1147041</v>
      </c>
      <c r="J88" s="31">
        <v>5046993</v>
      </c>
      <c r="K88" s="33">
        <f t="shared" si="27"/>
        <v>50548465</v>
      </c>
      <c r="L88" s="31">
        <v>31710346.649999999</v>
      </c>
      <c r="M88" s="31"/>
      <c r="N88" s="31">
        <v>13970182.349999998</v>
      </c>
      <c r="O88" s="19">
        <f t="shared" si="28"/>
        <v>45680529</v>
      </c>
      <c r="P88" s="37">
        <f>O88/K88</f>
        <v>0.90369764937471397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  <c r="K89" s="33">
        <f t="shared" si="27"/>
        <v>0</v>
      </c>
      <c r="L89" s="31">
        <v>12169453.23</v>
      </c>
      <c r="M89" s="31"/>
      <c r="N89" s="31">
        <v>4712423.7699999986</v>
      </c>
      <c r="O89" s="19">
        <f t="shared" si="28"/>
        <v>16881877</v>
      </c>
      <c r="P89" s="37" t="e">
        <f>O89/K89</f>
        <v>#DIV/0!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1">
        <v>6463194</v>
      </c>
      <c r="G90" s="31">
        <v>0</v>
      </c>
      <c r="H90" s="31">
        <v>132531</v>
      </c>
      <c r="I90" s="31">
        <v>170571</v>
      </c>
      <c r="J90" s="31">
        <v>750513</v>
      </c>
      <c r="K90" s="33">
        <f t="shared" si="27"/>
        <v>7516809</v>
      </c>
      <c r="L90" s="31">
        <v>5423522.8700000001</v>
      </c>
      <c r="M90" s="31"/>
      <c r="N90" s="31">
        <v>1268177.1299999997</v>
      </c>
      <c r="O90" s="19">
        <f t="shared" si="28"/>
        <v>6691700</v>
      </c>
      <c r="P90" s="37">
        <f>O90/K90</f>
        <v>0.89023147987397311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3">
        <f t="shared" si="27"/>
        <v>0</v>
      </c>
      <c r="L91" s="31">
        <v>0</v>
      </c>
      <c r="M91" s="31"/>
      <c r="N91" s="31">
        <v>0</v>
      </c>
      <c r="O91" s="19">
        <f t="shared" si="28"/>
        <v>0</v>
      </c>
      <c r="P91" s="37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1">
        <v>0</v>
      </c>
      <c r="G92" s="31">
        <v>0</v>
      </c>
      <c r="H92" s="31">
        <v>0</v>
      </c>
      <c r="I92" s="31">
        <v>0</v>
      </c>
      <c r="J92" s="31">
        <v>0</v>
      </c>
      <c r="K92" s="33">
        <f t="shared" si="27"/>
        <v>0</v>
      </c>
      <c r="L92" s="31">
        <v>0</v>
      </c>
      <c r="M92" s="31"/>
      <c r="N92" s="31">
        <v>0</v>
      </c>
      <c r="O92" s="19">
        <f t="shared" si="28"/>
        <v>0</v>
      </c>
      <c r="P92" s="37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  <c r="K93" s="33">
        <f t="shared" si="27"/>
        <v>0</v>
      </c>
      <c r="L93" s="31">
        <v>0</v>
      </c>
      <c r="M93" s="31"/>
      <c r="N93" s="31">
        <v>0</v>
      </c>
      <c r="O93" s="19">
        <f t="shared" si="28"/>
        <v>0</v>
      </c>
      <c r="P93" s="37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3">
        <f t="shared" si="27"/>
        <v>0</v>
      </c>
      <c r="L94" s="31">
        <v>0</v>
      </c>
      <c r="M94" s="31"/>
      <c r="N94" s="31">
        <v>0</v>
      </c>
      <c r="O94" s="19">
        <f t="shared" si="28"/>
        <v>0</v>
      </c>
      <c r="P94" s="37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3">
        <f t="shared" si="27"/>
        <v>0</v>
      </c>
      <c r="L95" s="31">
        <v>0</v>
      </c>
      <c r="M95" s="31"/>
      <c r="N95" s="31">
        <v>0</v>
      </c>
      <c r="O95" s="19">
        <f t="shared" si="28"/>
        <v>0</v>
      </c>
      <c r="P95" s="37"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3">
        <f t="shared" si="27"/>
        <v>0</v>
      </c>
      <c r="L96" s="31">
        <v>0</v>
      </c>
      <c r="M96" s="31"/>
      <c r="N96" s="31">
        <v>0</v>
      </c>
      <c r="O96" s="19">
        <f t="shared" si="28"/>
        <v>0</v>
      </c>
      <c r="P96" s="37">
        <v>0</v>
      </c>
    </row>
    <row r="97" spans="1:16" s="20" customFormat="1" x14ac:dyDescent="0.3">
      <c r="A97" s="20">
        <v>214</v>
      </c>
      <c r="B97" s="7"/>
      <c r="C97" s="8"/>
      <c r="D97" s="21"/>
      <c r="E97" s="24" t="s">
        <v>100</v>
      </c>
      <c r="F97" s="31">
        <v>125008360</v>
      </c>
      <c r="G97" s="31">
        <v>0</v>
      </c>
      <c r="H97" s="31">
        <v>2563357</v>
      </c>
      <c r="I97" s="31">
        <v>3299108</v>
      </c>
      <c r="J97" s="31">
        <v>14516105</v>
      </c>
      <c r="K97" s="33">
        <f t="shared" si="27"/>
        <v>145386930</v>
      </c>
      <c r="L97" s="31">
        <v>77187144.569999993</v>
      </c>
      <c r="M97" s="31"/>
      <c r="N97" s="31">
        <v>38523237.579999998</v>
      </c>
      <c r="O97" s="19">
        <f t="shared" si="28"/>
        <v>115710382.14999999</v>
      </c>
      <c r="P97" s="37">
        <f>O97/K97</f>
        <v>0.79587884653730556</v>
      </c>
    </row>
    <row r="98" spans="1:16" s="20" customFormat="1" x14ac:dyDescent="0.3">
      <c r="A98" s="20">
        <v>215</v>
      </c>
      <c r="B98" s="7"/>
      <c r="C98" s="8"/>
      <c r="D98" s="21"/>
      <c r="E98" s="24" t="s">
        <v>101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3">
        <f t="shared" si="27"/>
        <v>0</v>
      </c>
      <c r="L98" s="31">
        <v>0</v>
      </c>
      <c r="M98" s="31"/>
      <c r="N98" s="31">
        <v>0</v>
      </c>
      <c r="O98" s="19">
        <f t="shared" si="28"/>
        <v>0</v>
      </c>
      <c r="P98" s="37">
        <v>0</v>
      </c>
    </row>
    <row r="99" spans="1:16" s="20" customFormat="1" x14ac:dyDescent="0.3">
      <c r="A99" s="20">
        <v>216</v>
      </c>
      <c r="B99" s="7"/>
      <c r="C99" s="8"/>
      <c r="D99" s="21"/>
      <c r="E99" s="24" t="s">
        <v>102</v>
      </c>
      <c r="F99" s="31">
        <v>60618036</v>
      </c>
      <c r="G99" s="31">
        <v>0</v>
      </c>
      <c r="H99" s="31">
        <v>1243002</v>
      </c>
      <c r="I99" s="31">
        <v>1599776</v>
      </c>
      <c r="J99" s="31">
        <v>7039031</v>
      </c>
      <c r="K99" s="33">
        <f t="shared" si="27"/>
        <v>70499845</v>
      </c>
      <c r="L99" s="31">
        <v>27281751.32</v>
      </c>
      <c r="M99" s="31"/>
      <c r="N99" s="31">
        <v>12032118.68</v>
      </c>
      <c r="O99" s="19">
        <f t="shared" si="28"/>
        <v>39313870</v>
      </c>
      <c r="P99" s="37">
        <f>O99/K99</f>
        <v>0.55764477212680397</v>
      </c>
    </row>
    <row r="100" spans="1:16" s="20" customFormat="1" x14ac:dyDescent="0.3">
      <c r="A100" s="20">
        <v>210</v>
      </c>
      <c r="B100" s="7"/>
      <c r="C100" s="8"/>
      <c r="D100" s="21"/>
      <c r="E100" s="24" t="s">
        <v>103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3">
        <f t="shared" si="27"/>
        <v>0</v>
      </c>
      <c r="L100" s="31">
        <v>0</v>
      </c>
      <c r="M100" s="31"/>
      <c r="N100" s="31">
        <v>0</v>
      </c>
      <c r="O100" s="19">
        <f t="shared" si="28"/>
        <v>0</v>
      </c>
      <c r="P100" s="37">
        <v>0</v>
      </c>
    </row>
    <row r="101" spans="1:16" s="20" customFormat="1" x14ac:dyDescent="0.3">
      <c r="A101" s="20">
        <v>217</v>
      </c>
      <c r="B101" s="7"/>
      <c r="C101" s="8"/>
      <c r="D101" s="21"/>
      <c r="E101" s="24" t="s">
        <v>104</v>
      </c>
      <c r="F101" s="31">
        <v>118481720</v>
      </c>
      <c r="G101" s="31">
        <v>0</v>
      </c>
      <c r="H101" s="31">
        <v>2429525</v>
      </c>
      <c r="I101" s="31">
        <v>3126862</v>
      </c>
      <c r="J101" s="31">
        <v>13758224</v>
      </c>
      <c r="K101" s="33">
        <f t="shared" si="27"/>
        <v>137796331</v>
      </c>
      <c r="L101" s="31">
        <v>92315551.840000004</v>
      </c>
      <c r="M101" s="31"/>
      <c r="N101" s="31">
        <v>39288882.159999996</v>
      </c>
      <c r="O101" s="19">
        <f t="shared" si="28"/>
        <v>131604434</v>
      </c>
      <c r="P101" s="37">
        <f>O101/K101</f>
        <v>0.95506486308405414</v>
      </c>
    </row>
    <row r="102" spans="1:16" s="20" customFormat="1" x14ac:dyDescent="0.3">
      <c r="A102" s="20">
        <v>218</v>
      </c>
      <c r="B102" s="7"/>
      <c r="C102" s="8"/>
      <c r="D102" s="21"/>
      <c r="E102" s="24" t="s">
        <v>105</v>
      </c>
      <c r="F102" s="31">
        <v>21347985</v>
      </c>
      <c r="G102" s="31">
        <v>0</v>
      </c>
      <c r="H102" s="31">
        <v>437751</v>
      </c>
      <c r="I102" s="31">
        <v>563397</v>
      </c>
      <c r="J102" s="31">
        <v>2478951</v>
      </c>
      <c r="K102" s="33">
        <f t="shared" si="27"/>
        <v>24828084</v>
      </c>
      <c r="L102" s="31">
        <v>0</v>
      </c>
      <c r="M102" s="31"/>
      <c r="N102" s="31">
        <v>0</v>
      </c>
      <c r="O102" s="19">
        <f t="shared" si="28"/>
        <v>0</v>
      </c>
      <c r="P102" s="37">
        <f>O102/K102</f>
        <v>0</v>
      </c>
    </row>
    <row r="103" spans="1:16" s="20" customFormat="1" x14ac:dyDescent="0.3">
      <c r="A103" s="20">
        <v>219</v>
      </c>
      <c r="B103" s="7"/>
      <c r="C103" s="8"/>
      <c r="D103" s="21"/>
      <c r="E103" s="24" t="s">
        <v>106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3">
        <f t="shared" si="27"/>
        <v>0</v>
      </c>
      <c r="L103" s="31">
        <v>0</v>
      </c>
      <c r="M103" s="31"/>
      <c r="N103" s="31">
        <v>0</v>
      </c>
      <c r="O103" s="19">
        <f t="shared" si="28"/>
        <v>0</v>
      </c>
      <c r="P103" s="37">
        <v>0</v>
      </c>
    </row>
    <row r="104" spans="1:16" s="20" customFormat="1" x14ac:dyDescent="0.3">
      <c r="A104" s="20">
        <v>220</v>
      </c>
      <c r="B104" s="7"/>
      <c r="C104" s="8"/>
      <c r="D104" s="21"/>
      <c r="E104" s="24" t="s">
        <v>107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3">
        <f t="shared" si="27"/>
        <v>0</v>
      </c>
      <c r="L104" s="31">
        <v>0</v>
      </c>
      <c r="M104" s="31"/>
      <c r="N104" s="31">
        <v>0</v>
      </c>
      <c r="O104" s="19">
        <f t="shared" si="28"/>
        <v>0</v>
      </c>
      <c r="P104" s="37">
        <v>0</v>
      </c>
    </row>
    <row r="105" spans="1:16" s="20" customFormat="1" x14ac:dyDescent="0.3">
      <c r="A105" s="20">
        <v>0</v>
      </c>
      <c r="B105" s="7"/>
      <c r="C105" s="8"/>
      <c r="D105" s="21"/>
      <c r="E105" s="24" t="s">
        <v>108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3">
        <f t="shared" si="27"/>
        <v>0</v>
      </c>
      <c r="L105" s="31">
        <v>0</v>
      </c>
      <c r="M105" s="31"/>
      <c r="N105" s="31">
        <v>0</v>
      </c>
      <c r="O105" s="19">
        <f t="shared" si="28"/>
        <v>0</v>
      </c>
      <c r="P105" s="37">
        <v>0</v>
      </c>
    </row>
    <row r="106" spans="1:16" s="20" customFormat="1" x14ac:dyDescent="0.3">
      <c r="A106" s="20">
        <v>225</v>
      </c>
      <c r="B106" s="7"/>
      <c r="C106" s="8"/>
      <c r="D106" s="21"/>
      <c r="E106" s="24" t="s">
        <v>109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3">
        <f t="shared" si="27"/>
        <v>0</v>
      </c>
      <c r="L106" s="31">
        <v>0</v>
      </c>
      <c r="M106" s="31"/>
      <c r="N106" s="31">
        <v>0</v>
      </c>
      <c r="O106" s="19">
        <f t="shared" si="28"/>
        <v>0</v>
      </c>
      <c r="P106" s="37">
        <v>0</v>
      </c>
    </row>
    <row r="107" spans="1:16" s="20" customFormat="1" x14ac:dyDescent="0.3">
      <c r="A107" s="20">
        <v>229</v>
      </c>
      <c r="B107" s="7"/>
      <c r="C107" s="8"/>
      <c r="D107" s="21"/>
      <c r="E107" s="24" t="s">
        <v>110</v>
      </c>
      <c r="F107" s="31">
        <v>0</v>
      </c>
      <c r="G107" s="31">
        <v>0</v>
      </c>
      <c r="H107" s="31">
        <v>0</v>
      </c>
      <c r="I107" s="31">
        <v>0</v>
      </c>
      <c r="J107" s="31">
        <v>0</v>
      </c>
      <c r="K107" s="33">
        <f t="shared" si="27"/>
        <v>0</v>
      </c>
      <c r="L107" s="31">
        <v>0</v>
      </c>
      <c r="M107" s="31"/>
      <c r="N107" s="31">
        <v>0</v>
      </c>
      <c r="O107" s="19">
        <f t="shared" si="28"/>
        <v>0</v>
      </c>
      <c r="P107" s="37">
        <v>0</v>
      </c>
    </row>
    <row r="108" spans="1:16" s="20" customFormat="1" x14ac:dyDescent="0.3">
      <c r="A108" s="20">
        <v>230</v>
      </c>
      <c r="B108" s="7"/>
      <c r="C108" s="8"/>
      <c r="D108" s="21"/>
      <c r="E108" s="24" t="s">
        <v>111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3">
        <f t="shared" si="27"/>
        <v>0</v>
      </c>
      <c r="L108" s="31">
        <v>0</v>
      </c>
      <c r="M108" s="31"/>
      <c r="N108" s="31">
        <v>0</v>
      </c>
      <c r="O108" s="19">
        <f t="shared" si="28"/>
        <v>0</v>
      </c>
      <c r="P108" s="37">
        <v>0</v>
      </c>
    </row>
    <row r="109" spans="1:16" s="20" customFormat="1" x14ac:dyDescent="0.3">
      <c r="A109" s="20">
        <v>231</v>
      </c>
      <c r="B109" s="7"/>
      <c r="C109" s="8"/>
      <c r="D109" s="21"/>
      <c r="E109" s="24" t="s">
        <v>112</v>
      </c>
      <c r="F109" s="31">
        <v>42297628</v>
      </c>
      <c r="G109" s="31">
        <v>0</v>
      </c>
      <c r="H109" s="31">
        <v>867333</v>
      </c>
      <c r="I109" s="31">
        <v>1116281</v>
      </c>
      <c r="J109" s="31">
        <v>4911646</v>
      </c>
      <c r="K109" s="33">
        <f t="shared" si="27"/>
        <v>49192888</v>
      </c>
      <c r="L109" s="31">
        <v>19164976.190000001</v>
      </c>
      <c r="M109" s="31"/>
      <c r="N109" s="31">
        <v>7529153.8099999987</v>
      </c>
      <c r="O109" s="19">
        <f t="shared" si="28"/>
        <v>26694130</v>
      </c>
      <c r="P109" s="37">
        <f t="shared" ref="P109:P115" si="29">O109/K109</f>
        <v>0.54264205833981527</v>
      </c>
    </row>
    <row r="110" spans="1:16" s="20" customFormat="1" x14ac:dyDescent="0.3">
      <c r="A110" s="20">
        <v>255</v>
      </c>
      <c r="B110" s="7"/>
      <c r="C110" s="8"/>
      <c r="D110" s="21"/>
      <c r="E110" s="24" t="s">
        <v>113</v>
      </c>
      <c r="F110" s="31">
        <v>443098695</v>
      </c>
      <c r="G110" s="31">
        <v>0</v>
      </c>
      <c r="H110" s="31">
        <v>9085953</v>
      </c>
      <c r="I110" s="31">
        <v>11693860</v>
      </c>
      <c r="J110" s="31">
        <v>51453095</v>
      </c>
      <c r="K110" s="33">
        <f t="shared" si="27"/>
        <v>515331603</v>
      </c>
      <c r="L110" s="31">
        <v>240408487.09</v>
      </c>
      <c r="M110" s="31"/>
      <c r="N110" s="31">
        <v>130819763.58</v>
      </c>
      <c r="O110" s="19">
        <f t="shared" si="28"/>
        <v>371228250.67000002</v>
      </c>
      <c r="P110" s="37">
        <f t="shared" si="29"/>
        <v>0.72036771761890184</v>
      </c>
    </row>
    <row r="111" spans="1:16" s="20" customFormat="1" x14ac:dyDescent="0.3">
      <c r="A111" s="20">
        <v>200</v>
      </c>
      <c r="B111" s="7"/>
      <c r="C111" s="8"/>
      <c r="D111" s="21"/>
      <c r="E111" s="24" t="s">
        <v>114</v>
      </c>
      <c r="F111" s="31">
        <v>12704921</v>
      </c>
      <c r="G111" s="31">
        <v>0</v>
      </c>
      <c r="H111" s="31">
        <v>260521</v>
      </c>
      <c r="I111" s="31">
        <v>335297</v>
      </c>
      <c r="J111" s="31">
        <v>1475309</v>
      </c>
      <c r="K111" s="33">
        <f t="shared" si="27"/>
        <v>14776048</v>
      </c>
      <c r="L111" s="31">
        <v>9157496.4399999995</v>
      </c>
      <c r="M111" s="31"/>
      <c r="N111" s="31">
        <v>4013313.7299999995</v>
      </c>
      <c r="O111" s="19">
        <f t="shared" si="28"/>
        <v>13170810.169999998</v>
      </c>
      <c r="P111" s="37">
        <f t="shared" si="29"/>
        <v>0.8913621673400085</v>
      </c>
    </row>
    <row r="112" spans="1:16" s="20" customFormat="1" x14ac:dyDescent="0.3">
      <c r="A112" s="20">
        <v>201</v>
      </c>
      <c r="B112" s="7"/>
      <c r="C112" s="8"/>
      <c r="D112" s="21"/>
      <c r="E112" s="24" t="s">
        <v>115</v>
      </c>
      <c r="F112" s="31">
        <v>3286503</v>
      </c>
      <c r="G112" s="31">
        <v>0</v>
      </c>
      <c r="H112" s="31">
        <v>67391</v>
      </c>
      <c r="I112" s="31">
        <v>86734</v>
      </c>
      <c r="J112" s="31">
        <v>381632</v>
      </c>
      <c r="K112" s="33">
        <f t="shared" si="27"/>
        <v>3822260</v>
      </c>
      <c r="L112" s="31">
        <v>0</v>
      </c>
      <c r="M112" s="31"/>
      <c r="N112" s="31">
        <v>0</v>
      </c>
      <c r="O112" s="19">
        <f t="shared" si="28"/>
        <v>0</v>
      </c>
      <c r="P112" s="37">
        <f t="shared" si="29"/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1">
        <v>5376362</v>
      </c>
      <c r="G113" s="31">
        <v>0</v>
      </c>
      <c r="H113" s="31">
        <v>110245</v>
      </c>
      <c r="I113" s="31">
        <v>141888</v>
      </c>
      <c r="J113" s="31">
        <v>624309</v>
      </c>
      <c r="K113" s="33">
        <f t="shared" si="27"/>
        <v>6252804</v>
      </c>
      <c r="L113" s="31">
        <v>0</v>
      </c>
      <c r="M113" s="31"/>
      <c r="N113" s="31">
        <v>0</v>
      </c>
      <c r="O113" s="19">
        <f t="shared" si="28"/>
        <v>0</v>
      </c>
      <c r="P113" s="37">
        <f t="shared" si="29"/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1">
        <v>1356265</v>
      </c>
      <c r="G114" s="31">
        <v>0</v>
      </c>
      <c r="H114" s="31">
        <v>27811</v>
      </c>
      <c r="I114" s="31">
        <v>35793</v>
      </c>
      <c r="J114" s="31">
        <v>157491</v>
      </c>
      <c r="K114" s="33">
        <f t="shared" si="27"/>
        <v>1577360</v>
      </c>
      <c r="L114" s="31">
        <v>0</v>
      </c>
      <c r="M114" s="31"/>
      <c r="N114" s="31">
        <v>0</v>
      </c>
      <c r="O114" s="19">
        <f t="shared" si="28"/>
        <v>0</v>
      </c>
      <c r="P114" s="37">
        <f t="shared" si="29"/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1">
        <v>699271</v>
      </c>
      <c r="G115" s="31">
        <v>0</v>
      </c>
      <c r="H115" s="31">
        <v>14339</v>
      </c>
      <c r="I115" s="31">
        <v>18455</v>
      </c>
      <c r="J115" s="31">
        <v>81200</v>
      </c>
      <c r="K115" s="33">
        <f t="shared" si="27"/>
        <v>813265</v>
      </c>
      <c r="L115" s="31">
        <v>0</v>
      </c>
      <c r="M115" s="31"/>
      <c r="N115" s="31">
        <v>0</v>
      </c>
      <c r="O115" s="19">
        <f t="shared" si="28"/>
        <v>0</v>
      </c>
      <c r="P115" s="37">
        <f t="shared" si="29"/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3">
        <f t="shared" si="27"/>
        <v>0</v>
      </c>
      <c r="L116" s="31">
        <v>0</v>
      </c>
      <c r="M116" s="31"/>
      <c r="N116" s="31">
        <v>0</v>
      </c>
      <c r="O116" s="19">
        <f t="shared" si="28"/>
        <v>0</v>
      </c>
      <c r="P116" s="37"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1">
        <v>3943263</v>
      </c>
      <c r="G117" s="31">
        <v>0</v>
      </c>
      <c r="H117" s="31">
        <v>80859</v>
      </c>
      <c r="I117" s="31">
        <v>104067</v>
      </c>
      <c r="J117" s="31">
        <v>457896</v>
      </c>
      <c r="K117" s="33">
        <f t="shared" si="27"/>
        <v>4586085</v>
      </c>
      <c r="L117" s="31">
        <v>8106776.96</v>
      </c>
      <c r="M117" s="31"/>
      <c r="N117" s="31">
        <v>2509746.0399999996</v>
      </c>
      <c r="O117" s="19">
        <f t="shared" si="28"/>
        <v>10616523</v>
      </c>
      <c r="P117" s="37">
        <f>O117/K117</f>
        <v>2.314942483621651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3">
        <f t="shared" si="27"/>
        <v>0</v>
      </c>
      <c r="L118" s="31">
        <v>0</v>
      </c>
      <c r="M118" s="31"/>
      <c r="N118" s="31">
        <v>0</v>
      </c>
      <c r="O118" s="19">
        <f t="shared" si="28"/>
        <v>0</v>
      </c>
      <c r="P118" s="37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3">
        <f t="shared" ref="K119:K141" si="30">SUM(F119:J119)</f>
        <v>0</v>
      </c>
      <c r="L119" s="31">
        <v>0</v>
      </c>
      <c r="M119" s="31"/>
      <c r="N119" s="31">
        <v>0</v>
      </c>
      <c r="O119" s="19">
        <f t="shared" ref="O119:O141" si="31">SUM(L119:N119)</f>
        <v>0</v>
      </c>
      <c r="P119" s="37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3">
        <f t="shared" si="30"/>
        <v>0</v>
      </c>
      <c r="L120" s="31">
        <v>0</v>
      </c>
      <c r="M120" s="31"/>
      <c r="N120" s="31">
        <v>0</v>
      </c>
      <c r="O120" s="19">
        <f t="shared" si="31"/>
        <v>0</v>
      </c>
      <c r="P120" s="37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3">
        <f t="shared" si="30"/>
        <v>0</v>
      </c>
      <c r="L121" s="31">
        <v>0</v>
      </c>
      <c r="M121" s="31"/>
      <c r="N121" s="31">
        <v>0</v>
      </c>
      <c r="O121" s="19">
        <f t="shared" si="31"/>
        <v>0</v>
      </c>
      <c r="P121" s="37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1">
        <v>28166746</v>
      </c>
      <c r="G122" s="31">
        <v>0</v>
      </c>
      <c r="H122" s="31">
        <v>577573</v>
      </c>
      <c r="I122" s="31">
        <v>743351</v>
      </c>
      <c r="J122" s="31">
        <v>3270753</v>
      </c>
      <c r="K122" s="33">
        <f t="shared" si="30"/>
        <v>32758423</v>
      </c>
      <c r="L122" s="31">
        <v>15791408.85</v>
      </c>
      <c r="M122" s="31"/>
      <c r="N122" s="31">
        <v>7350102.1499999994</v>
      </c>
      <c r="O122" s="19">
        <f t="shared" si="31"/>
        <v>23141511</v>
      </c>
      <c r="P122" s="37">
        <f>O122/K122</f>
        <v>0.70642933574671773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1">
        <v>0</v>
      </c>
      <c r="G123" s="31">
        <v>0</v>
      </c>
      <c r="H123" s="31">
        <v>0</v>
      </c>
      <c r="I123" s="31">
        <v>0</v>
      </c>
      <c r="J123" s="31">
        <v>0</v>
      </c>
      <c r="K123" s="33">
        <f t="shared" si="30"/>
        <v>0</v>
      </c>
      <c r="L123" s="31">
        <v>0</v>
      </c>
      <c r="M123" s="31"/>
      <c r="N123" s="31">
        <v>0</v>
      </c>
      <c r="O123" s="19">
        <f t="shared" si="31"/>
        <v>0</v>
      </c>
      <c r="P123" s="37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1">
        <v>10434154</v>
      </c>
      <c r="G124" s="31">
        <v>0</v>
      </c>
      <c r="H124" s="31">
        <v>213957</v>
      </c>
      <c r="I124" s="31">
        <v>275369</v>
      </c>
      <c r="J124" s="31">
        <v>1211625</v>
      </c>
      <c r="K124" s="33">
        <f t="shared" si="30"/>
        <v>12135105</v>
      </c>
      <c r="L124" s="31">
        <v>0</v>
      </c>
      <c r="M124" s="31"/>
      <c r="N124" s="31">
        <v>0</v>
      </c>
      <c r="O124" s="19">
        <f t="shared" si="31"/>
        <v>0</v>
      </c>
      <c r="P124" s="37">
        <f>O124/K124</f>
        <v>0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1">
        <v>21603759</v>
      </c>
      <c r="G125" s="31">
        <v>0</v>
      </c>
      <c r="H125" s="31">
        <v>442996</v>
      </c>
      <c r="I125" s="31">
        <v>570147</v>
      </c>
      <c r="J125" s="31">
        <v>2508652</v>
      </c>
      <c r="K125" s="33">
        <f t="shared" si="30"/>
        <v>25125554</v>
      </c>
      <c r="L125" s="31">
        <v>9269739.9299999997</v>
      </c>
      <c r="M125" s="31"/>
      <c r="N125" s="31">
        <v>4128364.0699999994</v>
      </c>
      <c r="O125" s="19">
        <f t="shared" si="31"/>
        <v>13398104</v>
      </c>
      <c r="P125" s="37">
        <f>O125/K125</f>
        <v>0.53324611270262934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3">
        <f t="shared" si="30"/>
        <v>0</v>
      </c>
      <c r="L126" s="31">
        <v>0</v>
      </c>
      <c r="M126" s="31"/>
      <c r="N126" s="31">
        <v>0</v>
      </c>
      <c r="O126" s="19">
        <f t="shared" si="31"/>
        <v>0</v>
      </c>
      <c r="P126" s="37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3">
        <f t="shared" si="30"/>
        <v>0</v>
      </c>
      <c r="L127" s="31">
        <v>0</v>
      </c>
      <c r="M127" s="31"/>
      <c r="N127" s="31">
        <v>0</v>
      </c>
      <c r="O127" s="19">
        <f t="shared" si="31"/>
        <v>0</v>
      </c>
      <c r="P127" s="37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1">
        <v>102056461</v>
      </c>
      <c r="G128" s="31">
        <v>0</v>
      </c>
      <c r="H128" s="31">
        <v>2092717</v>
      </c>
      <c r="I128" s="31">
        <v>2693382</v>
      </c>
      <c r="J128" s="31">
        <v>11850906</v>
      </c>
      <c r="K128" s="33">
        <f t="shared" si="30"/>
        <v>118693466</v>
      </c>
      <c r="L128" s="31">
        <v>56316296.399999999</v>
      </c>
      <c r="M128" s="31"/>
      <c r="N128" s="31">
        <v>25068847.099999998</v>
      </c>
      <c r="O128" s="19">
        <f t="shared" si="31"/>
        <v>81385143.5</v>
      </c>
      <c r="P128" s="37">
        <f>O128/K128</f>
        <v>0.68567501011386756</v>
      </c>
    </row>
    <row r="129" spans="1:16" s="20" customFormat="1" x14ac:dyDescent="0.3">
      <c r="A129" s="20">
        <v>252</v>
      </c>
      <c r="B129" s="7"/>
      <c r="C129" s="8"/>
      <c r="D129" s="21"/>
      <c r="E129" s="24" t="s">
        <v>132</v>
      </c>
      <c r="F129" s="31">
        <v>33123746</v>
      </c>
      <c r="G129" s="31">
        <v>0</v>
      </c>
      <c r="H129" s="31">
        <v>679218</v>
      </c>
      <c r="I129" s="31">
        <v>874172</v>
      </c>
      <c r="J129" s="31">
        <v>3846365</v>
      </c>
      <c r="K129" s="33">
        <f t="shared" si="30"/>
        <v>38523501</v>
      </c>
      <c r="L129" s="31">
        <v>16620798.390000001</v>
      </c>
      <c r="M129" s="31"/>
      <c r="N129" s="31">
        <v>7294156.6200000001</v>
      </c>
      <c r="O129" s="19">
        <f t="shared" si="31"/>
        <v>23914955.010000002</v>
      </c>
      <c r="P129" s="37">
        <f>O129/K129</f>
        <v>0.62078872348595737</v>
      </c>
    </row>
    <row r="130" spans="1:16" s="20" customFormat="1" x14ac:dyDescent="0.3">
      <c r="A130" s="20">
        <v>253</v>
      </c>
      <c r="B130" s="7"/>
      <c r="C130" s="8"/>
      <c r="D130" s="21"/>
      <c r="E130" s="24" t="s">
        <v>133</v>
      </c>
      <c r="F130" s="31">
        <v>7882496</v>
      </c>
      <c r="G130" s="31">
        <v>0</v>
      </c>
      <c r="H130" s="31">
        <v>161634</v>
      </c>
      <c r="I130" s="31">
        <v>208028</v>
      </c>
      <c r="J130" s="31">
        <v>915324</v>
      </c>
      <c r="K130" s="33">
        <f t="shared" si="30"/>
        <v>9167482</v>
      </c>
      <c r="L130" s="31">
        <v>2515432.77</v>
      </c>
      <c r="M130" s="31"/>
      <c r="N130" s="31">
        <v>1115001.23</v>
      </c>
      <c r="O130" s="19">
        <f t="shared" si="31"/>
        <v>3630434</v>
      </c>
      <c r="P130" s="37">
        <f>O130/K130</f>
        <v>0.39601212197635077</v>
      </c>
    </row>
    <row r="131" spans="1:16" s="20" customFormat="1" x14ac:dyDescent="0.3">
      <c r="A131" s="20">
        <v>254</v>
      </c>
      <c r="B131" s="7"/>
      <c r="C131" s="8"/>
      <c r="D131" s="21"/>
      <c r="E131" s="24" t="s">
        <v>134</v>
      </c>
      <c r="F131" s="31">
        <v>1395176</v>
      </c>
      <c r="G131" s="31">
        <v>0</v>
      </c>
      <c r="H131" s="31">
        <v>28609</v>
      </c>
      <c r="I131" s="31">
        <v>36820</v>
      </c>
      <c r="J131" s="31">
        <v>162009</v>
      </c>
      <c r="K131" s="33">
        <f t="shared" si="30"/>
        <v>1622614</v>
      </c>
      <c r="L131" s="31">
        <v>612920.59</v>
      </c>
      <c r="M131" s="31"/>
      <c r="N131" s="31">
        <v>268574.40999999997</v>
      </c>
      <c r="O131" s="19">
        <f t="shared" si="31"/>
        <v>881495</v>
      </c>
      <c r="P131" s="37">
        <f>O131/K131</f>
        <v>0.54325612869111195</v>
      </c>
    </row>
    <row r="132" spans="1:16" s="20" customFormat="1" x14ac:dyDescent="0.3">
      <c r="A132" s="20">
        <v>233</v>
      </c>
      <c r="B132" s="7"/>
      <c r="C132" s="8"/>
      <c r="D132" s="21"/>
      <c r="E132" s="24" t="s">
        <v>135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3">
        <f t="shared" si="30"/>
        <v>0</v>
      </c>
      <c r="L132" s="31">
        <v>0</v>
      </c>
      <c r="M132" s="31"/>
      <c r="N132" s="31">
        <v>0</v>
      </c>
      <c r="O132" s="19">
        <f t="shared" si="31"/>
        <v>0</v>
      </c>
      <c r="P132" s="37">
        <v>0</v>
      </c>
    </row>
    <row r="133" spans="1:16" s="20" customFormat="1" x14ac:dyDescent="0.3">
      <c r="A133" s="20">
        <v>234</v>
      </c>
      <c r="B133" s="7"/>
      <c r="C133" s="8"/>
      <c r="D133" s="21"/>
      <c r="E133" s="24" t="s">
        <v>136</v>
      </c>
      <c r="F133" s="31">
        <v>402127</v>
      </c>
      <c r="G133" s="31">
        <v>0</v>
      </c>
      <c r="H133" s="31">
        <v>8246</v>
      </c>
      <c r="I133" s="31">
        <v>10613</v>
      </c>
      <c r="J133" s="31">
        <v>46695</v>
      </c>
      <c r="K133" s="33">
        <f t="shared" si="30"/>
        <v>467681</v>
      </c>
      <c r="L133" s="31">
        <v>0</v>
      </c>
      <c r="M133" s="31"/>
      <c r="N133" s="31">
        <v>0</v>
      </c>
      <c r="O133" s="19">
        <f t="shared" si="31"/>
        <v>0</v>
      </c>
      <c r="P133" s="37">
        <f>O133/K133</f>
        <v>0</v>
      </c>
    </row>
    <row r="134" spans="1:16" s="20" customFormat="1" x14ac:dyDescent="0.3">
      <c r="A134" s="20">
        <v>237</v>
      </c>
      <c r="B134" s="7"/>
      <c r="C134" s="8"/>
      <c r="D134" s="21"/>
      <c r="E134" s="24" t="s">
        <v>137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3">
        <f t="shared" si="30"/>
        <v>0</v>
      </c>
      <c r="L134" s="31">
        <v>0</v>
      </c>
      <c r="M134" s="31"/>
      <c r="N134" s="31">
        <v>0</v>
      </c>
      <c r="O134" s="19">
        <f t="shared" si="31"/>
        <v>0</v>
      </c>
      <c r="P134" s="37">
        <v>0</v>
      </c>
    </row>
    <row r="135" spans="1:16" s="20" customFormat="1" x14ac:dyDescent="0.3">
      <c r="A135" s="20">
        <v>256</v>
      </c>
      <c r="B135" s="7"/>
      <c r="C135" s="8"/>
      <c r="D135" s="21"/>
      <c r="E135" s="24" t="s">
        <v>138</v>
      </c>
      <c r="F135" s="31">
        <v>207030731</v>
      </c>
      <c r="G135" s="31">
        <v>0</v>
      </c>
      <c r="H135" s="31">
        <v>4245265</v>
      </c>
      <c r="I135" s="31">
        <v>5463768</v>
      </c>
      <c r="J135" s="31">
        <v>24040630</v>
      </c>
      <c r="K135" s="33">
        <f t="shared" si="30"/>
        <v>240780394</v>
      </c>
      <c r="L135" s="31">
        <v>89478097.290000007</v>
      </c>
      <c r="M135" s="31"/>
      <c r="N135" s="31">
        <v>37769634.990000002</v>
      </c>
      <c r="O135" s="19">
        <f t="shared" si="31"/>
        <v>127247732.28</v>
      </c>
      <c r="P135" s="37">
        <f>O135/K135</f>
        <v>0.52848045543110123</v>
      </c>
    </row>
    <row r="136" spans="1:16" s="20" customFormat="1" x14ac:dyDescent="0.3">
      <c r="A136" s="20">
        <v>261</v>
      </c>
      <c r="B136" s="7"/>
      <c r="C136" s="8"/>
      <c r="D136" s="21"/>
      <c r="E136" s="24" t="s">
        <v>139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3">
        <f t="shared" si="30"/>
        <v>0</v>
      </c>
      <c r="L136" s="31">
        <v>0</v>
      </c>
      <c r="M136" s="31"/>
      <c r="N136" s="31">
        <v>0</v>
      </c>
      <c r="O136" s="19">
        <f t="shared" si="31"/>
        <v>0</v>
      </c>
      <c r="P136" s="37">
        <v>0</v>
      </c>
    </row>
    <row r="137" spans="1:16" s="20" customFormat="1" x14ac:dyDescent="0.3">
      <c r="A137" s="20">
        <v>227</v>
      </c>
      <c r="B137" s="7"/>
      <c r="C137" s="8"/>
      <c r="D137" s="21"/>
      <c r="E137" s="24" t="s">
        <v>140</v>
      </c>
      <c r="F137" s="31">
        <v>64042191</v>
      </c>
      <c r="G137" s="31">
        <v>0</v>
      </c>
      <c r="H137" s="31">
        <v>1313216</v>
      </c>
      <c r="I137" s="31">
        <v>1690144</v>
      </c>
      <c r="J137" s="31">
        <v>7436648</v>
      </c>
      <c r="K137" s="33">
        <f t="shared" si="30"/>
        <v>74482199</v>
      </c>
      <c r="L137" s="31">
        <v>0</v>
      </c>
      <c r="M137" s="31"/>
      <c r="N137" s="31">
        <v>0</v>
      </c>
      <c r="O137" s="19">
        <f t="shared" si="31"/>
        <v>0</v>
      </c>
      <c r="P137" s="37">
        <f>O137/K137</f>
        <v>0</v>
      </c>
    </row>
    <row r="138" spans="1:16" s="20" customFormat="1" x14ac:dyDescent="0.3">
      <c r="A138" s="20">
        <v>226</v>
      </c>
      <c r="B138" s="7"/>
      <c r="C138" s="8"/>
      <c r="D138" s="21"/>
      <c r="E138" s="24" t="s">
        <v>141</v>
      </c>
      <c r="F138" s="31">
        <v>69301</v>
      </c>
      <c r="G138" s="31">
        <v>0</v>
      </c>
      <c r="H138" s="31">
        <v>1421</v>
      </c>
      <c r="I138" s="31">
        <v>1829</v>
      </c>
      <c r="J138" s="31">
        <v>8047</v>
      </c>
      <c r="K138" s="33">
        <f t="shared" si="30"/>
        <v>80598</v>
      </c>
      <c r="L138" s="31">
        <v>0</v>
      </c>
      <c r="M138" s="31"/>
      <c r="N138" s="31">
        <v>0</v>
      </c>
      <c r="O138" s="19">
        <f t="shared" si="31"/>
        <v>0</v>
      </c>
      <c r="P138" s="37">
        <f>O138/K138</f>
        <v>0</v>
      </c>
    </row>
    <row r="139" spans="1:16" s="20" customFormat="1" x14ac:dyDescent="0.3">
      <c r="A139" s="20">
        <v>228</v>
      </c>
      <c r="B139" s="7"/>
      <c r="C139" s="8"/>
      <c r="D139" s="21"/>
      <c r="E139" s="24" t="s">
        <v>142</v>
      </c>
      <c r="F139" s="31">
        <v>371039</v>
      </c>
      <c r="G139" s="31">
        <v>0</v>
      </c>
      <c r="H139" s="31">
        <v>7608</v>
      </c>
      <c r="I139" s="31">
        <v>9792</v>
      </c>
      <c r="J139" s="31">
        <v>43085</v>
      </c>
      <c r="K139" s="33">
        <f t="shared" si="30"/>
        <v>431524</v>
      </c>
      <c r="L139" s="31">
        <v>0</v>
      </c>
      <c r="M139" s="31"/>
      <c r="N139" s="31">
        <v>0</v>
      </c>
      <c r="O139" s="19">
        <f t="shared" si="31"/>
        <v>0</v>
      </c>
      <c r="P139" s="37">
        <f>O139/K139</f>
        <v>0</v>
      </c>
    </row>
    <row r="140" spans="1:16" s="20" customFormat="1" x14ac:dyDescent="0.3">
      <c r="A140" s="20">
        <v>260</v>
      </c>
      <c r="B140" s="7"/>
      <c r="C140" s="8"/>
      <c r="D140" s="21"/>
      <c r="E140" s="24" t="s">
        <v>143</v>
      </c>
      <c r="F140" s="31">
        <v>0</v>
      </c>
      <c r="G140" s="31">
        <v>0</v>
      </c>
      <c r="H140" s="31">
        <v>0</v>
      </c>
      <c r="I140" s="31">
        <v>0</v>
      </c>
      <c r="J140" s="31">
        <v>0</v>
      </c>
      <c r="K140" s="33">
        <f t="shared" si="30"/>
        <v>0</v>
      </c>
      <c r="L140" s="31">
        <v>0</v>
      </c>
      <c r="M140" s="31"/>
      <c r="N140" s="31">
        <v>0</v>
      </c>
      <c r="O140" s="19">
        <f t="shared" si="31"/>
        <v>0</v>
      </c>
      <c r="P140" s="37">
        <v>0</v>
      </c>
    </row>
    <row r="141" spans="1:16" s="20" customFormat="1" x14ac:dyDescent="0.3">
      <c r="A141" s="20">
        <v>238</v>
      </c>
      <c r="B141" s="7"/>
      <c r="C141" s="8"/>
      <c r="D141" s="21"/>
      <c r="E141" s="24" t="s">
        <v>144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3">
        <f t="shared" si="30"/>
        <v>0</v>
      </c>
      <c r="L141" s="31">
        <v>0</v>
      </c>
      <c r="M141" s="31"/>
      <c r="N141" s="31">
        <v>0</v>
      </c>
      <c r="O141" s="19">
        <f t="shared" si="31"/>
        <v>0</v>
      </c>
      <c r="P141" s="37">
        <v>0</v>
      </c>
    </row>
    <row r="142" spans="1:16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2660167736</v>
      </c>
      <c r="G142" s="32">
        <f t="shared" ref="G142:K142" si="32">SUM(G55:G141)</f>
        <v>0</v>
      </c>
      <c r="H142" s="32">
        <f t="shared" si="32"/>
        <v>54548026</v>
      </c>
      <c r="I142" s="32">
        <f t="shared" si="32"/>
        <v>70204744</v>
      </c>
      <c r="J142" s="32">
        <f t="shared" si="32"/>
        <v>308901526</v>
      </c>
      <c r="K142" s="32">
        <f t="shared" si="32"/>
        <v>3093822032</v>
      </c>
      <c r="L142" s="32">
        <f t="shared" ref="L142" si="33">SUM(L55:L141)</f>
        <v>1371568475.6500001</v>
      </c>
      <c r="M142" s="32">
        <f t="shared" ref="M142" si="34">SUM(M55:M141)</f>
        <v>0</v>
      </c>
      <c r="N142" s="32">
        <f t="shared" ref="N142" si="35">SUM(N55:N141)</f>
        <v>624952269.24000001</v>
      </c>
      <c r="O142" s="16">
        <f t="shared" ref="O142" si="36">SUM(O55:O141)</f>
        <v>1996520744.8900001</v>
      </c>
      <c r="P142" s="37">
        <f>O142/K142</f>
        <v>0.64532501360440242</v>
      </c>
    </row>
    <row r="143" spans="1:16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19"/>
    </row>
    <row r="144" spans="1:16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19"/>
    </row>
    <row r="145" spans="1:16" s="20" customFormat="1" x14ac:dyDescent="0.3">
      <c r="A145" s="20">
        <v>269</v>
      </c>
      <c r="B145" s="7"/>
      <c r="C145" s="8"/>
      <c r="D145" s="21"/>
      <c r="E145" s="24" t="s">
        <v>147</v>
      </c>
      <c r="F145" s="31">
        <v>74240223</v>
      </c>
      <c r="G145" s="31">
        <v>0</v>
      </c>
      <c r="H145" s="31">
        <v>1522332</v>
      </c>
      <c r="I145" s="31">
        <v>1959281</v>
      </c>
      <c r="J145" s="31">
        <v>8620854</v>
      </c>
      <c r="K145" s="33">
        <f t="shared" ref="K145:K159" si="37">SUM(F145:J145)</f>
        <v>86342690</v>
      </c>
      <c r="L145" s="31">
        <v>27167324.829999998</v>
      </c>
      <c r="M145" s="31"/>
      <c r="N145" s="31">
        <v>11930086.289999999</v>
      </c>
      <c r="O145" s="19">
        <f t="shared" ref="O145:O159" si="38">SUM(L145:N145)</f>
        <v>39097411.119999997</v>
      </c>
      <c r="P145" s="37">
        <f>O145/K145</f>
        <v>0.45281669033012517</v>
      </c>
    </row>
    <row r="146" spans="1:16" s="20" customFormat="1" x14ac:dyDescent="0.3">
      <c r="A146" s="20">
        <v>270</v>
      </c>
      <c r="B146" s="7"/>
      <c r="C146" s="8"/>
      <c r="D146" s="21"/>
      <c r="E146" s="24" t="s">
        <v>148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3">
        <f t="shared" si="37"/>
        <v>0</v>
      </c>
      <c r="L146" s="31">
        <v>0</v>
      </c>
      <c r="M146" s="31"/>
      <c r="N146" s="31">
        <v>0</v>
      </c>
      <c r="O146" s="19">
        <f t="shared" si="38"/>
        <v>0</v>
      </c>
      <c r="P146" s="37">
        <v>0</v>
      </c>
    </row>
    <row r="147" spans="1:16" s="20" customFormat="1" x14ac:dyDescent="0.3">
      <c r="A147" s="20">
        <v>271</v>
      </c>
      <c r="B147" s="7"/>
      <c r="C147" s="8"/>
      <c r="D147" s="21"/>
      <c r="E147" s="24" t="s">
        <v>149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3">
        <f t="shared" si="37"/>
        <v>0</v>
      </c>
      <c r="L147" s="31">
        <v>0</v>
      </c>
      <c r="M147" s="31"/>
      <c r="N147" s="31">
        <v>0</v>
      </c>
      <c r="O147" s="19">
        <f t="shared" si="38"/>
        <v>0</v>
      </c>
      <c r="P147" s="37">
        <v>0</v>
      </c>
    </row>
    <row r="148" spans="1:16" s="20" customFormat="1" x14ac:dyDescent="0.3">
      <c r="A148" s="20">
        <v>272</v>
      </c>
      <c r="B148" s="7"/>
      <c r="C148" s="8"/>
      <c r="D148" s="21"/>
      <c r="E148" s="24" t="s">
        <v>150</v>
      </c>
      <c r="F148" s="31">
        <v>119096055</v>
      </c>
      <c r="G148" s="31">
        <v>0</v>
      </c>
      <c r="H148" s="31">
        <v>2442122</v>
      </c>
      <c r="I148" s="31">
        <v>3143075</v>
      </c>
      <c r="J148" s="31">
        <v>13829561</v>
      </c>
      <c r="K148" s="33">
        <f t="shared" si="37"/>
        <v>138510813</v>
      </c>
      <c r="L148" s="31">
        <v>133176282.42</v>
      </c>
      <c r="M148" s="31"/>
      <c r="N148" s="31">
        <v>56803550.979999989</v>
      </c>
      <c r="O148" s="19">
        <f t="shared" si="38"/>
        <v>189979833.39999998</v>
      </c>
      <c r="P148" s="37">
        <f>O148/K148</f>
        <v>1.3715884650825056</v>
      </c>
    </row>
    <row r="149" spans="1:16" s="20" customFormat="1" x14ac:dyDescent="0.3">
      <c r="A149" s="20">
        <v>273</v>
      </c>
      <c r="B149" s="7"/>
      <c r="C149" s="8"/>
      <c r="D149" s="21"/>
      <c r="E149" s="24" t="s">
        <v>151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3">
        <f t="shared" si="37"/>
        <v>0</v>
      </c>
      <c r="L149" s="31">
        <v>358514940.73000002</v>
      </c>
      <c r="M149" s="31"/>
      <c r="N149" s="31">
        <v>153530392.63</v>
      </c>
      <c r="O149" s="19">
        <f t="shared" si="38"/>
        <v>512045333.36000001</v>
      </c>
      <c r="P149" s="37">
        <v>0</v>
      </c>
    </row>
    <row r="150" spans="1:16" s="20" customFormat="1" x14ac:dyDescent="0.3">
      <c r="A150" s="20">
        <v>265</v>
      </c>
      <c r="B150" s="7"/>
      <c r="C150" s="8"/>
      <c r="D150" s="21"/>
      <c r="E150" s="24" t="s">
        <v>152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3">
        <f t="shared" si="37"/>
        <v>0</v>
      </c>
      <c r="L150" s="31">
        <v>0</v>
      </c>
      <c r="M150" s="31"/>
      <c r="N150" s="31">
        <v>0</v>
      </c>
      <c r="O150" s="19">
        <f t="shared" si="38"/>
        <v>0</v>
      </c>
      <c r="P150" s="37">
        <v>0</v>
      </c>
    </row>
    <row r="151" spans="1:16" s="20" customFormat="1" x14ac:dyDescent="0.3">
      <c r="A151" s="20">
        <v>266</v>
      </c>
      <c r="B151" s="7"/>
      <c r="C151" s="8"/>
      <c r="D151" s="21"/>
      <c r="E151" s="24" t="s">
        <v>153</v>
      </c>
      <c r="F151" s="31">
        <v>13582251</v>
      </c>
      <c r="G151" s="31">
        <v>0</v>
      </c>
      <c r="H151" s="31">
        <v>278511</v>
      </c>
      <c r="I151" s="31">
        <v>358450</v>
      </c>
      <c r="J151" s="31">
        <v>1577186</v>
      </c>
      <c r="K151" s="33">
        <f t="shared" si="37"/>
        <v>15796398</v>
      </c>
      <c r="L151" s="31">
        <v>0</v>
      </c>
      <c r="M151" s="31"/>
      <c r="N151" s="31">
        <v>0</v>
      </c>
      <c r="O151" s="19">
        <f t="shared" si="38"/>
        <v>0</v>
      </c>
      <c r="P151" s="37">
        <f>O151/K151</f>
        <v>0</v>
      </c>
    </row>
    <row r="152" spans="1:16" s="20" customFormat="1" x14ac:dyDescent="0.3">
      <c r="A152" s="20">
        <v>267</v>
      </c>
      <c r="B152" s="7"/>
      <c r="C152" s="8"/>
      <c r="D152" s="21"/>
      <c r="E152" s="24" t="s">
        <v>154</v>
      </c>
      <c r="F152" s="31">
        <v>13376446</v>
      </c>
      <c r="G152" s="31">
        <v>0</v>
      </c>
      <c r="H152" s="31">
        <v>274290</v>
      </c>
      <c r="I152" s="31">
        <v>353019</v>
      </c>
      <c r="J152" s="31">
        <v>1553287</v>
      </c>
      <c r="K152" s="33">
        <f t="shared" si="37"/>
        <v>15557042</v>
      </c>
      <c r="L152" s="31">
        <v>4071548.78</v>
      </c>
      <c r="M152" s="31"/>
      <c r="N152" s="31">
        <v>1593715.48</v>
      </c>
      <c r="O152" s="19">
        <f t="shared" si="38"/>
        <v>5665264.2599999998</v>
      </c>
      <c r="P152" s="37">
        <f>O152/K152</f>
        <v>0.36416076140952758</v>
      </c>
    </row>
    <row r="153" spans="1:16" s="20" customFormat="1" x14ac:dyDescent="0.3">
      <c r="A153" s="20">
        <v>268</v>
      </c>
      <c r="B153" s="7"/>
      <c r="C153" s="8"/>
      <c r="D153" s="21"/>
      <c r="E153" s="24" t="s">
        <v>155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3">
        <f t="shared" si="37"/>
        <v>0</v>
      </c>
      <c r="L153" s="31">
        <v>0</v>
      </c>
      <c r="M153" s="31"/>
      <c r="N153" s="31">
        <v>0</v>
      </c>
      <c r="O153" s="19">
        <f t="shared" si="38"/>
        <v>0</v>
      </c>
      <c r="P153" s="37">
        <v>0</v>
      </c>
    </row>
    <row r="154" spans="1:16" s="20" customFormat="1" x14ac:dyDescent="0.3">
      <c r="A154" s="20">
        <v>274</v>
      </c>
      <c r="B154" s="7"/>
      <c r="C154" s="8"/>
      <c r="D154" s="21"/>
      <c r="E154" s="24" t="s">
        <v>156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3">
        <f t="shared" si="37"/>
        <v>0</v>
      </c>
      <c r="L154" s="31">
        <v>0</v>
      </c>
      <c r="M154" s="31"/>
      <c r="N154" s="31">
        <v>0</v>
      </c>
      <c r="O154" s="19">
        <f t="shared" si="38"/>
        <v>0</v>
      </c>
      <c r="P154" s="37">
        <v>0</v>
      </c>
    </row>
    <row r="155" spans="1:16" s="20" customFormat="1" x14ac:dyDescent="0.3">
      <c r="A155" s="20">
        <v>275</v>
      </c>
      <c r="B155" s="7"/>
      <c r="C155" s="8"/>
      <c r="D155" s="21"/>
      <c r="E155" s="24" t="s">
        <v>157</v>
      </c>
      <c r="F155" s="31">
        <v>26832842</v>
      </c>
      <c r="G155" s="31">
        <v>0</v>
      </c>
      <c r="H155" s="31">
        <v>550220</v>
      </c>
      <c r="I155" s="31">
        <v>708148</v>
      </c>
      <c r="J155" s="31">
        <v>3115858</v>
      </c>
      <c r="K155" s="33">
        <f t="shared" si="37"/>
        <v>31207068</v>
      </c>
      <c r="L155" s="31">
        <v>15434849.17</v>
      </c>
      <c r="M155" s="31"/>
      <c r="N155" s="31">
        <v>6756931.4299999988</v>
      </c>
      <c r="O155" s="19">
        <f t="shared" si="38"/>
        <v>22191780.599999998</v>
      </c>
      <c r="P155" s="37">
        <f>O155/K155</f>
        <v>0.71111392457631706</v>
      </c>
    </row>
    <row r="156" spans="1:16" s="20" customFormat="1" x14ac:dyDescent="0.3">
      <c r="A156" s="20">
        <v>276</v>
      </c>
      <c r="B156" s="7"/>
      <c r="C156" s="8"/>
      <c r="D156" s="21"/>
      <c r="E156" s="24" t="s">
        <v>158</v>
      </c>
      <c r="F156" s="31">
        <v>182829014</v>
      </c>
      <c r="G156" s="31">
        <v>0</v>
      </c>
      <c r="H156" s="31">
        <v>3748997</v>
      </c>
      <c r="I156" s="31">
        <v>4825058</v>
      </c>
      <c r="J156" s="31">
        <v>21230301</v>
      </c>
      <c r="K156" s="33">
        <f t="shared" si="37"/>
        <v>212633370</v>
      </c>
      <c r="L156" s="31">
        <v>84950720.640000001</v>
      </c>
      <c r="M156" s="31"/>
      <c r="N156" s="31">
        <v>35517948.719999991</v>
      </c>
      <c r="O156" s="19">
        <f t="shared" si="38"/>
        <v>120468669.35999998</v>
      </c>
      <c r="P156" s="37">
        <f>O156/K156</f>
        <v>0.56655580147180085</v>
      </c>
    </row>
    <row r="157" spans="1:16" s="20" customFormat="1" x14ac:dyDescent="0.3">
      <c r="A157" s="20">
        <v>277</v>
      </c>
      <c r="B157" s="7"/>
      <c r="C157" s="8"/>
      <c r="D157" s="21"/>
      <c r="E157" s="24" t="s">
        <v>159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3">
        <f t="shared" si="37"/>
        <v>0</v>
      </c>
      <c r="L157" s="31">
        <v>0</v>
      </c>
      <c r="M157" s="31"/>
      <c r="N157" s="31">
        <v>0</v>
      </c>
      <c r="O157" s="19">
        <f t="shared" si="38"/>
        <v>0</v>
      </c>
      <c r="P157" s="37">
        <v>0</v>
      </c>
    </row>
    <row r="158" spans="1:16" s="20" customFormat="1" x14ac:dyDescent="0.3">
      <c r="A158" s="20">
        <v>278</v>
      </c>
      <c r="B158" s="7"/>
      <c r="C158" s="8"/>
      <c r="D158" s="21"/>
      <c r="E158" s="24" t="s">
        <v>160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3">
        <f t="shared" si="37"/>
        <v>0</v>
      </c>
      <c r="L158" s="31">
        <v>0</v>
      </c>
      <c r="M158" s="31"/>
      <c r="N158" s="31">
        <v>0</v>
      </c>
      <c r="O158" s="19">
        <f t="shared" si="38"/>
        <v>0</v>
      </c>
      <c r="P158" s="37">
        <v>0</v>
      </c>
    </row>
    <row r="159" spans="1:16" s="20" customFormat="1" x14ac:dyDescent="0.3">
      <c r="A159" s="20">
        <v>279</v>
      </c>
      <c r="B159" s="7"/>
      <c r="C159" s="8"/>
      <c r="D159" s="21"/>
      <c r="E159" s="24" t="s">
        <v>161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3">
        <f t="shared" si="37"/>
        <v>0</v>
      </c>
      <c r="L159" s="31">
        <v>0</v>
      </c>
      <c r="M159" s="31"/>
      <c r="N159" s="31">
        <v>0</v>
      </c>
      <c r="O159" s="19">
        <f t="shared" si="38"/>
        <v>0</v>
      </c>
      <c r="P159" s="37">
        <v>0</v>
      </c>
    </row>
    <row r="160" spans="1:16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429956831</v>
      </c>
      <c r="G160" s="32">
        <f t="shared" ref="G160:K160" si="39">SUM(G145:G159)</f>
        <v>0</v>
      </c>
      <c r="H160" s="32">
        <f t="shared" si="39"/>
        <v>8816472</v>
      </c>
      <c r="I160" s="32">
        <f t="shared" si="39"/>
        <v>11347031</v>
      </c>
      <c r="J160" s="32">
        <f t="shared" si="39"/>
        <v>49927047</v>
      </c>
      <c r="K160" s="32">
        <f t="shared" si="39"/>
        <v>500047381</v>
      </c>
      <c r="L160" s="32">
        <f t="shared" ref="L160" si="40">SUM(L145:L159)</f>
        <v>623315666.56999993</v>
      </c>
      <c r="M160" s="32">
        <f t="shared" ref="M160" si="41">SUM(M145:M159)</f>
        <v>0</v>
      </c>
      <c r="N160" s="32">
        <f t="shared" ref="N160" si="42">SUM(N145:N159)</f>
        <v>266132625.52999997</v>
      </c>
      <c r="O160" s="16">
        <f t="shared" ref="O160" si="43">SUM(O145:O159)</f>
        <v>889448292.10000002</v>
      </c>
      <c r="P160" s="37">
        <f>O160/K160</f>
        <v>1.7787280283745752</v>
      </c>
    </row>
    <row r="161" spans="1:16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9"/>
      <c r="P161" s="19"/>
    </row>
    <row r="162" spans="1:16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8156379708</v>
      </c>
      <c r="G162" s="32">
        <f t="shared" ref="G162:K162" si="44">SUM(G52,G142,G160)</f>
        <v>0</v>
      </c>
      <c r="H162" s="32">
        <f t="shared" si="44"/>
        <v>167250506</v>
      </c>
      <c r="I162" s="32">
        <f t="shared" si="44"/>
        <v>215255801</v>
      </c>
      <c r="J162" s="32">
        <f t="shared" si="44"/>
        <v>947127545</v>
      </c>
      <c r="K162" s="32">
        <f t="shared" si="44"/>
        <v>9486013560</v>
      </c>
      <c r="L162" s="32">
        <f t="shared" ref="L162:M162" si="45">SUM(L52,L142,L160)</f>
        <v>3972512858.0999994</v>
      </c>
      <c r="M162" s="32">
        <f t="shared" si="45"/>
        <v>0</v>
      </c>
      <c r="N162" s="32">
        <f t="shared" ref="N162" si="46">SUM(N52,N142,N160)</f>
        <v>1771782189.3199999</v>
      </c>
      <c r="O162" s="16">
        <f t="shared" ref="O162" si="47">SUM(O160,O142,O52)</f>
        <v>5744295047.4200001</v>
      </c>
      <c r="P162" s="37">
        <f>O162/K162</f>
        <v>0.60555416783739024</v>
      </c>
    </row>
    <row r="163" spans="1:16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9"/>
      <c r="P163" s="19"/>
    </row>
    <row r="164" spans="1:16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/>
      <c r="M164" s="15"/>
      <c r="N164" s="15">
        <v>10886960.710000001</v>
      </c>
      <c r="O164" s="16">
        <f>SUM(L164:N164)</f>
        <v>10886960.710000001</v>
      </c>
      <c r="P164" s="16">
        <v>0</v>
      </c>
    </row>
    <row r="165" spans="1:16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19"/>
    </row>
    <row r="166" spans="1:16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67246375553</v>
      </c>
      <c r="G166" s="32">
        <f t="shared" ref="G166:N166" si="48">G23+G25-G162+G164</f>
        <v>1118908643</v>
      </c>
      <c r="H166" s="32">
        <f t="shared" si="48"/>
        <v>2062006736</v>
      </c>
      <c r="I166" s="32">
        <f t="shared" si="48"/>
        <v>2359362228</v>
      </c>
      <c r="J166" s="32">
        <f t="shared" si="48"/>
        <v>568706552</v>
      </c>
      <c r="K166" s="32">
        <f t="shared" si="48"/>
        <v>73355359712</v>
      </c>
      <c r="L166" s="32">
        <f t="shared" si="48"/>
        <v>16661743557.279991</v>
      </c>
      <c r="M166" s="32">
        <f t="shared" si="48"/>
        <v>4019047257.3499999</v>
      </c>
      <c r="N166" s="32">
        <f t="shared" si="48"/>
        <v>9506392812.3999996</v>
      </c>
      <c r="O166" s="16">
        <f t="shared" ref="O166" si="49">O23+O25-O162+O164</f>
        <v>30187183627.030006</v>
      </c>
      <c r="P166" s="37">
        <f>O166/K166</f>
        <v>0.41151980912570957</v>
      </c>
    </row>
    <row r="167" spans="1:16" s="7" customFormat="1" x14ac:dyDescent="0.3">
      <c r="C167" s="8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</row>
    <row r="168" spans="1:16" x14ac:dyDescent="0.3">
      <c r="K168" s="48"/>
    </row>
    <row r="169" spans="1:16" x14ac:dyDescent="0.3">
      <c r="J169" s="45" t="s">
        <v>167</v>
      </c>
      <c r="K169" s="66">
        <f>K162/K11</f>
        <v>4.8611597456675475E-2</v>
      </c>
      <c r="N169" s="45" t="s">
        <v>167</v>
      </c>
      <c r="O169" s="66">
        <f>O162/O11</f>
        <v>5.0032971458561393E-2</v>
      </c>
      <c r="P169" s="37">
        <f>O169/K169</f>
        <v>1.0292394012180468</v>
      </c>
    </row>
  </sheetData>
  <mergeCells count="3">
    <mergeCell ref="D5:E6"/>
    <mergeCell ref="F5:K5"/>
    <mergeCell ref="L5:O5"/>
  </mergeCells>
  <conditionalFormatting sqref="A1:A1048576">
    <cfRule type="duplicateValues" dxfId="35" priority="15"/>
  </conditionalFormatting>
  <conditionalFormatting sqref="D7:O167">
    <cfRule type="expression" dxfId="34" priority="14">
      <formula>IF(MOD(ROW(),2)=0,TRUE,FALSE)</formula>
    </cfRule>
  </conditionalFormatting>
  <conditionalFormatting sqref="D8:P166">
    <cfRule type="expression" dxfId="33" priority="7">
      <formula>IF($C8="Y2",1,0)</formula>
    </cfRule>
    <cfRule type="expression" dxfId="32" priority="8">
      <formula>IF($C8="X2",1,0)</formula>
    </cfRule>
    <cfRule type="expression" dxfId="31" priority="9">
      <formula>IF($C8="X1",1,0)</formula>
    </cfRule>
  </conditionalFormatting>
  <conditionalFormatting sqref="P7:P166">
    <cfRule type="expression" dxfId="30" priority="10">
      <formula>IF(MOD(ROW(),2)=0,TRUE,FALSE)</formula>
    </cfRule>
  </conditionalFormatting>
  <conditionalFormatting sqref="P12">
    <cfRule type="cellIs" dxfId="29" priority="5" operator="greaterThan">
      <formula>1</formula>
    </cfRule>
  </conditionalFormatting>
  <conditionalFormatting sqref="P29:P52 P55:P142 P145:P162">
    <cfRule type="cellIs" dxfId="28" priority="6" operator="greaterThan">
      <formula>1</formula>
    </cfRule>
  </conditionalFormatting>
  <conditionalFormatting sqref="P169">
    <cfRule type="expression" dxfId="27" priority="1">
      <formula>IF($C169="Y2",1,0)</formula>
    </cfRule>
    <cfRule type="expression" dxfId="26" priority="2">
      <formula>IF($C169="X2",1,0)</formula>
    </cfRule>
    <cfRule type="expression" dxfId="25" priority="3">
      <formula>IF($C169="X1",1,0)</formula>
    </cfRule>
    <cfRule type="expression" dxfId="24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58C7-B7D0-4AAC-9A8C-0689AE44D492}">
  <sheetPr>
    <tabColor rgb="FFB4D0CB"/>
    <pageSetUpPr fitToPage="1"/>
  </sheetPr>
  <dimension ref="A1:P169"/>
  <sheetViews>
    <sheetView showGridLines="0" zoomScale="60" zoomScaleNormal="60" workbookViewId="0">
      <pane xSplit="5" ySplit="6" topLeftCell="K136" activePane="bottomRight" state="frozen"/>
      <selection pane="topRight" activeCell="BA157" sqref="BA157"/>
      <selection pane="bottomLeft" activeCell="BA157" sqref="BA157"/>
      <selection pane="bottomRight" activeCell="O169" sqref="O169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66.140625" style="1" customWidth="1"/>
    <col min="6" max="6" width="26.28515625" style="1" bestFit="1" customWidth="1"/>
    <col min="7" max="7" width="22.28515625" style="1" bestFit="1" customWidth="1"/>
    <col min="8" max="10" width="23.5703125" style="1" bestFit="1" customWidth="1"/>
    <col min="11" max="12" width="26.28515625" style="1" bestFit="1" customWidth="1"/>
    <col min="13" max="13" width="22.28515625" style="1" bestFit="1" customWidth="1"/>
    <col min="14" max="14" width="23.5703125" style="1" customWidth="1"/>
    <col min="15" max="15" width="27.5703125" style="3" bestFit="1" customWidth="1"/>
    <col min="16" max="16" width="9.5703125" style="1" customWidth="1"/>
    <col min="17" max="16384" width="8.85546875" style="1"/>
  </cols>
  <sheetData>
    <row r="1" spans="1:16" x14ac:dyDescent="0.3">
      <c r="D1" s="1" t="s">
        <v>0</v>
      </c>
    </row>
    <row r="2" spans="1:16" x14ac:dyDescent="0.3">
      <c r="D2" s="1" t="s">
        <v>1</v>
      </c>
    </row>
    <row r="4" spans="1:16" s="2" customFormat="1" ht="16.5" hidden="1" customHeight="1" x14ac:dyDescent="0.3">
      <c r="O4" s="4" t="e">
        <f>#REF!</f>
        <v>#REF!</v>
      </c>
    </row>
    <row r="5" spans="1:16" s="5" customFormat="1" ht="33" customHeight="1" x14ac:dyDescent="0.25">
      <c r="C5" s="6"/>
      <c r="D5" s="72" t="s">
        <v>2</v>
      </c>
      <c r="E5" s="72"/>
      <c r="F5" s="74" t="s">
        <v>176</v>
      </c>
      <c r="G5" s="75"/>
      <c r="H5" s="75"/>
      <c r="I5" s="75"/>
      <c r="J5" s="75"/>
      <c r="K5" s="75"/>
      <c r="L5" s="78" t="s">
        <v>177</v>
      </c>
      <c r="M5" s="75"/>
      <c r="N5" s="75"/>
      <c r="O5" s="77"/>
      <c r="P5" s="30" t="s">
        <v>5</v>
      </c>
    </row>
    <row r="6" spans="1:16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16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</row>
    <row r="8" spans="1:16" s="12" customFormat="1" x14ac:dyDescent="0.3">
      <c r="C8" s="13" t="s">
        <v>13</v>
      </c>
      <c r="D8" s="14" t="s">
        <v>14</v>
      </c>
      <c r="E8" s="15"/>
      <c r="F8" s="32">
        <v>4373360134287</v>
      </c>
      <c r="G8" s="32">
        <v>0</v>
      </c>
      <c r="H8" s="32">
        <v>596979491872</v>
      </c>
      <c r="I8" s="32">
        <v>429946561406</v>
      </c>
      <c r="J8" s="32">
        <v>797362922440</v>
      </c>
      <c r="K8" s="32">
        <f>SUM(F8:J8)</f>
        <v>6197649110005</v>
      </c>
      <c r="L8" s="32">
        <v>3181274665809.6699</v>
      </c>
      <c r="M8" s="15"/>
      <c r="N8" s="32">
        <v>247730319862.10999</v>
      </c>
      <c r="O8" s="16">
        <f>SUM(L8:N8)</f>
        <v>3429004985671.7798</v>
      </c>
      <c r="P8" s="37">
        <f>O8/K8</f>
        <v>0.55327510880476638</v>
      </c>
    </row>
    <row r="9" spans="1:16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9"/>
    </row>
    <row r="10" spans="1:16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</row>
    <row r="11" spans="1:16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33">
        <v>158130782723</v>
      </c>
      <c r="G11" s="33">
        <v>0</v>
      </c>
      <c r="H11" s="33">
        <v>1945528854</v>
      </c>
      <c r="I11" s="33">
        <v>4173244726</v>
      </c>
      <c r="J11" s="33">
        <v>18113455973</v>
      </c>
      <c r="K11" s="33">
        <f>SUM(F11:J11)</f>
        <v>182363012276</v>
      </c>
      <c r="L11" s="33">
        <v>91722602001.900009</v>
      </c>
      <c r="M11" s="33">
        <v>400000</v>
      </c>
      <c r="N11" s="33">
        <v>36449674805.780006</v>
      </c>
      <c r="O11" s="19">
        <f t="shared" ref="O11:O13" si="0">SUM(L11:N11)</f>
        <v>128172676807.68002</v>
      </c>
      <c r="P11" s="37">
        <f>O11/K11</f>
        <v>0.7028436041278765</v>
      </c>
    </row>
    <row r="12" spans="1:16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 t="shared" ref="K12:K13" si="1">SUM(F12:J12)</f>
        <v>0</v>
      </c>
      <c r="L12" s="33">
        <v>0</v>
      </c>
      <c r="M12" s="33">
        <v>0</v>
      </c>
      <c r="N12" s="33">
        <v>0</v>
      </c>
      <c r="O12" s="19">
        <f t="shared" si="0"/>
        <v>0</v>
      </c>
      <c r="P12" s="37">
        <v>0</v>
      </c>
    </row>
    <row r="13" spans="1:16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33">
        <v>14239056917</v>
      </c>
      <c r="G13" s="33">
        <v>0</v>
      </c>
      <c r="H13" s="33">
        <v>236222877</v>
      </c>
      <c r="I13" s="33">
        <v>622763053</v>
      </c>
      <c r="J13" s="33">
        <v>10794828562</v>
      </c>
      <c r="K13" s="33">
        <f t="shared" si="1"/>
        <v>25892871409</v>
      </c>
      <c r="L13" s="33">
        <v>9888431946.7399998</v>
      </c>
      <c r="M13" s="33">
        <v>0</v>
      </c>
      <c r="N13" s="33">
        <v>4630774130.0999994</v>
      </c>
      <c r="O13" s="19">
        <f t="shared" si="0"/>
        <v>14519206076.84</v>
      </c>
      <c r="P13" s="37">
        <f>O13/K13</f>
        <v>0.56074144298238504</v>
      </c>
    </row>
    <row r="14" spans="1:16" s="23" customFormat="1" x14ac:dyDescent="0.3">
      <c r="B14" s="12"/>
      <c r="C14" s="13" t="s">
        <v>20</v>
      </c>
      <c r="D14" s="14"/>
      <c r="E14" s="15" t="s">
        <v>21</v>
      </c>
      <c r="F14" s="32">
        <f>F11-F12-F13</f>
        <v>143891725806</v>
      </c>
      <c r="G14" s="32">
        <f t="shared" ref="G14:N14" si="2">G11-G12-G13</f>
        <v>0</v>
      </c>
      <c r="H14" s="32">
        <f t="shared" si="2"/>
        <v>1709305977</v>
      </c>
      <c r="I14" s="32">
        <f t="shared" si="2"/>
        <v>3550481673</v>
      </c>
      <c r="J14" s="32">
        <f t="shared" si="2"/>
        <v>7318627411</v>
      </c>
      <c r="K14" s="32">
        <f t="shared" si="2"/>
        <v>156470140867</v>
      </c>
      <c r="L14" s="16">
        <f>L11-L12-L13</f>
        <v>81834170055.160004</v>
      </c>
      <c r="M14" s="16">
        <f t="shared" si="2"/>
        <v>400000</v>
      </c>
      <c r="N14" s="16">
        <f t="shared" si="2"/>
        <v>31818900675.680008</v>
      </c>
      <c r="O14" s="16">
        <f>O11-O12-O13</f>
        <v>113653470730.84003</v>
      </c>
      <c r="P14" s="37">
        <f>O14/K14</f>
        <v>0.72635884457626809</v>
      </c>
    </row>
    <row r="15" spans="1:16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19"/>
    </row>
    <row r="16" spans="1:16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</row>
    <row r="17" spans="1:16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33">
        <v>114016714018</v>
      </c>
      <c r="G17" s="33">
        <v>862699986</v>
      </c>
      <c r="H17" s="33">
        <v>65000000</v>
      </c>
      <c r="I17" s="33">
        <v>681243458</v>
      </c>
      <c r="J17" s="33">
        <v>6355201369</v>
      </c>
      <c r="K17" s="33">
        <f t="shared" ref="K17:K20" si="3">SUM(F17:J17)</f>
        <v>121980858831</v>
      </c>
      <c r="L17" s="33">
        <v>24497857655.860001</v>
      </c>
      <c r="M17" s="33">
        <v>1050000000</v>
      </c>
      <c r="N17" s="33">
        <v>25627569262.949997</v>
      </c>
      <c r="O17" s="19">
        <f t="shared" ref="O17:O20" si="4">SUM(L17:N17)</f>
        <v>51175426918.809998</v>
      </c>
      <c r="P17" s="37">
        <f>O17/K17</f>
        <v>0.41953653556179393</v>
      </c>
    </row>
    <row r="18" spans="1:16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33">
        <v>1226655107</v>
      </c>
      <c r="G18" s="33">
        <v>-1050000000</v>
      </c>
      <c r="H18" s="33">
        <v>17700890</v>
      </c>
      <c r="I18" s="33">
        <v>0</v>
      </c>
      <c r="J18" s="33">
        <v>7006457653</v>
      </c>
      <c r="K18" s="33">
        <f t="shared" si="3"/>
        <v>7200813650</v>
      </c>
      <c r="L18" s="33">
        <v>37858644394</v>
      </c>
      <c r="M18" s="33">
        <v>-1050000000</v>
      </c>
      <c r="N18" s="33">
        <v>11324597939</v>
      </c>
      <c r="O18" s="19">
        <f t="shared" si="4"/>
        <v>48133242333</v>
      </c>
      <c r="P18" s="37">
        <f>O18/K18</f>
        <v>6.6844171606912779</v>
      </c>
    </row>
    <row r="19" spans="1:16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33">
        <v>14796402193</v>
      </c>
      <c r="G19" s="33">
        <v>1780216045</v>
      </c>
      <c r="H19" s="33">
        <v>10434947</v>
      </c>
      <c r="I19" s="33">
        <v>21292932</v>
      </c>
      <c r="J19" s="33">
        <v>6451123904</v>
      </c>
      <c r="K19" s="33">
        <f t="shared" si="3"/>
        <v>23059470021</v>
      </c>
      <c r="L19" s="33">
        <v>9442402504.9099998</v>
      </c>
      <c r="M19" s="33">
        <v>42441861</v>
      </c>
      <c r="N19" s="33">
        <v>3113727240.9883971</v>
      </c>
      <c r="O19" s="19">
        <f t="shared" si="4"/>
        <v>12598571606.898397</v>
      </c>
      <c r="P19" s="37">
        <f>O19/K19</f>
        <v>0.54635130796262965</v>
      </c>
    </row>
    <row r="20" spans="1:16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33">
        <v>2246928935</v>
      </c>
      <c r="G20" s="33">
        <v>0</v>
      </c>
      <c r="H20" s="33">
        <v>41053154</v>
      </c>
      <c r="I20" s="33">
        <v>95186607</v>
      </c>
      <c r="J20" s="33">
        <v>1647108492</v>
      </c>
      <c r="K20" s="33">
        <f t="shared" si="3"/>
        <v>4030277188</v>
      </c>
      <c r="L20" s="33">
        <v>1626939557.1199999</v>
      </c>
      <c r="M20" s="33">
        <v>0</v>
      </c>
      <c r="N20" s="33">
        <v>668244805.9799999</v>
      </c>
      <c r="O20" s="19">
        <f t="shared" si="4"/>
        <v>2295184363.0999999</v>
      </c>
      <c r="P20" s="37">
        <f>O20/K20</f>
        <v>0.56948548599431958</v>
      </c>
    </row>
    <row r="21" spans="1:16" s="23" customFormat="1" x14ac:dyDescent="0.3">
      <c r="B21" s="12"/>
      <c r="C21" s="13" t="s">
        <v>20</v>
      </c>
      <c r="D21" s="14"/>
      <c r="E21" s="15" t="s">
        <v>28</v>
      </c>
      <c r="F21" s="32">
        <f>F17+F18-F19-F20</f>
        <v>98200037997</v>
      </c>
      <c r="G21" s="32">
        <f t="shared" ref="G21:K21" si="5">G17+G18-G19-G20</f>
        <v>-1967516059</v>
      </c>
      <c r="H21" s="32">
        <f t="shared" si="5"/>
        <v>31212789</v>
      </c>
      <c r="I21" s="32">
        <f t="shared" si="5"/>
        <v>564763919</v>
      </c>
      <c r="J21" s="32">
        <f t="shared" si="5"/>
        <v>5263426626</v>
      </c>
      <c r="K21" s="32">
        <f t="shared" si="5"/>
        <v>102091925272</v>
      </c>
      <c r="L21" s="32">
        <f>L17+L18-L19-L20</f>
        <v>51287159987.829994</v>
      </c>
      <c r="M21" s="32">
        <f>M17+M18-M19-M20</f>
        <v>-42441861</v>
      </c>
      <c r="N21" s="32">
        <f t="shared" ref="N21" si="6">N17+N18-N19-N20</f>
        <v>33170195154.981602</v>
      </c>
      <c r="O21" s="16">
        <f>O17+O18-O19-O20</f>
        <v>84414913281.8116</v>
      </c>
      <c r="P21" s="37">
        <f>O21/K21</f>
        <v>0.82685200672734749</v>
      </c>
    </row>
    <row r="22" spans="1:16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19"/>
    </row>
    <row r="23" spans="1:16" s="23" customFormat="1" x14ac:dyDescent="0.3">
      <c r="B23" s="12"/>
      <c r="C23" s="13" t="s">
        <v>13</v>
      </c>
      <c r="D23" s="14" t="s">
        <v>29</v>
      </c>
      <c r="E23" s="15"/>
      <c r="F23" s="32">
        <f>F14-F21</f>
        <v>45691687809</v>
      </c>
      <c r="G23" s="32">
        <f t="shared" ref="G23:K23" si="7">G14-G21</f>
        <v>1967516059</v>
      </c>
      <c r="H23" s="32">
        <f t="shared" si="7"/>
        <v>1678093188</v>
      </c>
      <c r="I23" s="32">
        <f t="shared" si="7"/>
        <v>2985717754</v>
      </c>
      <c r="J23" s="32">
        <f t="shared" si="7"/>
        <v>2055200785</v>
      </c>
      <c r="K23" s="32">
        <f t="shared" si="7"/>
        <v>54378215595</v>
      </c>
      <c r="L23" s="32">
        <f>L14-L21</f>
        <v>30547010067.330009</v>
      </c>
      <c r="M23" s="32">
        <f t="shared" ref="M23" si="8">M14-M21</f>
        <v>42841861</v>
      </c>
      <c r="N23" s="32">
        <f t="shared" ref="N23" si="9">N14-N21</f>
        <v>-1351294479.3015938</v>
      </c>
      <c r="O23" s="16">
        <f t="shared" ref="O23" si="10">O14-O21</f>
        <v>29238557449.028427</v>
      </c>
      <c r="P23" s="37">
        <f>O23/K23</f>
        <v>0.53768879925726853</v>
      </c>
    </row>
    <row r="24" spans="1:16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1:16" s="23" customFormat="1" x14ac:dyDescent="0.3">
      <c r="B25" s="12">
        <v>19</v>
      </c>
      <c r="C25" s="13" t="s">
        <v>13</v>
      </c>
      <c r="D25" s="14" t="s">
        <v>30</v>
      </c>
      <c r="E25" s="15"/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/>
      <c r="M25" s="15"/>
      <c r="N25" s="15"/>
      <c r="O25" s="19">
        <v>0</v>
      </c>
      <c r="P25" s="19">
        <v>0</v>
      </c>
    </row>
    <row r="26" spans="1:16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1:16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</row>
    <row r="28" spans="1:16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</row>
    <row r="29" spans="1:16" s="20" customFormat="1" x14ac:dyDescent="0.3">
      <c r="A29" s="20">
        <v>94</v>
      </c>
      <c r="B29" s="7"/>
      <c r="C29" s="8"/>
      <c r="D29" s="21"/>
      <c r="E29" s="24" t="s">
        <v>33</v>
      </c>
      <c r="F29" s="31">
        <v>1050396120</v>
      </c>
      <c r="G29" s="31">
        <v>0</v>
      </c>
      <c r="H29" s="31">
        <v>21538880</v>
      </c>
      <c r="I29" s="31">
        <v>27721105</v>
      </c>
      <c r="J29" s="31">
        <v>121973122</v>
      </c>
      <c r="K29" s="33">
        <f t="shared" ref="K29:K51" si="11">SUM(F29:J29)</f>
        <v>1221629227</v>
      </c>
      <c r="L29" s="31">
        <v>457289313.43000001</v>
      </c>
      <c r="M29" s="31"/>
      <c r="N29" s="31">
        <v>200174226.56999996</v>
      </c>
      <c r="O29" s="19">
        <f t="shared" ref="O29:O51" si="12">SUM(L29:N29)</f>
        <v>657463540</v>
      </c>
      <c r="P29" s="37">
        <f t="shared" ref="P29:P34" si="13">O29/K29</f>
        <v>0.5381858304213607</v>
      </c>
    </row>
    <row r="30" spans="1:16" s="20" customFormat="1" x14ac:dyDescent="0.3">
      <c r="A30" s="20">
        <v>95</v>
      </c>
      <c r="B30" s="7"/>
      <c r="C30" s="8"/>
      <c r="D30" s="21"/>
      <c r="E30" s="24" t="s">
        <v>34</v>
      </c>
      <c r="F30" s="31">
        <v>20238850</v>
      </c>
      <c r="G30" s="31">
        <v>0</v>
      </c>
      <c r="H30" s="31">
        <v>415007</v>
      </c>
      <c r="I30" s="31">
        <v>534125</v>
      </c>
      <c r="J30" s="31">
        <v>2350157</v>
      </c>
      <c r="K30" s="33">
        <f t="shared" si="11"/>
        <v>23538139</v>
      </c>
      <c r="L30" s="31">
        <v>13343676.01</v>
      </c>
      <c r="M30" s="31"/>
      <c r="N30" s="31">
        <v>5285770.9899999984</v>
      </c>
      <c r="O30" s="19">
        <f t="shared" si="12"/>
        <v>18629447</v>
      </c>
      <c r="P30" s="37">
        <f t="shared" si="13"/>
        <v>0.79145793981418833</v>
      </c>
    </row>
    <row r="31" spans="1:16" s="20" customFormat="1" x14ac:dyDescent="0.3">
      <c r="A31" s="20">
        <v>96</v>
      </c>
      <c r="B31" s="7"/>
      <c r="C31" s="8"/>
      <c r="D31" s="21"/>
      <c r="E31" s="24" t="s">
        <v>35</v>
      </c>
      <c r="F31" s="31">
        <v>132339791</v>
      </c>
      <c r="G31" s="31">
        <v>0</v>
      </c>
      <c r="H31" s="31">
        <v>2713691</v>
      </c>
      <c r="I31" s="31">
        <v>3492592</v>
      </c>
      <c r="J31" s="31">
        <v>15367438</v>
      </c>
      <c r="K31" s="33">
        <f t="shared" si="11"/>
        <v>153913512</v>
      </c>
      <c r="L31" s="31">
        <v>6261080</v>
      </c>
      <c r="M31" s="31"/>
      <c r="N31" s="31">
        <v>2538919.9999999995</v>
      </c>
      <c r="O31" s="19">
        <f t="shared" si="12"/>
        <v>8800000</v>
      </c>
      <c r="P31" s="37">
        <f t="shared" si="13"/>
        <v>5.7174967198461435E-2</v>
      </c>
    </row>
    <row r="32" spans="1:16" s="20" customFormat="1" x14ac:dyDescent="0.3">
      <c r="A32" s="20">
        <v>97</v>
      </c>
      <c r="B32" s="7"/>
      <c r="C32" s="8"/>
      <c r="D32" s="21"/>
      <c r="E32" s="24" t="s">
        <v>36</v>
      </c>
      <c r="F32" s="31">
        <v>6063239</v>
      </c>
      <c r="G32" s="31">
        <v>0</v>
      </c>
      <c r="H32" s="31">
        <v>124330</v>
      </c>
      <c r="I32" s="31">
        <v>160016</v>
      </c>
      <c r="J32" s="31">
        <v>704070</v>
      </c>
      <c r="K32" s="33">
        <f t="shared" si="11"/>
        <v>7051655</v>
      </c>
      <c r="L32" s="31">
        <v>0</v>
      </c>
      <c r="M32" s="31"/>
      <c r="N32" s="31">
        <v>0</v>
      </c>
      <c r="O32" s="19">
        <f t="shared" si="12"/>
        <v>0</v>
      </c>
      <c r="P32" s="37">
        <f t="shared" si="13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1">
        <v>96099909</v>
      </c>
      <c r="G33" s="31">
        <v>0</v>
      </c>
      <c r="H33" s="31">
        <v>1970575</v>
      </c>
      <c r="I33" s="31">
        <v>2536182</v>
      </c>
      <c r="J33" s="31">
        <v>11159224</v>
      </c>
      <c r="K33" s="33">
        <f t="shared" si="11"/>
        <v>111765890</v>
      </c>
      <c r="L33" s="31">
        <v>0</v>
      </c>
      <c r="M33" s="31"/>
      <c r="N33" s="31">
        <v>0</v>
      </c>
      <c r="O33" s="19">
        <f t="shared" si="12"/>
        <v>0</v>
      </c>
      <c r="P33" s="37">
        <f t="shared" si="13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1">
        <v>1386873266</v>
      </c>
      <c r="G34" s="31">
        <v>0</v>
      </c>
      <c r="H34" s="31">
        <v>28438506</v>
      </c>
      <c r="I34" s="31">
        <v>36601106</v>
      </c>
      <c r="J34" s="31">
        <v>161045208</v>
      </c>
      <c r="K34" s="33">
        <f t="shared" si="11"/>
        <v>1612958086</v>
      </c>
      <c r="L34" s="31">
        <v>513928621.61000001</v>
      </c>
      <c r="M34" s="31"/>
      <c r="N34" s="31">
        <v>225683347.10999998</v>
      </c>
      <c r="O34" s="19">
        <f t="shared" si="12"/>
        <v>739611968.72000003</v>
      </c>
      <c r="P34" s="37">
        <f t="shared" si="13"/>
        <v>0.45854382400858001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3">
        <f t="shared" si="11"/>
        <v>0</v>
      </c>
      <c r="L35" s="31">
        <v>0</v>
      </c>
      <c r="M35" s="31"/>
      <c r="N35" s="31">
        <v>0</v>
      </c>
      <c r="O35" s="19">
        <f t="shared" si="12"/>
        <v>0</v>
      </c>
      <c r="P35" s="37">
        <v>0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3">
        <f t="shared" si="11"/>
        <v>0</v>
      </c>
      <c r="L36" s="31">
        <v>0</v>
      </c>
      <c r="M36" s="31"/>
      <c r="N36" s="31">
        <v>0</v>
      </c>
      <c r="O36" s="19">
        <f t="shared" si="12"/>
        <v>0</v>
      </c>
      <c r="P36" s="37">
        <v>0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1">
        <v>145312835</v>
      </c>
      <c r="G37" s="31">
        <v>0</v>
      </c>
      <c r="H37" s="31">
        <v>2979710</v>
      </c>
      <c r="I37" s="31">
        <v>3834965</v>
      </c>
      <c r="J37" s="31">
        <v>16873882</v>
      </c>
      <c r="K37" s="33">
        <f t="shared" si="11"/>
        <v>169001392</v>
      </c>
      <c r="L37" s="31">
        <v>0</v>
      </c>
      <c r="M37" s="31"/>
      <c r="N37" s="31">
        <v>0</v>
      </c>
      <c r="O37" s="19">
        <f t="shared" si="12"/>
        <v>0</v>
      </c>
      <c r="P37" s="37">
        <f t="shared" ref="P37:P49" si="14">O37/K37</f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1">
        <v>36880463</v>
      </c>
      <c r="G38" s="31">
        <v>0</v>
      </c>
      <c r="H38" s="31">
        <v>756252</v>
      </c>
      <c r="I38" s="31">
        <v>973316</v>
      </c>
      <c r="J38" s="31">
        <v>4282599</v>
      </c>
      <c r="K38" s="33">
        <f t="shared" si="11"/>
        <v>42892630</v>
      </c>
      <c r="L38" s="31">
        <v>0</v>
      </c>
      <c r="M38" s="31"/>
      <c r="N38" s="31">
        <v>0</v>
      </c>
      <c r="O38" s="19">
        <f t="shared" si="12"/>
        <v>0</v>
      </c>
      <c r="P38" s="37">
        <f t="shared" si="14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1">
        <v>52318588</v>
      </c>
      <c r="G39" s="31">
        <v>0</v>
      </c>
      <c r="H39" s="31">
        <v>1072818</v>
      </c>
      <c r="I39" s="31">
        <v>1380745</v>
      </c>
      <c r="J39" s="31">
        <v>6075290</v>
      </c>
      <c r="K39" s="33">
        <f t="shared" si="11"/>
        <v>60847441</v>
      </c>
      <c r="L39" s="31">
        <v>0</v>
      </c>
      <c r="M39" s="31"/>
      <c r="N39" s="31">
        <v>0</v>
      </c>
      <c r="O39" s="19">
        <f t="shared" si="12"/>
        <v>0</v>
      </c>
      <c r="P39" s="37">
        <f t="shared" si="14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1">
        <v>7593140</v>
      </c>
      <c r="G40" s="31">
        <v>0</v>
      </c>
      <c r="H40" s="31">
        <v>155701</v>
      </c>
      <c r="I40" s="31">
        <v>200391</v>
      </c>
      <c r="J40" s="31">
        <v>881724</v>
      </c>
      <c r="K40" s="33">
        <f t="shared" si="11"/>
        <v>8830956</v>
      </c>
      <c r="L40" s="31">
        <v>0</v>
      </c>
      <c r="M40" s="31"/>
      <c r="N40" s="31">
        <v>0</v>
      </c>
      <c r="O40" s="19">
        <f t="shared" si="12"/>
        <v>0</v>
      </c>
      <c r="P40" s="37">
        <f t="shared" si="14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1">
        <v>17593861</v>
      </c>
      <c r="G41" s="31">
        <v>0</v>
      </c>
      <c r="H41" s="31">
        <v>360771</v>
      </c>
      <c r="I41" s="31">
        <v>464321</v>
      </c>
      <c r="J41" s="31">
        <v>2043018</v>
      </c>
      <c r="K41" s="33">
        <f t="shared" si="11"/>
        <v>20461971</v>
      </c>
      <c r="L41" s="31">
        <v>0</v>
      </c>
      <c r="M41" s="31"/>
      <c r="N41" s="31">
        <v>0</v>
      </c>
      <c r="O41" s="19">
        <f t="shared" si="12"/>
        <v>0</v>
      </c>
      <c r="P41" s="37">
        <f t="shared" si="14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1">
        <v>292490206</v>
      </c>
      <c r="G42" s="31">
        <v>0</v>
      </c>
      <c r="H42" s="31">
        <v>5997653</v>
      </c>
      <c r="I42" s="31">
        <v>7719137</v>
      </c>
      <c r="J42" s="31">
        <v>33964276</v>
      </c>
      <c r="K42" s="33">
        <f t="shared" si="11"/>
        <v>340171272</v>
      </c>
      <c r="L42" s="31">
        <v>155231228.52000001</v>
      </c>
      <c r="M42" s="31"/>
      <c r="N42" s="31">
        <v>70998397.709999979</v>
      </c>
      <c r="O42" s="19">
        <f t="shared" si="12"/>
        <v>226229626.22999999</v>
      </c>
      <c r="P42" s="37">
        <f t="shared" si="14"/>
        <v>0.66504624244107247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1">
        <v>1385260694</v>
      </c>
      <c r="G43" s="31">
        <v>0</v>
      </c>
      <c r="H43" s="31">
        <v>28405440</v>
      </c>
      <c r="I43" s="31">
        <v>36558548</v>
      </c>
      <c r="J43" s="31">
        <v>160857955</v>
      </c>
      <c r="K43" s="33">
        <f t="shared" si="11"/>
        <v>1611082637</v>
      </c>
      <c r="L43" s="31">
        <v>130476964.18000001</v>
      </c>
      <c r="M43" s="31"/>
      <c r="N43" s="31">
        <v>63381841.659999982</v>
      </c>
      <c r="O43" s="19">
        <f t="shared" si="12"/>
        <v>193858805.83999997</v>
      </c>
      <c r="P43" s="37">
        <f t="shared" si="14"/>
        <v>0.12032828198123022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1">
        <v>29986962</v>
      </c>
      <c r="G44" s="31">
        <v>0</v>
      </c>
      <c r="H44" s="31">
        <v>614897</v>
      </c>
      <c r="I44" s="31">
        <v>791389</v>
      </c>
      <c r="J44" s="31">
        <v>3482118</v>
      </c>
      <c r="K44" s="33">
        <f t="shared" si="11"/>
        <v>34875366</v>
      </c>
      <c r="L44" s="31">
        <v>26393900</v>
      </c>
      <c r="M44" s="31"/>
      <c r="N44" s="31">
        <v>11606099.999999996</v>
      </c>
      <c r="O44" s="19">
        <f t="shared" si="12"/>
        <v>38000000</v>
      </c>
      <c r="P44" s="37">
        <f t="shared" si="14"/>
        <v>1.0895942998849102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1">
        <v>613431411</v>
      </c>
      <c r="G45" s="31">
        <v>0</v>
      </c>
      <c r="H45" s="31">
        <v>12578707</v>
      </c>
      <c r="I45" s="31">
        <v>16189127</v>
      </c>
      <c r="J45" s="31">
        <v>71232312</v>
      </c>
      <c r="K45" s="33">
        <f t="shared" si="11"/>
        <v>713431557</v>
      </c>
      <c r="L45" s="31">
        <v>269971130</v>
      </c>
      <c r="M45" s="31"/>
      <c r="N45" s="31">
        <v>118428869.99999997</v>
      </c>
      <c r="O45" s="19">
        <f t="shared" si="12"/>
        <v>388400000</v>
      </c>
      <c r="P45" s="37">
        <f t="shared" si="14"/>
        <v>0.54441101769205869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1">
        <v>12078166</v>
      </c>
      <c r="G46" s="31">
        <v>0</v>
      </c>
      <c r="H46" s="31">
        <v>247669</v>
      </c>
      <c r="I46" s="31">
        <v>318756</v>
      </c>
      <c r="J46" s="31">
        <v>1402530</v>
      </c>
      <c r="K46" s="33">
        <f t="shared" si="11"/>
        <v>14047121</v>
      </c>
      <c r="L46" s="31">
        <v>0</v>
      </c>
      <c r="M46" s="31"/>
      <c r="N46" s="31">
        <v>0</v>
      </c>
      <c r="O46" s="19">
        <f t="shared" si="12"/>
        <v>0</v>
      </c>
      <c r="P46" s="37">
        <f t="shared" si="14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1">
        <v>115883291</v>
      </c>
      <c r="G47" s="31">
        <v>0</v>
      </c>
      <c r="H47" s="31">
        <v>2376243</v>
      </c>
      <c r="I47" s="31">
        <v>3058287</v>
      </c>
      <c r="J47" s="31">
        <v>13456492</v>
      </c>
      <c r="K47" s="33">
        <f t="shared" si="11"/>
        <v>134774313</v>
      </c>
      <c r="L47" s="31">
        <v>0</v>
      </c>
      <c r="M47" s="31"/>
      <c r="N47" s="31">
        <v>0</v>
      </c>
      <c r="O47" s="19">
        <f t="shared" si="12"/>
        <v>0</v>
      </c>
      <c r="P47" s="37">
        <f t="shared" si="14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1">
        <v>167824019</v>
      </c>
      <c r="G48" s="31">
        <v>0</v>
      </c>
      <c r="H48" s="31">
        <v>3441313</v>
      </c>
      <c r="I48" s="31">
        <v>4429060</v>
      </c>
      <c r="J48" s="31">
        <v>19487905</v>
      </c>
      <c r="K48" s="33">
        <f t="shared" si="11"/>
        <v>195182297</v>
      </c>
      <c r="L48" s="31">
        <v>73784922.799999997</v>
      </c>
      <c r="M48" s="31"/>
      <c r="N48" s="31">
        <v>31691077.199999992</v>
      </c>
      <c r="O48" s="19">
        <f t="shared" si="12"/>
        <v>105475999.99999999</v>
      </c>
      <c r="P48" s="37">
        <f t="shared" si="14"/>
        <v>0.54039737015698708</v>
      </c>
    </row>
    <row r="49" spans="1:16" s="20" customFormat="1" x14ac:dyDescent="0.3">
      <c r="A49" s="20">
        <v>124</v>
      </c>
      <c r="B49" s="7"/>
      <c r="C49" s="8"/>
      <c r="D49" s="21"/>
      <c r="E49" s="24" t="s">
        <v>53</v>
      </c>
      <c r="F49" s="31">
        <v>34805248</v>
      </c>
      <c r="G49" s="31">
        <v>0</v>
      </c>
      <c r="H49" s="31">
        <v>713698</v>
      </c>
      <c r="I49" s="31">
        <v>918549</v>
      </c>
      <c r="J49" s="31">
        <v>4041623</v>
      </c>
      <c r="K49" s="33">
        <f t="shared" si="11"/>
        <v>40479118</v>
      </c>
      <c r="L49" s="31">
        <v>0</v>
      </c>
      <c r="M49" s="31"/>
      <c r="N49" s="31">
        <v>0</v>
      </c>
      <c r="O49" s="19">
        <f t="shared" si="12"/>
        <v>0</v>
      </c>
      <c r="P49" s="37">
        <f t="shared" si="14"/>
        <v>0</v>
      </c>
    </row>
    <row r="50" spans="1:16" s="20" customFormat="1" x14ac:dyDescent="0.3">
      <c r="A50" s="20">
        <v>143</v>
      </c>
      <c r="B50" s="7"/>
      <c r="C50" s="8"/>
      <c r="D50" s="21"/>
      <c r="E50" s="24" t="s">
        <v>54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3">
        <f t="shared" si="11"/>
        <v>0</v>
      </c>
      <c r="L50" s="31">
        <v>-867581.56</v>
      </c>
      <c r="M50" s="31"/>
      <c r="N50" s="31">
        <v>867581.55999999982</v>
      </c>
      <c r="O50" s="19">
        <f t="shared" si="12"/>
        <v>0</v>
      </c>
      <c r="P50" s="37">
        <v>0</v>
      </c>
    </row>
    <row r="51" spans="1:16" s="20" customFormat="1" x14ac:dyDescent="0.3">
      <c r="A51" s="20">
        <v>0</v>
      </c>
      <c r="B51" s="7"/>
      <c r="C51" s="8"/>
      <c r="D51" s="21"/>
      <c r="E51" s="24" t="s">
        <v>55</v>
      </c>
      <c r="F51" s="31">
        <v>67100921</v>
      </c>
      <c r="G51" s="31">
        <v>0</v>
      </c>
      <c r="H51" s="31">
        <v>1375937</v>
      </c>
      <c r="I51" s="31">
        <v>1770867</v>
      </c>
      <c r="J51" s="31">
        <v>7791831</v>
      </c>
      <c r="K51" s="33">
        <f t="shared" si="11"/>
        <v>78039556</v>
      </c>
      <c r="L51" s="31">
        <v>47158270</v>
      </c>
      <c r="M51" s="31"/>
      <c r="N51" s="31">
        <v>20791729.999999993</v>
      </c>
      <c r="O51" s="19">
        <f t="shared" si="12"/>
        <v>67950000</v>
      </c>
      <c r="P51" s="37">
        <f>O51/K51</f>
        <v>0.87071228339638429</v>
      </c>
    </row>
    <row r="52" spans="1:16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5670570980</v>
      </c>
      <c r="G52" s="32">
        <f t="shared" ref="G52:K52" si="15">SUM(G29:G51)</f>
        <v>0</v>
      </c>
      <c r="H52" s="32">
        <f t="shared" si="15"/>
        <v>116277798</v>
      </c>
      <c r="I52" s="32">
        <f t="shared" si="15"/>
        <v>149652584</v>
      </c>
      <c r="J52" s="32">
        <f t="shared" si="15"/>
        <v>658472774</v>
      </c>
      <c r="K52" s="32">
        <f t="shared" si="15"/>
        <v>6594974136</v>
      </c>
      <c r="L52" s="32">
        <f>SUM(L29:L51)</f>
        <v>1692971524.99</v>
      </c>
      <c r="M52" s="32">
        <f t="shared" ref="M52:O52" si="16">SUM(M29:M51)</f>
        <v>0</v>
      </c>
      <c r="N52" s="32">
        <f t="shared" si="16"/>
        <v>751447862.79999995</v>
      </c>
      <c r="O52" s="32">
        <f t="shared" si="16"/>
        <v>2444419387.79</v>
      </c>
      <c r="P52" s="37">
        <f>O52/K52</f>
        <v>0.37064882096301827</v>
      </c>
    </row>
    <row r="53" spans="1:16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19"/>
    </row>
    <row r="54" spans="1:16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19"/>
    </row>
    <row r="55" spans="1:16" s="20" customFormat="1" x14ac:dyDescent="0.3">
      <c r="A55" s="20">
        <v>169</v>
      </c>
      <c r="B55" s="7"/>
      <c r="C55" s="8"/>
      <c r="D55" s="21"/>
      <c r="E55" s="24" t="s">
        <v>58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3">
        <f t="shared" ref="K55:K118" si="17">SUM(F55:J55)</f>
        <v>0</v>
      </c>
      <c r="L55" s="31">
        <v>0</v>
      </c>
      <c r="M55" s="31"/>
      <c r="N55" s="31">
        <v>0</v>
      </c>
      <c r="O55" s="19">
        <f t="shared" ref="O55:O118" si="18">SUM(L55:N55)</f>
        <v>0</v>
      </c>
      <c r="P55" s="37">
        <v>0</v>
      </c>
    </row>
    <row r="56" spans="1:16" s="20" customFormat="1" x14ac:dyDescent="0.3">
      <c r="A56" s="20">
        <v>171</v>
      </c>
      <c r="B56" s="7"/>
      <c r="C56" s="8"/>
      <c r="D56" s="21"/>
      <c r="E56" s="24" t="s">
        <v>59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3">
        <f t="shared" si="17"/>
        <v>0</v>
      </c>
      <c r="L56" s="31">
        <v>0</v>
      </c>
      <c r="M56" s="31"/>
      <c r="N56" s="31">
        <v>0</v>
      </c>
      <c r="O56" s="19">
        <f t="shared" si="18"/>
        <v>0</v>
      </c>
      <c r="P56" s="37">
        <v>0</v>
      </c>
    </row>
    <row r="57" spans="1:16" s="20" customFormat="1" x14ac:dyDescent="0.3">
      <c r="A57" s="20">
        <v>175</v>
      </c>
      <c r="B57" s="7"/>
      <c r="C57" s="8"/>
      <c r="D57" s="21"/>
      <c r="E57" s="24" t="s">
        <v>60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3">
        <f t="shared" si="17"/>
        <v>0</v>
      </c>
      <c r="L57" s="31">
        <v>0</v>
      </c>
      <c r="M57" s="31"/>
      <c r="N57" s="31">
        <v>0</v>
      </c>
      <c r="O57" s="19">
        <f t="shared" si="18"/>
        <v>0</v>
      </c>
      <c r="P57" s="37">
        <v>0</v>
      </c>
    </row>
    <row r="58" spans="1:16" s="20" customFormat="1" x14ac:dyDescent="0.3">
      <c r="A58" s="20">
        <v>176</v>
      </c>
      <c r="B58" s="7"/>
      <c r="C58" s="8"/>
      <c r="D58" s="21"/>
      <c r="E58" s="24" t="s">
        <v>61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3">
        <f t="shared" si="17"/>
        <v>0</v>
      </c>
      <c r="L58" s="31">
        <v>0</v>
      </c>
      <c r="M58" s="31"/>
      <c r="N58" s="31">
        <v>0</v>
      </c>
      <c r="O58" s="19">
        <f t="shared" si="18"/>
        <v>0</v>
      </c>
      <c r="P58" s="37">
        <v>0</v>
      </c>
    </row>
    <row r="59" spans="1:16" s="20" customFormat="1" x14ac:dyDescent="0.3">
      <c r="A59" s="20">
        <v>177</v>
      </c>
      <c r="B59" s="7"/>
      <c r="C59" s="8"/>
      <c r="D59" s="21"/>
      <c r="E59" s="24" t="s">
        <v>62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3">
        <f t="shared" si="17"/>
        <v>0</v>
      </c>
      <c r="L59" s="31">
        <v>0</v>
      </c>
      <c r="M59" s="31"/>
      <c r="N59" s="31">
        <v>0</v>
      </c>
      <c r="O59" s="19">
        <f t="shared" si="18"/>
        <v>0</v>
      </c>
      <c r="P59" s="37">
        <v>0</v>
      </c>
    </row>
    <row r="60" spans="1:16" s="20" customFormat="1" x14ac:dyDescent="0.3">
      <c r="A60" s="20">
        <v>179</v>
      </c>
      <c r="B60" s="7"/>
      <c r="C60" s="8"/>
      <c r="D60" s="21"/>
      <c r="E60" s="24" t="s">
        <v>63</v>
      </c>
      <c r="F60" s="31">
        <v>90227999</v>
      </c>
      <c r="G60" s="31">
        <v>0</v>
      </c>
      <c r="H60" s="31">
        <v>1850169</v>
      </c>
      <c r="I60" s="31">
        <v>2381216</v>
      </c>
      <c r="J60" s="31">
        <v>10477372</v>
      </c>
      <c r="K60" s="33">
        <f t="shared" si="17"/>
        <v>104936756</v>
      </c>
      <c r="L60" s="31">
        <v>38766554.049999997</v>
      </c>
      <c r="M60" s="31"/>
      <c r="N60" s="31">
        <v>16964782.969999995</v>
      </c>
      <c r="O60" s="19">
        <f t="shared" si="18"/>
        <v>55731337.019999996</v>
      </c>
      <c r="P60" s="37">
        <f>O60/K60</f>
        <v>0.53109452916573863</v>
      </c>
    </row>
    <row r="61" spans="1:16" s="20" customFormat="1" x14ac:dyDescent="0.3">
      <c r="A61" s="20">
        <v>180</v>
      </c>
      <c r="B61" s="7"/>
      <c r="C61" s="8"/>
      <c r="D61" s="21"/>
      <c r="E61" s="24" t="s">
        <v>64</v>
      </c>
      <c r="F61" s="31">
        <v>12940196</v>
      </c>
      <c r="G61" s="31">
        <v>0</v>
      </c>
      <c r="H61" s="31">
        <v>265345</v>
      </c>
      <c r="I61" s="31">
        <v>341506</v>
      </c>
      <c r="J61" s="31">
        <v>1502629</v>
      </c>
      <c r="K61" s="33">
        <f t="shared" si="17"/>
        <v>15049676</v>
      </c>
      <c r="L61" s="31">
        <v>3499719.17</v>
      </c>
      <c r="M61" s="31"/>
      <c r="N61" s="31">
        <v>1521480.8499999996</v>
      </c>
      <c r="O61" s="19">
        <f t="shared" si="18"/>
        <v>5021200.0199999996</v>
      </c>
      <c r="P61" s="37">
        <f>O61/K61</f>
        <v>0.33364173554301102</v>
      </c>
    </row>
    <row r="62" spans="1:16" s="20" customFormat="1" x14ac:dyDescent="0.3">
      <c r="A62" s="20">
        <v>181</v>
      </c>
      <c r="B62" s="7"/>
      <c r="C62" s="8"/>
      <c r="D62" s="21"/>
      <c r="E62" s="24" t="s">
        <v>65</v>
      </c>
      <c r="F62" s="31">
        <v>620815008</v>
      </c>
      <c r="G62" s="31">
        <v>0</v>
      </c>
      <c r="H62" s="31">
        <v>12730112</v>
      </c>
      <c r="I62" s="31">
        <v>16383989</v>
      </c>
      <c r="J62" s="31">
        <v>72089703</v>
      </c>
      <c r="K62" s="33">
        <f t="shared" si="17"/>
        <v>722018812</v>
      </c>
      <c r="L62" s="31">
        <v>332857309.93000001</v>
      </c>
      <c r="M62" s="31"/>
      <c r="N62" s="31">
        <v>142980393.16999996</v>
      </c>
      <c r="O62" s="19">
        <f t="shared" si="18"/>
        <v>475837703.09999996</v>
      </c>
      <c r="P62" s="37">
        <f>O62/K62</f>
        <v>0.65903781894813007</v>
      </c>
    </row>
    <row r="63" spans="1:16" s="20" customFormat="1" x14ac:dyDescent="0.3">
      <c r="A63" s="20">
        <v>134</v>
      </c>
      <c r="B63" s="7"/>
      <c r="C63" s="8"/>
      <c r="D63" s="21"/>
      <c r="E63" s="24" t="s">
        <v>66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3">
        <f t="shared" si="17"/>
        <v>0</v>
      </c>
      <c r="L63" s="31">
        <v>0</v>
      </c>
      <c r="M63" s="31"/>
      <c r="N63" s="31">
        <v>0</v>
      </c>
      <c r="O63" s="19">
        <f t="shared" si="18"/>
        <v>0</v>
      </c>
      <c r="P63" s="37">
        <v>0</v>
      </c>
    </row>
    <row r="64" spans="1:16" s="20" customFormat="1" x14ac:dyDescent="0.3">
      <c r="A64" s="20">
        <v>132</v>
      </c>
      <c r="B64" s="7"/>
      <c r="C64" s="8"/>
      <c r="D64" s="21"/>
      <c r="E64" s="24" t="s">
        <v>67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3">
        <f t="shared" si="17"/>
        <v>0</v>
      </c>
      <c r="L64" s="31">
        <v>0</v>
      </c>
      <c r="M64" s="31"/>
      <c r="N64" s="31">
        <v>0</v>
      </c>
      <c r="O64" s="19">
        <f t="shared" si="18"/>
        <v>0</v>
      </c>
      <c r="P64" s="37">
        <v>0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3">
        <f t="shared" si="17"/>
        <v>0</v>
      </c>
      <c r="L65" s="31">
        <v>0</v>
      </c>
      <c r="M65" s="31"/>
      <c r="N65" s="31">
        <v>0</v>
      </c>
      <c r="O65" s="19">
        <f t="shared" si="18"/>
        <v>0</v>
      </c>
      <c r="P65" s="37">
        <v>0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3">
        <f t="shared" si="17"/>
        <v>0</v>
      </c>
      <c r="L66" s="31">
        <v>0</v>
      </c>
      <c r="M66" s="31"/>
      <c r="N66" s="31">
        <v>0</v>
      </c>
      <c r="O66" s="19">
        <f t="shared" si="18"/>
        <v>0</v>
      </c>
      <c r="P66" s="37">
        <v>0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3">
        <f t="shared" si="17"/>
        <v>0</v>
      </c>
      <c r="L67" s="31">
        <v>0</v>
      </c>
      <c r="M67" s="31"/>
      <c r="N67" s="31">
        <v>0</v>
      </c>
      <c r="O67" s="19">
        <f t="shared" si="18"/>
        <v>0</v>
      </c>
      <c r="P67" s="37">
        <v>0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3">
        <f t="shared" si="17"/>
        <v>0</v>
      </c>
      <c r="L68" s="31">
        <v>0</v>
      </c>
      <c r="M68" s="31"/>
      <c r="N68" s="31">
        <v>0</v>
      </c>
      <c r="O68" s="19">
        <f t="shared" si="18"/>
        <v>0</v>
      </c>
      <c r="P68" s="37">
        <v>0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3">
        <f t="shared" si="17"/>
        <v>0</v>
      </c>
      <c r="L69" s="31">
        <v>0</v>
      </c>
      <c r="M69" s="31"/>
      <c r="N69" s="31">
        <v>0</v>
      </c>
      <c r="O69" s="19">
        <f t="shared" si="18"/>
        <v>0</v>
      </c>
      <c r="P69" s="37">
        <v>0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1">
        <v>88305142</v>
      </c>
      <c r="G70" s="31">
        <v>0</v>
      </c>
      <c r="H70" s="31">
        <v>1810740</v>
      </c>
      <c r="I70" s="31">
        <v>2330470</v>
      </c>
      <c r="J70" s="31">
        <v>10254088</v>
      </c>
      <c r="K70" s="33">
        <f t="shared" si="17"/>
        <v>102700440</v>
      </c>
      <c r="L70" s="31">
        <v>24192676.239999998</v>
      </c>
      <c r="M70" s="31"/>
      <c r="N70" s="31">
        <v>9717385.8599999957</v>
      </c>
      <c r="O70" s="19">
        <f t="shared" si="18"/>
        <v>33910062.099999994</v>
      </c>
      <c r="P70" s="37">
        <f>O70/K70</f>
        <v>0.33018419492652606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1">
        <v>8323041</v>
      </c>
      <c r="G71" s="31">
        <v>0</v>
      </c>
      <c r="H71" s="31">
        <v>170668</v>
      </c>
      <c r="I71" s="31">
        <v>219654</v>
      </c>
      <c r="J71" s="31">
        <v>966480</v>
      </c>
      <c r="K71" s="33">
        <f t="shared" si="17"/>
        <v>9679843</v>
      </c>
      <c r="L71" s="31">
        <v>9218749.2400000002</v>
      </c>
      <c r="M71" s="31"/>
      <c r="N71" s="31">
        <v>3670822.7599999988</v>
      </c>
      <c r="O71" s="19">
        <f t="shared" si="18"/>
        <v>12889572</v>
      </c>
      <c r="P71" s="37">
        <f>O71/K71</f>
        <v>1.3315889524241251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1">
        <v>46865884</v>
      </c>
      <c r="G72" s="31">
        <v>0</v>
      </c>
      <c r="H72" s="31">
        <v>961008</v>
      </c>
      <c r="I72" s="31">
        <v>1236842</v>
      </c>
      <c r="J72" s="31">
        <v>5442117</v>
      </c>
      <c r="K72" s="33">
        <f t="shared" si="17"/>
        <v>54505851</v>
      </c>
      <c r="L72" s="31">
        <v>41098260</v>
      </c>
      <c r="M72" s="31"/>
      <c r="N72" s="31">
        <v>17301739.999999996</v>
      </c>
      <c r="O72" s="19">
        <f t="shared" si="18"/>
        <v>58400000</v>
      </c>
      <c r="P72" s="37">
        <f>O72/K72</f>
        <v>1.0714446050938642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3">
        <f t="shared" si="17"/>
        <v>0</v>
      </c>
      <c r="L73" s="31">
        <v>0</v>
      </c>
      <c r="M73" s="31"/>
      <c r="N73" s="31">
        <v>0</v>
      </c>
      <c r="O73" s="19">
        <f t="shared" si="18"/>
        <v>0</v>
      </c>
      <c r="P73" s="37">
        <v>0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3">
        <f t="shared" si="17"/>
        <v>0</v>
      </c>
      <c r="L74" s="31">
        <v>0</v>
      </c>
      <c r="M74" s="31"/>
      <c r="N74" s="31">
        <v>0</v>
      </c>
      <c r="O74" s="19">
        <f t="shared" si="18"/>
        <v>0</v>
      </c>
      <c r="P74" s="37">
        <v>0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3">
        <f t="shared" si="17"/>
        <v>0</v>
      </c>
      <c r="L75" s="31">
        <v>0</v>
      </c>
      <c r="M75" s="31"/>
      <c r="N75" s="31">
        <v>0</v>
      </c>
      <c r="O75" s="19">
        <f t="shared" si="18"/>
        <v>0</v>
      </c>
      <c r="P75" s="37">
        <v>0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1">
        <v>61078696</v>
      </c>
      <c r="G76" s="31">
        <v>0</v>
      </c>
      <c r="H76" s="31">
        <v>1252448</v>
      </c>
      <c r="I76" s="31">
        <v>1611934</v>
      </c>
      <c r="J76" s="31">
        <v>7092524</v>
      </c>
      <c r="K76" s="33">
        <f t="shared" si="17"/>
        <v>71035602</v>
      </c>
      <c r="L76" s="31">
        <v>24349065.43</v>
      </c>
      <c r="M76" s="31"/>
      <c r="N76" s="31">
        <v>10995596.569999998</v>
      </c>
      <c r="O76" s="19">
        <f t="shared" si="18"/>
        <v>35344662</v>
      </c>
      <c r="P76" s="37">
        <f>O76/K76</f>
        <v>0.49756264471440675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1">
        <v>29441016</v>
      </c>
      <c r="G77" s="31">
        <v>0</v>
      </c>
      <c r="H77" s="31">
        <v>603702</v>
      </c>
      <c r="I77" s="31">
        <v>776981</v>
      </c>
      <c r="J77" s="31">
        <v>3418722</v>
      </c>
      <c r="K77" s="33">
        <f t="shared" si="17"/>
        <v>34240421</v>
      </c>
      <c r="L77" s="31">
        <v>9120261.9000000004</v>
      </c>
      <c r="M77" s="31"/>
      <c r="N77" s="31">
        <v>4005030.1199999992</v>
      </c>
      <c r="O77" s="19">
        <f t="shared" si="18"/>
        <v>13125292.02</v>
      </c>
      <c r="P77" s="37">
        <f>O77/K77</f>
        <v>0.38332741352683719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1">
        <v>6515788</v>
      </c>
      <c r="G78" s="31">
        <v>0</v>
      </c>
      <c r="H78" s="31">
        <v>133609</v>
      </c>
      <c r="I78" s="31">
        <v>171959</v>
      </c>
      <c r="J78" s="31">
        <v>756620</v>
      </c>
      <c r="K78" s="33">
        <f t="shared" si="17"/>
        <v>7577976</v>
      </c>
      <c r="L78" s="31">
        <v>1620975.24</v>
      </c>
      <c r="M78" s="31"/>
      <c r="N78" s="31">
        <v>711824.75999999978</v>
      </c>
      <c r="O78" s="19">
        <f t="shared" si="18"/>
        <v>2332800</v>
      </c>
      <c r="P78" s="37">
        <f>O78/K78</f>
        <v>0.30783945475678465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1">
        <v>32673799</v>
      </c>
      <c r="G79" s="31">
        <v>0</v>
      </c>
      <c r="H79" s="31">
        <v>669992</v>
      </c>
      <c r="I79" s="31">
        <v>862297</v>
      </c>
      <c r="J79" s="31">
        <v>3794117</v>
      </c>
      <c r="K79" s="33">
        <f t="shared" si="17"/>
        <v>38000205</v>
      </c>
      <c r="L79" s="31">
        <v>48055617.640000001</v>
      </c>
      <c r="M79" s="31"/>
      <c r="N79" s="31">
        <v>19999521.369999997</v>
      </c>
      <c r="O79" s="19">
        <f t="shared" si="18"/>
        <v>68055139.00999999</v>
      </c>
      <c r="P79" s="37">
        <f>O79/K79</f>
        <v>1.790915049274076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1">
        <v>178466894</v>
      </c>
      <c r="G80" s="31">
        <v>0</v>
      </c>
      <c r="H80" s="31">
        <v>3659550</v>
      </c>
      <c r="I80" s="31">
        <v>4709937</v>
      </c>
      <c r="J80" s="31">
        <v>20723767</v>
      </c>
      <c r="K80" s="33">
        <f t="shared" si="17"/>
        <v>207560148</v>
      </c>
      <c r="L80" s="31">
        <v>17321432.859999999</v>
      </c>
      <c r="M80" s="31"/>
      <c r="N80" s="31">
        <v>7940587.1399999978</v>
      </c>
      <c r="O80" s="19">
        <f t="shared" si="18"/>
        <v>25262019.999999996</v>
      </c>
      <c r="P80" s="37">
        <f>O80/K80</f>
        <v>0.12170939481118502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3">
        <f t="shared" si="17"/>
        <v>0</v>
      </c>
      <c r="L81" s="31">
        <v>0</v>
      </c>
      <c r="M81" s="31"/>
      <c r="N81" s="31">
        <v>0</v>
      </c>
      <c r="O81" s="19">
        <f t="shared" si="18"/>
        <v>0</v>
      </c>
      <c r="P81" s="37">
        <v>0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3">
        <f t="shared" si="17"/>
        <v>0</v>
      </c>
      <c r="L82" s="31">
        <v>0</v>
      </c>
      <c r="M82" s="31"/>
      <c r="N82" s="31">
        <v>0</v>
      </c>
      <c r="O82" s="19">
        <f t="shared" si="18"/>
        <v>0</v>
      </c>
      <c r="P82" s="37">
        <v>0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3">
        <f t="shared" si="17"/>
        <v>0</v>
      </c>
      <c r="L83" s="31">
        <v>0</v>
      </c>
      <c r="M83" s="31"/>
      <c r="N83" s="31">
        <v>0</v>
      </c>
      <c r="O83" s="19">
        <f t="shared" si="18"/>
        <v>0</v>
      </c>
      <c r="P83" s="37">
        <v>0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3">
        <f t="shared" si="17"/>
        <v>0</v>
      </c>
      <c r="L84" s="31">
        <v>0</v>
      </c>
      <c r="M84" s="31"/>
      <c r="N84" s="31">
        <v>0</v>
      </c>
      <c r="O84" s="19">
        <f t="shared" si="18"/>
        <v>0</v>
      </c>
      <c r="P84" s="37">
        <v>0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3">
        <f t="shared" si="17"/>
        <v>0</v>
      </c>
      <c r="L85" s="31">
        <v>0</v>
      </c>
      <c r="M85" s="31"/>
      <c r="N85" s="31">
        <v>0</v>
      </c>
      <c r="O85" s="19">
        <f t="shared" si="18"/>
        <v>0</v>
      </c>
      <c r="P85" s="37">
        <v>0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1">
        <v>35708449</v>
      </c>
      <c r="G86" s="61">
        <v>0</v>
      </c>
      <c r="H86" s="61">
        <v>732219</v>
      </c>
      <c r="I86" s="61">
        <v>942385</v>
      </c>
      <c r="J86" s="61">
        <v>4146503</v>
      </c>
      <c r="K86" s="64">
        <f t="shared" si="17"/>
        <v>41529556</v>
      </c>
      <c r="L86" s="61">
        <v>2774283.27</v>
      </c>
      <c r="M86" s="61"/>
      <c r="N86" s="61">
        <v>858879.72999999975</v>
      </c>
      <c r="O86" s="62">
        <f t="shared" si="18"/>
        <v>3633163</v>
      </c>
      <c r="P86" s="65">
        <v>0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1">
        <v>3069279</v>
      </c>
      <c r="G87" s="31">
        <v>0</v>
      </c>
      <c r="H87" s="31">
        <v>62937</v>
      </c>
      <c r="I87" s="31">
        <v>81002</v>
      </c>
      <c r="J87" s="31">
        <v>356408</v>
      </c>
      <c r="K87" s="33">
        <f t="shared" si="17"/>
        <v>3569626</v>
      </c>
      <c r="L87" s="31">
        <v>1909000</v>
      </c>
      <c r="M87" s="31"/>
      <c r="N87" s="31">
        <v>590999.99999999988</v>
      </c>
      <c r="O87" s="19">
        <f t="shared" si="18"/>
        <v>2500000</v>
      </c>
      <c r="P87" s="37">
        <f>O87/K87</f>
        <v>0.70035348240964179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1">
        <v>37159693</v>
      </c>
      <c r="G88" s="31">
        <v>0</v>
      </c>
      <c r="H88" s="31">
        <v>761977</v>
      </c>
      <c r="I88" s="31">
        <v>980685</v>
      </c>
      <c r="J88" s="31">
        <v>4315023</v>
      </c>
      <c r="K88" s="33">
        <f t="shared" si="17"/>
        <v>43217378</v>
      </c>
      <c r="L88" s="31">
        <v>9900346.7899999991</v>
      </c>
      <c r="M88" s="31"/>
      <c r="N88" s="31">
        <v>4019039.209999999</v>
      </c>
      <c r="O88" s="19">
        <f t="shared" si="18"/>
        <v>13919385.999999998</v>
      </c>
      <c r="P88" s="37">
        <f>O88/K88</f>
        <v>0.32207844723944146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  <c r="K89" s="33">
        <f t="shared" si="17"/>
        <v>0</v>
      </c>
      <c r="L89" s="31">
        <v>-176088.87</v>
      </c>
      <c r="M89" s="31"/>
      <c r="N89" s="31">
        <v>176088.86999999997</v>
      </c>
      <c r="O89" s="19">
        <f t="shared" si="18"/>
        <v>0</v>
      </c>
      <c r="P89" s="37" t="e">
        <f>O89/K89</f>
        <v>#DIV/0!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1">
        <v>7050757</v>
      </c>
      <c r="G90" s="31">
        <v>0</v>
      </c>
      <c r="H90" s="31">
        <v>144579</v>
      </c>
      <c r="I90" s="31">
        <v>186077</v>
      </c>
      <c r="J90" s="31">
        <v>818741</v>
      </c>
      <c r="K90" s="33">
        <f t="shared" si="17"/>
        <v>8200154</v>
      </c>
      <c r="L90" s="31">
        <v>1199274</v>
      </c>
      <c r="M90" s="31"/>
      <c r="N90" s="31">
        <v>779725.99999999977</v>
      </c>
      <c r="O90" s="19">
        <f t="shared" si="18"/>
        <v>1978999.9999999998</v>
      </c>
      <c r="P90" s="37">
        <f>O90/K90</f>
        <v>0.24133693098934481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3">
        <f t="shared" si="17"/>
        <v>0</v>
      </c>
      <c r="L91" s="31">
        <v>0</v>
      </c>
      <c r="M91" s="31"/>
      <c r="N91" s="31">
        <v>0</v>
      </c>
      <c r="O91" s="19">
        <f t="shared" si="18"/>
        <v>0</v>
      </c>
      <c r="P91" s="37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1">
        <v>0</v>
      </c>
      <c r="G92" s="31">
        <v>0</v>
      </c>
      <c r="H92" s="31">
        <v>0</v>
      </c>
      <c r="I92" s="31">
        <v>0</v>
      </c>
      <c r="J92" s="31">
        <v>0</v>
      </c>
      <c r="K92" s="33">
        <f t="shared" si="17"/>
        <v>0</v>
      </c>
      <c r="L92" s="31">
        <v>0</v>
      </c>
      <c r="M92" s="31"/>
      <c r="N92" s="31">
        <v>0</v>
      </c>
      <c r="O92" s="19">
        <f t="shared" si="18"/>
        <v>0</v>
      </c>
      <c r="P92" s="37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  <c r="K93" s="33">
        <f t="shared" si="17"/>
        <v>0</v>
      </c>
      <c r="L93" s="31">
        <v>0</v>
      </c>
      <c r="M93" s="31"/>
      <c r="N93" s="31">
        <v>0</v>
      </c>
      <c r="O93" s="19">
        <f t="shared" si="18"/>
        <v>0</v>
      </c>
      <c r="P93" s="37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3">
        <f t="shared" si="17"/>
        <v>0</v>
      </c>
      <c r="L94" s="31">
        <v>0</v>
      </c>
      <c r="M94" s="31"/>
      <c r="N94" s="31">
        <v>0</v>
      </c>
      <c r="O94" s="19">
        <f t="shared" si="18"/>
        <v>0</v>
      </c>
      <c r="P94" s="37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3">
        <f t="shared" si="17"/>
        <v>0</v>
      </c>
      <c r="L95" s="31">
        <v>0</v>
      </c>
      <c r="M95" s="31"/>
      <c r="N95" s="31">
        <v>0</v>
      </c>
      <c r="O95" s="19">
        <f t="shared" si="18"/>
        <v>0</v>
      </c>
      <c r="P95" s="37"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3">
        <f t="shared" si="17"/>
        <v>0</v>
      </c>
      <c r="L96" s="31">
        <v>0</v>
      </c>
      <c r="M96" s="31"/>
      <c r="N96" s="31">
        <v>0</v>
      </c>
      <c r="O96" s="19">
        <f t="shared" si="18"/>
        <v>0</v>
      </c>
      <c r="P96" s="37">
        <v>0</v>
      </c>
    </row>
    <row r="97" spans="1:16" s="20" customFormat="1" x14ac:dyDescent="0.3">
      <c r="A97" s="20">
        <v>214</v>
      </c>
      <c r="B97" s="7"/>
      <c r="C97" s="8"/>
      <c r="D97" s="21"/>
      <c r="E97" s="24" t="s">
        <v>100</v>
      </c>
      <c r="F97" s="31">
        <v>189495774</v>
      </c>
      <c r="G97" s="31">
        <v>0</v>
      </c>
      <c r="H97" s="31">
        <v>3885702</v>
      </c>
      <c r="I97" s="31">
        <v>5001001</v>
      </c>
      <c r="J97" s="31">
        <v>22004452</v>
      </c>
      <c r="K97" s="33">
        <f t="shared" si="17"/>
        <v>220386929</v>
      </c>
      <c r="L97" s="31">
        <v>0</v>
      </c>
      <c r="M97" s="31"/>
      <c r="N97" s="31">
        <v>0</v>
      </c>
      <c r="O97" s="19">
        <f t="shared" si="18"/>
        <v>0</v>
      </c>
      <c r="P97" s="37">
        <f>O97/K97</f>
        <v>0</v>
      </c>
    </row>
    <row r="98" spans="1:16" s="20" customFormat="1" x14ac:dyDescent="0.3">
      <c r="A98" s="20">
        <v>215</v>
      </c>
      <c r="B98" s="7"/>
      <c r="C98" s="8"/>
      <c r="D98" s="21"/>
      <c r="E98" s="24" t="s">
        <v>101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3">
        <f t="shared" si="17"/>
        <v>0</v>
      </c>
      <c r="L98" s="31">
        <v>6034287.7999999998</v>
      </c>
      <c r="M98" s="31"/>
      <c r="N98" s="31">
        <v>2649759.1999999997</v>
      </c>
      <c r="O98" s="19">
        <f t="shared" si="18"/>
        <v>8684047</v>
      </c>
      <c r="P98" s="37">
        <v>0</v>
      </c>
    </row>
    <row r="99" spans="1:16" s="20" customFormat="1" x14ac:dyDescent="0.3">
      <c r="A99" s="20">
        <v>216</v>
      </c>
      <c r="B99" s="7"/>
      <c r="C99" s="8"/>
      <c r="D99" s="21"/>
      <c r="E99" s="24" t="s">
        <v>102</v>
      </c>
      <c r="F99" s="31">
        <v>43658332</v>
      </c>
      <c r="G99" s="31">
        <v>0</v>
      </c>
      <c r="H99" s="31">
        <v>895235</v>
      </c>
      <c r="I99" s="31">
        <v>1152191</v>
      </c>
      <c r="J99" s="31">
        <v>5069652</v>
      </c>
      <c r="K99" s="33">
        <f t="shared" si="17"/>
        <v>50775410</v>
      </c>
      <c r="L99" s="31">
        <v>10131817.92</v>
      </c>
      <c r="M99" s="31"/>
      <c r="N99" s="31">
        <v>4449222.1099999994</v>
      </c>
      <c r="O99" s="19">
        <f t="shared" si="18"/>
        <v>14581040.029999999</v>
      </c>
      <c r="P99" s="37">
        <f>O99/K99</f>
        <v>0.2871673518736727</v>
      </c>
    </row>
    <row r="100" spans="1:16" s="20" customFormat="1" x14ac:dyDescent="0.3">
      <c r="A100" s="20">
        <v>210</v>
      </c>
      <c r="B100" s="7"/>
      <c r="C100" s="8"/>
      <c r="D100" s="21"/>
      <c r="E100" s="24" t="s">
        <v>103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3">
        <f t="shared" si="17"/>
        <v>0</v>
      </c>
      <c r="L100" s="31">
        <v>0</v>
      </c>
      <c r="M100" s="31"/>
      <c r="N100" s="31">
        <v>0</v>
      </c>
      <c r="O100" s="19">
        <f t="shared" si="18"/>
        <v>0</v>
      </c>
      <c r="P100" s="37">
        <v>0</v>
      </c>
    </row>
    <row r="101" spans="1:16" s="20" customFormat="1" x14ac:dyDescent="0.3">
      <c r="A101" s="20">
        <v>217</v>
      </c>
      <c r="B101" s="7"/>
      <c r="C101" s="8"/>
      <c r="D101" s="21"/>
      <c r="E101" s="24" t="s">
        <v>104</v>
      </c>
      <c r="F101" s="31">
        <v>47392688</v>
      </c>
      <c r="G101" s="31">
        <v>0</v>
      </c>
      <c r="H101" s="31">
        <v>971810</v>
      </c>
      <c r="I101" s="31">
        <v>1250745</v>
      </c>
      <c r="J101" s="31">
        <v>5503290</v>
      </c>
      <c r="K101" s="33">
        <f t="shared" si="17"/>
        <v>55118533</v>
      </c>
      <c r="L101" s="31">
        <v>10563688.85</v>
      </c>
      <c r="M101" s="31"/>
      <c r="N101" s="31">
        <v>4638871.1499999985</v>
      </c>
      <c r="O101" s="19">
        <f t="shared" si="18"/>
        <v>15202559.999999998</v>
      </c>
      <c r="P101" s="37">
        <f>O101/K101</f>
        <v>0.27581575873944247</v>
      </c>
    </row>
    <row r="102" spans="1:16" s="20" customFormat="1" x14ac:dyDescent="0.3">
      <c r="A102" s="20">
        <v>218</v>
      </c>
      <c r="B102" s="7"/>
      <c r="C102" s="8"/>
      <c r="D102" s="21"/>
      <c r="E102" s="24" t="s">
        <v>105</v>
      </c>
      <c r="F102" s="31">
        <v>21347985</v>
      </c>
      <c r="G102" s="31">
        <v>0</v>
      </c>
      <c r="H102" s="31">
        <v>437751</v>
      </c>
      <c r="I102" s="31">
        <v>563397</v>
      </c>
      <c r="J102" s="31">
        <v>2478951</v>
      </c>
      <c r="K102" s="33">
        <f t="shared" si="17"/>
        <v>24828084</v>
      </c>
      <c r="L102" s="31">
        <v>0</v>
      </c>
      <c r="M102" s="31"/>
      <c r="N102" s="31">
        <v>0</v>
      </c>
      <c r="O102" s="19">
        <f t="shared" si="18"/>
        <v>0</v>
      </c>
      <c r="P102" s="37">
        <f>O102/K102</f>
        <v>0</v>
      </c>
    </row>
    <row r="103" spans="1:16" s="20" customFormat="1" x14ac:dyDescent="0.3">
      <c r="A103" s="20">
        <v>219</v>
      </c>
      <c r="B103" s="7"/>
      <c r="C103" s="8"/>
      <c r="D103" s="21"/>
      <c r="E103" s="24" t="s">
        <v>106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3">
        <f t="shared" si="17"/>
        <v>0</v>
      </c>
      <c r="L103" s="31">
        <v>0</v>
      </c>
      <c r="M103" s="31"/>
      <c r="N103" s="31">
        <v>0</v>
      </c>
      <c r="O103" s="19">
        <f t="shared" si="18"/>
        <v>0</v>
      </c>
      <c r="P103" s="37">
        <v>0</v>
      </c>
    </row>
    <row r="104" spans="1:16" s="20" customFormat="1" x14ac:dyDescent="0.3">
      <c r="A104" s="20">
        <v>220</v>
      </c>
      <c r="B104" s="7"/>
      <c r="C104" s="8"/>
      <c r="D104" s="21"/>
      <c r="E104" s="24" t="s">
        <v>107</v>
      </c>
      <c r="F104" s="31">
        <v>255526064</v>
      </c>
      <c r="G104" s="31">
        <v>0</v>
      </c>
      <c r="H104" s="31">
        <v>5239685</v>
      </c>
      <c r="I104" s="31">
        <v>6743613</v>
      </c>
      <c r="J104" s="31">
        <v>29671960</v>
      </c>
      <c r="K104" s="33">
        <f t="shared" si="17"/>
        <v>297181322</v>
      </c>
      <c r="L104" s="31">
        <v>58917148.990000002</v>
      </c>
      <c r="M104" s="31"/>
      <c r="N104" s="31">
        <v>26240699.009999994</v>
      </c>
      <c r="O104" s="19">
        <f t="shared" si="18"/>
        <v>85157848</v>
      </c>
      <c r="P104" s="37">
        <f>O104/K104</f>
        <v>0.28655181768119331</v>
      </c>
    </row>
    <row r="105" spans="1:16" s="20" customFormat="1" x14ac:dyDescent="0.3">
      <c r="A105" s="20">
        <v>0</v>
      </c>
      <c r="B105" s="7"/>
      <c r="C105" s="8"/>
      <c r="D105" s="21"/>
      <c r="E105" s="24" t="s">
        <v>108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3">
        <f t="shared" si="17"/>
        <v>0</v>
      </c>
      <c r="L105" s="31">
        <v>0</v>
      </c>
      <c r="M105" s="31"/>
      <c r="N105" s="31">
        <v>0</v>
      </c>
      <c r="O105" s="19">
        <f t="shared" si="18"/>
        <v>0</v>
      </c>
      <c r="P105" s="37">
        <v>0</v>
      </c>
    </row>
    <row r="106" spans="1:16" s="20" customFormat="1" x14ac:dyDescent="0.3">
      <c r="A106" s="20">
        <v>225</v>
      </c>
      <c r="B106" s="7"/>
      <c r="C106" s="8"/>
      <c r="D106" s="21"/>
      <c r="E106" s="24" t="s">
        <v>109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3">
        <f t="shared" si="17"/>
        <v>0</v>
      </c>
      <c r="L106" s="31">
        <v>0</v>
      </c>
      <c r="M106" s="31"/>
      <c r="N106" s="31">
        <v>0</v>
      </c>
      <c r="O106" s="19">
        <f t="shared" si="18"/>
        <v>0</v>
      </c>
      <c r="P106" s="37">
        <v>0</v>
      </c>
    </row>
    <row r="107" spans="1:16" s="20" customFormat="1" x14ac:dyDescent="0.3">
      <c r="A107" s="20">
        <v>229</v>
      </c>
      <c r="B107" s="7"/>
      <c r="C107" s="8"/>
      <c r="D107" s="21"/>
      <c r="E107" s="24" t="s">
        <v>110</v>
      </c>
      <c r="F107" s="31">
        <v>0</v>
      </c>
      <c r="G107" s="31">
        <v>0</v>
      </c>
      <c r="H107" s="31">
        <v>0</v>
      </c>
      <c r="I107" s="31">
        <v>0</v>
      </c>
      <c r="J107" s="31">
        <v>0</v>
      </c>
      <c r="K107" s="33">
        <f t="shared" si="17"/>
        <v>0</v>
      </c>
      <c r="L107" s="31">
        <v>0</v>
      </c>
      <c r="M107" s="31"/>
      <c r="N107" s="31">
        <v>0</v>
      </c>
      <c r="O107" s="19">
        <f t="shared" si="18"/>
        <v>0</v>
      </c>
      <c r="P107" s="37">
        <v>0</v>
      </c>
    </row>
    <row r="108" spans="1:16" s="20" customFormat="1" x14ac:dyDescent="0.3">
      <c r="A108" s="20">
        <v>230</v>
      </c>
      <c r="B108" s="7"/>
      <c r="C108" s="8"/>
      <c r="D108" s="21"/>
      <c r="E108" s="24" t="s">
        <v>111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3">
        <f t="shared" si="17"/>
        <v>0</v>
      </c>
      <c r="L108" s="31">
        <v>0</v>
      </c>
      <c r="M108" s="31"/>
      <c r="N108" s="31">
        <v>0</v>
      </c>
      <c r="O108" s="19">
        <f t="shared" si="18"/>
        <v>0</v>
      </c>
      <c r="P108" s="37">
        <v>0</v>
      </c>
    </row>
    <row r="109" spans="1:16" s="20" customFormat="1" x14ac:dyDescent="0.3">
      <c r="A109" s="20">
        <v>231</v>
      </c>
      <c r="B109" s="7"/>
      <c r="C109" s="8"/>
      <c r="D109" s="21"/>
      <c r="E109" s="24" t="s">
        <v>112</v>
      </c>
      <c r="F109" s="31">
        <v>37321437</v>
      </c>
      <c r="G109" s="31">
        <v>0</v>
      </c>
      <c r="H109" s="31">
        <v>765294</v>
      </c>
      <c r="I109" s="31">
        <v>984954</v>
      </c>
      <c r="J109" s="31">
        <v>4333805</v>
      </c>
      <c r="K109" s="33">
        <f t="shared" si="17"/>
        <v>43405490</v>
      </c>
      <c r="L109" s="31">
        <v>18376823.73</v>
      </c>
      <c r="M109" s="31"/>
      <c r="N109" s="31">
        <v>7800389.2799999984</v>
      </c>
      <c r="O109" s="19">
        <f t="shared" si="18"/>
        <v>26177213.009999998</v>
      </c>
      <c r="P109" s="37">
        <f t="shared" ref="P109:P115" si="19">O109/K109</f>
        <v>0.60308530119116266</v>
      </c>
    </row>
    <row r="110" spans="1:16" s="20" customFormat="1" x14ac:dyDescent="0.3">
      <c r="A110" s="20">
        <v>255</v>
      </c>
      <c r="B110" s="7"/>
      <c r="C110" s="8"/>
      <c r="D110" s="21"/>
      <c r="E110" s="24" t="s">
        <v>113</v>
      </c>
      <c r="F110" s="31">
        <v>329644051</v>
      </c>
      <c r="G110" s="31">
        <v>0</v>
      </c>
      <c r="H110" s="31">
        <v>6759511</v>
      </c>
      <c r="I110" s="31">
        <v>8699668</v>
      </c>
      <c r="J110" s="31">
        <v>38278620</v>
      </c>
      <c r="K110" s="33">
        <f t="shared" si="17"/>
        <v>383381850</v>
      </c>
      <c r="L110" s="31">
        <v>133168196.8</v>
      </c>
      <c r="M110" s="31"/>
      <c r="N110" s="31">
        <v>71622470.029999986</v>
      </c>
      <c r="O110" s="19">
        <f t="shared" si="18"/>
        <v>204790666.82999998</v>
      </c>
      <c r="P110" s="37">
        <f t="shared" si="19"/>
        <v>0.53416891496037167</v>
      </c>
    </row>
    <row r="111" spans="1:16" s="20" customFormat="1" x14ac:dyDescent="0.3">
      <c r="A111" s="20">
        <v>200</v>
      </c>
      <c r="B111" s="7"/>
      <c r="C111" s="8"/>
      <c r="D111" s="21"/>
      <c r="E111" s="24" t="s">
        <v>114</v>
      </c>
      <c r="F111" s="31">
        <v>7048891</v>
      </c>
      <c r="G111" s="31">
        <v>0</v>
      </c>
      <c r="H111" s="31">
        <v>144541</v>
      </c>
      <c r="I111" s="31">
        <v>186028</v>
      </c>
      <c r="J111" s="31">
        <v>818525</v>
      </c>
      <c r="K111" s="33">
        <f t="shared" si="17"/>
        <v>8197985</v>
      </c>
      <c r="L111" s="31">
        <v>4579290.3</v>
      </c>
      <c r="M111" s="31"/>
      <c r="N111" s="31">
        <v>2020276.4999999995</v>
      </c>
      <c r="O111" s="19">
        <f t="shared" si="18"/>
        <v>6599566.7999999989</v>
      </c>
      <c r="P111" s="37">
        <f t="shared" si="19"/>
        <v>0.80502303919804674</v>
      </c>
    </row>
    <row r="112" spans="1:16" s="20" customFormat="1" x14ac:dyDescent="0.3">
      <c r="A112" s="20">
        <v>201</v>
      </c>
      <c r="B112" s="7"/>
      <c r="C112" s="8"/>
      <c r="D112" s="21"/>
      <c r="E112" s="24" t="s">
        <v>115</v>
      </c>
      <c r="F112" s="31">
        <v>6573006</v>
      </c>
      <c r="G112" s="31">
        <v>0</v>
      </c>
      <c r="H112" s="31">
        <v>134783</v>
      </c>
      <c r="I112" s="31">
        <v>173469</v>
      </c>
      <c r="J112" s="31">
        <v>763265</v>
      </c>
      <c r="K112" s="33">
        <f t="shared" si="17"/>
        <v>7644523</v>
      </c>
      <c r="L112" s="31">
        <v>0</v>
      </c>
      <c r="M112" s="31"/>
      <c r="N112" s="31">
        <v>0</v>
      </c>
      <c r="O112" s="19">
        <f t="shared" si="18"/>
        <v>0</v>
      </c>
      <c r="P112" s="37">
        <f t="shared" si="19"/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1">
        <v>4301089</v>
      </c>
      <c r="G113" s="31">
        <v>0</v>
      </c>
      <c r="H113" s="31">
        <v>88196</v>
      </c>
      <c r="I113" s="31">
        <v>113510</v>
      </c>
      <c r="J113" s="31">
        <v>499447</v>
      </c>
      <c r="K113" s="33">
        <f t="shared" si="17"/>
        <v>5002242</v>
      </c>
      <c r="L113" s="31">
        <v>0</v>
      </c>
      <c r="M113" s="31"/>
      <c r="N113" s="31">
        <v>0</v>
      </c>
      <c r="O113" s="19">
        <f t="shared" si="18"/>
        <v>0</v>
      </c>
      <c r="P113" s="37">
        <f t="shared" si="19"/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1">
        <v>1356265</v>
      </c>
      <c r="G114" s="31">
        <v>0</v>
      </c>
      <c r="H114" s="31">
        <v>27811</v>
      </c>
      <c r="I114" s="31">
        <v>35793</v>
      </c>
      <c r="J114" s="31">
        <v>157491</v>
      </c>
      <c r="K114" s="33">
        <f t="shared" si="17"/>
        <v>1577360</v>
      </c>
      <c r="L114" s="31">
        <v>0</v>
      </c>
      <c r="M114" s="31"/>
      <c r="N114" s="31">
        <v>0</v>
      </c>
      <c r="O114" s="19">
        <f t="shared" si="18"/>
        <v>0</v>
      </c>
      <c r="P114" s="37">
        <f t="shared" si="19"/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1">
        <v>699271</v>
      </c>
      <c r="G115" s="31">
        <v>0</v>
      </c>
      <c r="H115" s="31">
        <v>14339</v>
      </c>
      <c r="I115" s="31">
        <v>18455</v>
      </c>
      <c r="J115" s="31">
        <v>81200</v>
      </c>
      <c r="K115" s="33">
        <f t="shared" si="17"/>
        <v>813265</v>
      </c>
      <c r="L115" s="31">
        <v>0</v>
      </c>
      <c r="M115" s="31"/>
      <c r="N115" s="31">
        <v>0</v>
      </c>
      <c r="O115" s="19">
        <f t="shared" si="18"/>
        <v>0</v>
      </c>
      <c r="P115" s="37">
        <f t="shared" si="19"/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3">
        <f t="shared" si="17"/>
        <v>0</v>
      </c>
      <c r="L116" s="31">
        <v>0</v>
      </c>
      <c r="M116" s="31"/>
      <c r="N116" s="31">
        <v>0</v>
      </c>
      <c r="O116" s="19">
        <f t="shared" si="18"/>
        <v>0</v>
      </c>
      <c r="P116" s="37"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1">
        <v>3154610</v>
      </c>
      <c r="G117" s="31">
        <v>0</v>
      </c>
      <c r="H117" s="31">
        <v>64687</v>
      </c>
      <c r="I117" s="31">
        <v>83254</v>
      </c>
      <c r="J117" s="31">
        <v>366317</v>
      </c>
      <c r="K117" s="33">
        <f t="shared" si="17"/>
        <v>3668868</v>
      </c>
      <c r="L117" s="31">
        <v>798734.29</v>
      </c>
      <c r="M117" s="31"/>
      <c r="N117" s="31">
        <v>321981.70999999996</v>
      </c>
      <c r="O117" s="19">
        <f t="shared" si="18"/>
        <v>1120716</v>
      </c>
      <c r="P117" s="37">
        <f>O117/K117</f>
        <v>0.30546642724676931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3">
        <f t="shared" si="17"/>
        <v>0</v>
      </c>
      <c r="L118" s="31">
        <v>0</v>
      </c>
      <c r="M118" s="31"/>
      <c r="N118" s="31">
        <v>0</v>
      </c>
      <c r="O118" s="19">
        <f t="shared" si="18"/>
        <v>0</v>
      </c>
      <c r="P118" s="37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3">
        <f t="shared" ref="K119:K141" si="20">SUM(F119:J119)</f>
        <v>0</v>
      </c>
      <c r="L119" s="31">
        <v>0</v>
      </c>
      <c r="M119" s="31"/>
      <c r="N119" s="31">
        <v>0</v>
      </c>
      <c r="O119" s="19">
        <f t="shared" ref="O119:O141" si="21">SUM(L119:N119)</f>
        <v>0</v>
      </c>
      <c r="P119" s="37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3">
        <f t="shared" si="20"/>
        <v>0</v>
      </c>
      <c r="L120" s="31">
        <v>0</v>
      </c>
      <c r="M120" s="31"/>
      <c r="N120" s="31">
        <v>0</v>
      </c>
      <c r="O120" s="19">
        <f t="shared" si="21"/>
        <v>0</v>
      </c>
      <c r="P120" s="37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3">
        <f t="shared" si="20"/>
        <v>0</v>
      </c>
      <c r="L121" s="31">
        <v>0</v>
      </c>
      <c r="M121" s="31"/>
      <c r="N121" s="31">
        <v>0</v>
      </c>
      <c r="O121" s="19">
        <f t="shared" si="21"/>
        <v>0</v>
      </c>
      <c r="P121" s="37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1">
        <v>27025042</v>
      </c>
      <c r="G122" s="31">
        <v>0</v>
      </c>
      <c r="H122" s="31">
        <v>554162</v>
      </c>
      <c r="I122" s="31">
        <v>713220</v>
      </c>
      <c r="J122" s="31">
        <v>3138177</v>
      </c>
      <c r="K122" s="33">
        <f t="shared" si="20"/>
        <v>31430601</v>
      </c>
      <c r="L122" s="31">
        <v>6465667.0999999996</v>
      </c>
      <c r="M122" s="31"/>
      <c r="N122" s="31">
        <v>2443332.899999999</v>
      </c>
      <c r="O122" s="19">
        <f t="shared" si="21"/>
        <v>8908999.9999999981</v>
      </c>
      <c r="P122" s="37">
        <f>O122/K122</f>
        <v>0.28344987739814453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1">
        <v>0</v>
      </c>
      <c r="G123" s="31">
        <v>0</v>
      </c>
      <c r="H123" s="31">
        <v>0</v>
      </c>
      <c r="I123" s="31">
        <v>0</v>
      </c>
      <c r="J123" s="31">
        <v>0</v>
      </c>
      <c r="K123" s="33">
        <f t="shared" si="20"/>
        <v>0</v>
      </c>
      <c r="L123" s="31">
        <v>0</v>
      </c>
      <c r="M123" s="31"/>
      <c r="N123" s="31">
        <v>0</v>
      </c>
      <c r="O123" s="19">
        <f t="shared" si="21"/>
        <v>0</v>
      </c>
      <c r="P123" s="37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1">
        <v>10434154</v>
      </c>
      <c r="G124" s="31">
        <v>0</v>
      </c>
      <c r="H124" s="31">
        <v>213957</v>
      </c>
      <c r="I124" s="31">
        <v>275369</v>
      </c>
      <c r="J124" s="31">
        <v>1211625</v>
      </c>
      <c r="K124" s="33">
        <f t="shared" si="20"/>
        <v>12135105</v>
      </c>
      <c r="L124" s="31">
        <v>0</v>
      </c>
      <c r="M124" s="31"/>
      <c r="N124" s="31">
        <v>0</v>
      </c>
      <c r="O124" s="19">
        <f t="shared" si="21"/>
        <v>0</v>
      </c>
      <c r="P124" s="37">
        <f>O124/K124</f>
        <v>0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1">
        <v>21603759</v>
      </c>
      <c r="G125" s="31">
        <v>0</v>
      </c>
      <c r="H125" s="31">
        <v>442996</v>
      </c>
      <c r="I125" s="31">
        <v>570147</v>
      </c>
      <c r="J125" s="31">
        <v>2508652</v>
      </c>
      <c r="K125" s="33">
        <f t="shared" si="20"/>
        <v>25125554</v>
      </c>
      <c r="L125" s="31">
        <v>4891771.3499999996</v>
      </c>
      <c r="M125" s="31"/>
      <c r="N125" s="31">
        <v>2200228.6499999994</v>
      </c>
      <c r="O125" s="19">
        <f t="shared" si="21"/>
        <v>7091999.9999999991</v>
      </c>
      <c r="P125" s="37">
        <f>O125/K125</f>
        <v>0.28226243289998698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3">
        <f t="shared" si="20"/>
        <v>0</v>
      </c>
      <c r="L126" s="31">
        <v>0</v>
      </c>
      <c r="M126" s="31"/>
      <c r="N126" s="31">
        <v>0</v>
      </c>
      <c r="O126" s="19">
        <f t="shared" si="21"/>
        <v>0</v>
      </c>
      <c r="P126" s="37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3">
        <f t="shared" si="20"/>
        <v>0</v>
      </c>
      <c r="L127" s="31">
        <v>0</v>
      </c>
      <c r="M127" s="31"/>
      <c r="N127" s="31">
        <v>0</v>
      </c>
      <c r="O127" s="19">
        <f t="shared" si="21"/>
        <v>0</v>
      </c>
      <c r="P127" s="37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1">
        <v>94766714</v>
      </c>
      <c r="G128" s="31">
        <v>0</v>
      </c>
      <c r="H128" s="31">
        <v>1943237</v>
      </c>
      <c r="I128" s="31">
        <v>2500997</v>
      </c>
      <c r="J128" s="31">
        <v>11004412</v>
      </c>
      <c r="K128" s="33">
        <f t="shared" si="20"/>
        <v>110215360</v>
      </c>
      <c r="L128" s="31">
        <v>50558473.770000003</v>
      </c>
      <c r="M128" s="31"/>
      <c r="N128" s="31">
        <v>22096088.229999997</v>
      </c>
      <c r="O128" s="19">
        <f t="shared" si="21"/>
        <v>72654562</v>
      </c>
      <c r="P128" s="37">
        <f>O128/K128</f>
        <v>0.659205413837055</v>
      </c>
    </row>
    <row r="129" spans="1:16" s="20" customFormat="1" x14ac:dyDescent="0.3">
      <c r="A129" s="20">
        <v>252</v>
      </c>
      <c r="B129" s="7"/>
      <c r="C129" s="8"/>
      <c r="D129" s="21"/>
      <c r="E129" s="24" t="s">
        <v>132</v>
      </c>
      <c r="F129" s="31">
        <v>30757764</v>
      </c>
      <c r="G129" s="31">
        <v>0</v>
      </c>
      <c r="H129" s="31">
        <v>630703</v>
      </c>
      <c r="I129" s="31">
        <v>811731</v>
      </c>
      <c r="J129" s="31">
        <v>3571625</v>
      </c>
      <c r="K129" s="33">
        <f t="shared" si="20"/>
        <v>35771823</v>
      </c>
      <c r="L129" s="31">
        <v>16542983.68</v>
      </c>
      <c r="M129" s="31"/>
      <c r="N129" s="31">
        <v>7251203.339999998</v>
      </c>
      <c r="O129" s="19">
        <f t="shared" si="21"/>
        <v>23794187.019999996</v>
      </c>
      <c r="P129" s="37">
        <f>O129/K129</f>
        <v>0.66516562547008007</v>
      </c>
    </row>
    <row r="130" spans="1:16" s="20" customFormat="1" x14ac:dyDescent="0.3">
      <c r="A130" s="20">
        <v>253</v>
      </c>
      <c r="B130" s="7"/>
      <c r="C130" s="8"/>
      <c r="D130" s="21"/>
      <c r="E130" s="24" t="s">
        <v>133</v>
      </c>
      <c r="F130" s="31">
        <v>13702535</v>
      </c>
      <c r="G130" s="31">
        <v>0</v>
      </c>
      <c r="H130" s="31">
        <v>280977</v>
      </c>
      <c r="I130" s="31">
        <v>361625</v>
      </c>
      <c r="J130" s="31">
        <v>1591153</v>
      </c>
      <c r="K130" s="33">
        <f t="shared" si="20"/>
        <v>15936290</v>
      </c>
      <c r="L130" s="31">
        <v>3266147.5</v>
      </c>
      <c r="M130" s="31"/>
      <c r="N130" s="31">
        <v>1376352.4999999998</v>
      </c>
      <c r="O130" s="19">
        <f t="shared" si="21"/>
        <v>4642500</v>
      </c>
      <c r="P130" s="37">
        <f>O130/K130</f>
        <v>0.29131623483257396</v>
      </c>
    </row>
    <row r="131" spans="1:16" s="20" customFormat="1" x14ac:dyDescent="0.3">
      <c r="A131" s="20">
        <v>254</v>
      </c>
      <c r="B131" s="7"/>
      <c r="C131" s="8"/>
      <c r="D131" s="21"/>
      <c r="E131" s="24" t="s">
        <v>134</v>
      </c>
      <c r="F131" s="31">
        <v>1545389</v>
      </c>
      <c r="G131" s="31">
        <v>0</v>
      </c>
      <c r="H131" s="31">
        <v>31689</v>
      </c>
      <c r="I131" s="31">
        <v>40785</v>
      </c>
      <c r="J131" s="31">
        <v>179452</v>
      </c>
      <c r="K131" s="33">
        <f t="shared" si="20"/>
        <v>1797315</v>
      </c>
      <c r="L131" s="31">
        <v>326242.99</v>
      </c>
      <c r="M131" s="31"/>
      <c r="N131" s="31">
        <v>142357.00999999998</v>
      </c>
      <c r="O131" s="19">
        <f t="shared" si="21"/>
        <v>468600</v>
      </c>
      <c r="P131" s="37">
        <f>O131/K131</f>
        <v>0.26072224401398753</v>
      </c>
    </row>
    <row r="132" spans="1:16" s="20" customFormat="1" x14ac:dyDescent="0.3">
      <c r="A132" s="20">
        <v>233</v>
      </c>
      <c r="B132" s="7"/>
      <c r="C132" s="8"/>
      <c r="D132" s="21"/>
      <c r="E132" s="24" t="s">
        <v>135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3">
        <f t="shared" si="20"/>
        <v>0</v>
      </c>
      <c r="L132" s="31">
        <v>0</v>
      </c>
      <c r="M132" s="31"/>
      <c r="N132" s="31">
        <v>0</v>
      </c>
      <c r="O132" s="19">
        <f t="shared" si="21"/>
        <v>0</v>
      </c>
      <c r="P132" s="37">
        <v>0</v>
      </c>
    </row>
    <row r="133" spans="1:16" s="20" customFormat="1" x14ac:dyDescent="0.3">
      <c r="A133" s="20">
        <v>234</v>
      </c>
      <c r="B133" s="7"/>
      <c r="C133" s="8"/>
      <c r="D133" s="21"/>
      <c r="E133" s="24" t="s">
        <v>136</v>
      </c>
      <c r="F133" s="31">
        <v>402127</v>
      </c>
      <c r="G133" s="31">
        <v>0</v>
      </c>
      <c r="H133" s="31">
        <v>8246</v>
      </c>
      <c r="I133" s="31">
        <v>10613</v>
      </c>
      <c r="J133" s="31">
        <v>46695</v>
      </c>
      <c r="K133" s="33">
        <f t="shared" si="20"/>
        <v>467681</v>
      </c>
      <c r="L133" s="31">
        <v>0</v>
      </c>
      <c r="M133" s="31"/>
      <c r="N133" s="31">
        <v>0</v>
      </c>
      <c r="O133" s="19">
        <f t="shared" si="21"/>
        <v>0</v>
      </c>
      <c r="P133" s="37">
        <f>O133/K133</f>
        <v>0</v>
      </c>
    </row>
    <row r="134" spans="1:16" s="20" customFormat="1" x14ac:dyDescent="0.3">
      <c r="A134" s="20">
        <v>237</v>
      </c>
      <c r="B134" s="7"/>
      <c r="C134" s="8"/>
      <c r="D134" s="21"/>
      <c r="E134" s="24" t="s">
        <v>137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3">
        <f t="shared" si="20"/>
        <v>0</v>
      </c>
      <c r="L134" s="31">
        <v>0</v>
      </c>
      <c r="M134" s="31"/>
      <c r="N134" s="31">
        <v>0</v>
      </c>
      <c r="O134" s="19">
        <f t="shared" si="21"/>
        <v>0</v>
      </c>
      <c r="P134" s="37">
        <v>0</v>
      </c>
    </row>
    <row r="135" spans="1:16" s="20" customFormat="1" x14ac:dyDescent="0.3">
      <c r="A135" s="20">
        <v>256</v>
      </c>
      <c r="B135" s="7"/>
      <c r="C135" s="8"/>
      <c r="D135" s="21"/>
      <c r="E135" s="24" t="s">
        <v>138</v>
      </c>
      <c r="F135" s="31">
        <v>187961406</v>
      </c>
      <c r="G135" s="31">
        <v>0</v>
      </c>
      <c r="H135" s="31">
        <v>3854239</v>
      </c>
      <c r="I135" s="31">
        <v>4960508</v>
      </c>
      <c r="J135" s="31">
        <v>21826280</v>
      </c>
      <c r="K135" s="33">
        <f t="shared" si="20"/>
        <v>218602433</v>
      </c>
      <c r="L135" s="31">
        <v>96371617.060000002</v>
      </c>
      <c r="M135" s="31"/>
      <c r="N135" s="31">
        <v>40555572.519999988</v>
      </c>
      <c r="O135" s="19">
        <f t="shared" si="21"/>
        <v>136927189.57999998</v>
      </c>
      <c r="P135" s="37">
        <f>O135/K135</f>
        <v>0.62637541449504353</v>
      </c>
    </row>
    <row r="136" spans="1:16" s="20" customFormat="1" x14ac:dyDescent="0.3">
      <c r="A136" s="20">
        <v>261</v>
      </c>
      <c r="B136" s="7"/>
      <c r="C136" s="8"/>
      <c r="D136" s="21"/>
      <c r="E136" s="24" t="s">
        <v>139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3">
        <f t="shared" si="20"/>
        <v>0</v>
      </c>
      <c r="L136" s="31">
        <v>0</v>
      </c>
      <c r="M136" s="31"/>
      <c r="N136" s="31">
        <v>0</v>
      </c>
      <c r="O136" s="19">
        <f t="shared" si="21"/>
        <v>0</v>
      </c>
      <c r="P136" s="37">
        <v>0</v>
      </c>
    </row>
    <row r="137" spans="1:16" s="20" customFormat="1" x14ac:dyDescent="0.3">
      <c r="A137" s="20">
        <v>227</v>
      </c>
      <c r="B137" s="7"/>
      <c r="C137" s="8"/>
      <c r="D137" s="21"/>
      <c r="E137" s="24" t="s">
        <v>140</v>
      </c>
      <c r="F137" s="31">
        <v>59115868</v>
      </c>
      <c r="G137" s="31">
        <v>0</v>
      </c>
      <c r="H137" s="31">
        <v>1212199</v>
      </c>
      <c r="I137" s="31">
        <v>1560133</v>
      </c>
      <c r="J137" s="31">
        <v>6864598</v>
      </c>
      <c r="K137" s="33">
        <f t="shared" si="20"/>
        <v>68752798</v>
      </c>
      <c r="L137" s="31">
        <v>0</v>
      </c>
      <c r="M137" s="31"/>
      <c r="N137" s="31">
        <v>0</v>
      </c>
      <c r="O137" s="19">
        <f t="shared" si="21"/>
        <v>0</v>
      </c>
      <c r="P137" s="37">
        <f>O137/K137</f>
        <v>0</v>
      </c>
    </row>
    <row r="138" spans="1:16" s="20" customFormat="1" x14ac:dyDescent="0.3">
      <c r="A138" s="20">
        <v>226</v>
      </c>
      <c r="B138" s="7"/>
      <c r="C138" s="8"/>
      <c r="D138" s="21"/>
      <c r="E138" s="24" t="s">
        <v>141</v>
      </c>
      <c r="F138" s="31">
        <v>69301</v>
      </c>
      <c r="G138" s="31">
        <v>0</v>
      </c>
      <c r="H138" s="31">
        <v>1421</v>
      </c>
      <c r="I138" s="31">
        <v>1829</v>
      </c>
      <c r="J138" s="31">
        <v>8047</v>
      </c>
      <c r="K138" s="33">
        <f t="shared" si="20"/>
        <v>80598</v>
      </c>
      <c r="L138" s="31">
        <v>0</v>
      </c>
      <c r="M138" s="31"/>
      <c r="N138" s="31">
        <v>0</v>
      </c>
      <c r="O138" s="19">
        <f t="shared" si="21"/>
        <v>0</v>
      </c>
      <c r="P138" s="37">
        <f>O138/K138</f>
        <v>0</v>
      </c>
    </row>
    <row r="139" spans="1:16" s="20" customFormat="1" x14ac:dyDescent="0.3">
      <c r="A139" s="20">
        <v>228</v>
      </c>
      <c r="B139" s="7"/>
      <c r="C139" s="8"/>
      <c r="D139" s="21"/>
      <c r="E139" s="24" t="s">
        <v>142</v>
      </c>
      <c r="F139" s="31">
        <v>371039</v>
      </c>
      <c r="G139" s="31">
        <v>0</v>
      </c>
      <c r="H139" s="31">
        <v>7608</v>
      </c>
      <c r="I139" s="31">
        <v>9792</v>
      </c>
      <c r="J139" s="31">
        <v>43085</v>
      </c>
      <c r="K139" s="33">
        <f t="shared" si="20"/>
        <v>431524</v>
      </c>
      <c r="L139" s="31">
        <v>0</v>
      </c>
      <c r="M139" s="31"/>
      <c r="N139" s="31">
        <v>0</v>
      </c>
      <c r="O139" s="19">
        <f t="shared" si="21"/>
        <v>0</v>
      </c>
      <c r="P139" s="37">
        <f>O139/K139</f>
        <v>0</v>
      </c>
    </row>
    <row r="140" spans="1:16" s="20" customFormat="1" x14ac:dyDescent="0.3">
      <c r="A140" s="20">
        <v>260</v>
      </c>
      <c r="B140" s="7"/>
      <c r="C140" s="8"/>
      <c r="D140" s="21"/>
      <c r="E140" s="24" t="s">
        <v>143</v>
      </c>
      <c r="F140" s="31">
        <v>0</v>
      </c>
      <c r="G140" s="31">
        <v>0</v>
      </c>
      <c r="H140" s="31">
        <v>0</v>
      </c>
      <c r="I140" s="31">
        <v>0</v>
      </c>
      <c r="J140" s="31">
        <v>0</v>
      </c>
      <c r="K140" s="33">
        <f t="shared" si="20"/>
        <v>0</v>
      </c>
      <c r="L140" s="31">
        <v>0</v>
      </c>
      <c r="M140" s="31"/>
      <c r="N140" s="31">
        <v>0</v>
      </c>
      <c r="O140" s="19">
        <f t="shared" si="21"/>
        <v>0</v>
      </c>
      <c r="P140" s="37">
        <v>0</v>
      </c>
    </row>
    <row r="141" spans="1:16" s="20" customFormat="1" x14ac:dyDescent="0.3">
      <c r="A141" s="20">
        <v>238</v>
      </c>
      <c r="B141" s="7"/>
      <c r="C141" s="8"/>
      <c r="D141" s="21"/>
      <c r="E141" s="24" t="s">
        <v>144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3">
        <f t="shared" si="20"/>
        <v>0</v>
      </c>
      <c r="L141" s="31">
        <v>0</v>
      </c>
      <c r="M141" s="31"/>
      <c r="N141" s="31">
        <v>0</v>
      </c>
      <c r="O141" s="19">
        <f t="shared" si="21"/>
        <v>0</v>
      </c>
      <c r="P141" s="37">
        <v>0</v>
      </c>
    </row>
    <row r="142" spans="1:16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2653916202</v>
      </c>
      <c r="G142" s="32">
        <f t="shared" ref="G142:K142" si="22">SUM(G55:G141)</f>
        <v>0</v>
      </c>
      <c r="H142" s="32">
        <f t="shared" si="22"/>
        <v>54419834</v>
      </c>
      <c r="I142" s="32">
        <f t="shared" si="22"/>
        <v>70039761</v>
      </c>
      <c r="J142" s="32">
        <f t="shared" si="22"/>
        <v>308175590</v>
      </c>
      <c r="K142" s="32">
        <f t="shared" si="22"/>
        <v>3086551387</v>
      </c>
      <c r="L142" s="32">
        <f t="shared" ref="L142" si="23">SUM(L55:L141)</f>
        <v>986700329.01999974</v>
      </c>
      <c r="M142" s="32">
        <f t="shared" ref="M142" si="24">SUM(M55:M141)</f>
        <v>0</v>
      </c>
      <c r="N142" s="32">
        <f t="shared" ref="N142" si="25">SUM(N55:N141)</f>
        <v>438042703.51999974</v>
      </c>
      <c r="O142" s="16">
        <f>SUM(O55:O141)</f>
        <v>1424743032.5399997</v>
      </c>
      <c r="P142" s="37">
        <f>O142/K142</f>
        <v>0.46159705571103121</v>
      </c>
    </row>
    <row r="143" spans="1:16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19"/>
    </row>
    <row r="144" spans="1:16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19"/>
    </row>
    <row r="145" spans="1:16" s="20" customFormat="1" x14ac:dyDescent="0.3">
      <c r="A145" s="20">
        <v>269</v>
      </c>
      <c r="B145" s="7"/>
      <c r="C145" s="8"/>
      <c r="D145" s="21"/>
      <c r="E145" s="24" t="s">
        <v>147</v>
      </c>
      <c r="F145" s="31">
        <v>0</v>
      </c>
      <c r="G145" s="31">
        <v>0</v>
      </c>
      <c r="H145" s="31">
        <v>0</v>
      </c>
      <c r="I145" s="31">
        <v>0</v>
      </c>
      <c r="J145" s="31">
        <v>0</v>
      </c>
      <c r="K145" s="33">
        <f t="shared" ref="K145:K159" si="26">SUM(F145:J145)</f>
        <v>0</v>
      </c>
      <c r="L145" s="31">
        <v>0</v>
      </c>
      <c r="M145" s="31"/>
      <c r="N145" s="31">
        <v>0</v>
      </c>
      <c r="O145" s="19">
        <f t="shared" ref="O145:O159" si="27">SUM(L145:N145)</f>
        <v>0</v>
      </c>
      <c r="P145" s="37">
        <v>0</v>
      </c>
    </row>
    <row r="146" spans="1:16" s="20" customFormat="1" x14ac:dyDescent="0.3">
      <c r="A146" s="20">
        <v>270</v>
      </c>
      <c r="B146" s="7"/>
      <c r="C146" s="8"/>
      <c r="D146" s="21"/>
      <c r="E146" s="24" t="s">
        <v>148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3">
        <f t="shared" si="26"/>
        <v>0</v>
      </c>
      <c r="L146" s="31">
        <v>0</v>
      </c>
      <c r="M146" s="31"/>
      <c r="N146" s="31">
        <v>0</v>
      </c>
      <c r="O146" s="19">
        <f t="shared" si="27"/>
        <v>0</v>
      </c>
      <c r="P146" s="37">
        <v>0</v>
      </c>
    </row>
    <row r="147" spans="1:16" s="20" customFormat="1" x14ac:dyDescent="0.3">
      <c r="A147" s="20">
        <v>271</v>
      </c>
      <c r="B147" s="7"/>
      <c r="C147" s="8"/>
      <c r="D147" s="21"/>
      <c r="E147" s="24" t="s">
        <v>149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3">
        <f t="shared" si="26"/>
        <v>0</v>
      </c>
      <c r="L147" s="31">
        <v>0</v>
      </c>
      <c r="M147" s="31"/>
      <c r="N147" s="31">
        <v>0</v>
      </c>
      <c r="O147" s="19">
        <f t="shared" si="27"/>
        <v>0</v>
      </c>
      <c r="P147" s="37">
        <v>0</v>
      </c>
    </row>
    <row r="148" spans="1:16" s="20" customFormat="1" x14ac:dyDescent="0.3">
      <c r="A148" s="20">
        <v>272</v>
      </c>
      <c r="B148" s="7"/>
      <c r="C148" s="8"/>
      <c r="D148" s="21"/>
      <c r="E148" s="24" t="s">
        <v>150</v>
      </c>
      <c r="F148" s="31">
        <v>88088214</v>
      </c>
      <c r="G148" s="31">
        <v>0</v>
      </c>
      <c r="H148" s="31">
        <v>1806291</v>
      </c>
      <c r="I148" s="31">
        <v>2324745</v>
      </c>
      <c r="J148" s="31">
        <v>10228898</v>
      </c>
      <c r="K148" s="33">
        <f t="shared" si="26"/>
        <v>102448148</v>
      </c>
      <c r="L148" s="31">
        <v>30142900.219999999</v>
      </c>
      <c r="M148" s="31"/>
      <c r="N148" s="31">
        <v>13564431.529999997</v>
      </c>
      <c r="O148" s="19">
        <f t="shared" si="27"/>
        <v>43707331.75</v>
      </c>
      <c r="P148" s="37">
        <f>O148/K148</f>
        <v>0.42662881275315978</v>
      </c>
    </row>
    <row r="149" spans="1:16" s="20" customFormat="1" x14ac:dyDescent="0.3">
      <c r="A149" s="20">
        <v>273</v>
      </c>
      <c r="B149" s="7"/>
      <c r="C149" s="8"/>
      <c r="D149" s="21"/>
      <c r="E149" s="24" t="s">
        <v>151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3">
        <f t="shared" si="26"/>
        <v>0</v>
      </c>
      <c r="L149" s="31">
        <v>0</v>
      </c>
      <c r="M149" s="31"/>
      <c r="N149" s="31">
        <v>0</v>
      </c>
      <c r="O149" s="19">
        <f t="shared" si="27"/>
        <v>0</v>
      </c>
      <c r="P149" s="37">
        <v>0</v>
      </c>
    </row>
    <row r="150" spans="1:16" s="20" customFormat="1" x14ac:dyDescent="0.3">
      <c r="A150" s="20">
        <v>265</v>
      </c>
      <c r="B150" s="7"/>
      <c r="C150" s="8"/>
      <c r="D150" s="21"/>
      <c r="E150" s="24" t="s">
        <v>152</v>
      </c>
      <c r="F150" s="31">
        <v>148408</v>
      </c>
      <c r="G150" s="31">
        <v>0</v>
      </c>
      <c r="H150" s="31">
        <v>3043</v>
      </c>
      <c r="I150" s="31">
        <v>3917</v>
      </c>
      <c r="J150" s="31">
        <v>17233</v>
      </c>
      <c r="K150" s="33">
        <f t="shared" si="26"/>
        <v>172601</v>
      </c>
      <c r="L150" s="31">
        <v>0</v>
      </c>
      <c r="M150" s="31"/>
      <c r="N150" s="31">
        <v>0</v>
      </c>
      <c r="O150" s="19">
        <f t="shared" si="27"/>
        <v>0</v>
      </c>
      <c r="P150" s="37">
        <f>O150/K150</f>
        <v>0</v>
      </c>
    </row>
    <row r="151" spans="1:16" s="20" customFormat="1" x14ac:dyDescent="0.3">
      <c r="A151" s="20">
        <v>266</v>
      </c>
      <c r="B151" s="7"/>
      <c r="C151" s="8"/>
      <c r="D151" s="21"/>
      <c r="E151" s="24" t="s">
        <v>153</v>
      </c>
      <c r="F151" s="31">
        <v>10383730</v>
      </c>
      <c r="G151" s="31">
        <v>0</v>
      </c>
      <c r="H151" s="31">
        <v>212923</v>
      </c>
      <c r="I151" s="31">
        <v>274038</v>
      </c>
      <c r="J151" s="31">
        <v>1205770</v>
      </c>
      <c r="K151" s="33">
        <f t="shared" si="26"/>
        <v>12076461</v>
      </c>
      <c r="L151" s="31">
        <v>0</v>
      </c>
      <c r="M151" s="31"/>
      <c r="N151" s="31">
        <v>0</v>
      </c>
      <c r="O151" s="19">
        <f t="shared" si="27"/>
        <v>0</v>
      </c>
      <c r="P151" s="37">
        <f>O151/K151</f>
        <v>0</v>
      </c>
    </row>
    <row r="152" spans="1:16" s="20" customFormat="1" x14ac:dyDescent="0.3">
      <c r="A152" s="20">
        <v>267</v>
      </c>
      <c r="B152" s="7"/>
      <c r="C152" s="8"/>
      <c r="D152" s="21"/>
      <c r="E152" s="24" t="s">
        <v>154</v>
      </c>
      <c r="F152" s="31">
        <v>29182665</v>
      </c>
      <c r="G152" s="31">
        <v>0</v>
      </c>
      <c r="H152" s="31">
        <v>598405</v>
      </c>
      <c r="I152" s="31">
        <v>770163</v>
      </c>
      <c r="J152" s="31">
        <v>3388722</v>
      </c>
      <c r="K152" s="33">
        <f t="shared" si="26"/>
        <v>33939955</v>
      </c>
      <c r="L152" s="31">
        <v>3420082.19</v>
      </c>
      <c r="M152" s="31"/>
      <c r="N152" s="31">
        <v>1560852.5999999996</v>
      </c>
      <c r="O152" s="19">
        <f t="shared" si="27"/>
        <v>4980934.7899999991</v>
      </c>
      <c r="P152" s="37">
        <f>O152/K152</f>
        <v>0.14675725969583633</v>
      </c>
    </row>
    <row r="153" spans="1:16" s="20" customFormat="1" x14ac:dyDescent="0.3">
      <c r="A153" s="20">
        <v>268</v>
      </c>
      <c r="B153" s="7"/>
      <c r="C153" s="8"/>
      <c r="D153" s="21"/>
      <c r="E153" s="24" t="s">
        <v>155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3">
        <f t="shared" si="26"/>
        <v>0</v>
      </c>
      <c r="L153" s="31">
        <v>0</v>
      </c>
      <c r="M153" s="31"/>
      <c r="N153" s="31">
        <v>0</v>
      </c>
      <c r="O153" s="19">
        <f t="shared" si="27"/>
        <v>0</v>
      </c>
      <c r="P153" s="37">
        <v>0</v>
      </c>
    </row>
    <row r="154" spans="1:16" s="20" customFormat="1" x14ac:dyDescent="0.3">
      <c r="A154" s="20">
        <v>274</v>
      </c>
      <c r="B154" s="7"/>
      <c r="C154" s="8"/>
      <c r="D154" s="21"/>
      <c r="E154" s="24" t="s">
        <v>156</v>
      </c>
      <c r="F154" s="31">
        <v>213005369</v>
      </c>
      <c r="G154" s="31">
        <v>0</v>
      </c>
      <c r="H154" s="31">
        <v>4367778</v>
      </c>
      <c r="I154" s="31">
        <v>5621445</v>
      </c>
      <c r="J154" s="31">
        <v>24734411</v>
      </c>
      <c r="K154" s="33">
        <f t="shared" si="26"/>
        <v>247729003</v>
      </c>
      <c r="L154" s="31">
        <v>85544948.569999993</v>
      </c>
      <c r="M154" s="31"/>
      <c r="N154" s="31">
        <v>37411538.339999996</v>
      </c>
      <c r="O154" s="19">
        <f t="shared" si="27"/>
        <v>122956486.91</v>
      </c>
      <c r="P154" s="37">
        <f>O154/K154</f>
        <v>0.49633464560465695</v>
      </c>
    </row>
    <row r="155" spans="1:16" s="20" customFormat="1" x14ac:dyDescent="0.3">
      <c r="A155" s="20">
        <v>275</v>
      </c>
      <c r="B155" s="7"/>
      <c r="C155" s="8"/>
      <c r="D155" s="21"/>
      <c r="E155" s="24" t="s">
        <v>157</v>
      </c>
      <c r="F155" s="31">
        <v>16770526</v>
      </c>
      <c r="G155" s="31">
        <v>0</v>
      </c>
      <c r="H155" s="31">
        <v>343888</v>
      </c>
      <c r="I155" s="31">
        <v>442593</v>
      </c>
      <c r="J155" s="31">
        <v>1947411</v>
      </c>
      <c r="K155" s="33">
        <f t="shared" si="26"/>
        <v>19504418</v>
      </c>
      <c r="L155" s="31">
        <v>9745097.3000000007</v>
      </c>
      <c r="M155" s="31"/>
      <c r="N155" s="31">
        <v>4266122.3199999994</v>
      </c>
      <c r="O155" s="19">
        <f t="shared" si="27"/>
        <v>14011219.620000001</v>
      </c>
      <c r="P155" s="37">
        <f>O155/K155</f>
        <v>0.7183613281872856</v>
      </c>
    </row>
    <row r="156" spans="1:16" s="20" customFormat="1" x14ac:dyDescent="0.3">
      <c r="A156" s="20">
        <v>276</v>
      </c>
      <c r="B156" s="7"/>
      <c r="C156" s="8"/>
      <c r="D156" s="21"/>
      <c r="E156" s="24" t="s">
        <v>158</v>
      </c>
      <c r="F156" s="31">
        <v>161462098</v>
      </c>
      <c r="G156" s="31">
        <v>0</v>
      </c>
      <c r="H156" s="31">
        <v>3310858</v>
      </c>
      <c r="I156" s="31">
        <v>4261162</v>
      </c>
      <c r="J156" s="31">
        <v>18749152</v>
      </c>
      <c r="K156" s="33">
        <f t="shared" si="26"/>
        <v>187783270</v>
      </c>
      <c r="L156" s="31">
        <v>80923392.939999998</v>
      </c>
      <c r="M156" s="31"/>
      <c r="N156" s="31">
        <v>35425925.599999994</v>
      </c>
      <c r="O156" s="19">
        <f t="shared" si="27"/>
        <v>116349318.53999999</v>
      </c>
      <c r="P156" s="37">
        <f>O156/K156</f>
        <v>0.61959363334124484</v>
      </c>
    </row>
    <row r="157" spans="1:16" s="20" customFormat="1" x14ac:dyDescent="0.3">
      <c r="A157" s="20">
        <v>277</v>
      </c>
      <c r="B157" s="7"/>
      <c r="C157" s="8"/>
      <c r="D157" s="21"/>
      <c r="E157" s="24" t="s">
        <v>159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3">
        <f t="shared" si="26"/>
        <v>0</v>
      </c>
      <c r="L157" s="31">
        <v>0</v>
      </c>
      <c r="M157" s="31"/>
      <c r="N157" s="31">
        <v>0</v>
      </c>
      <c r="O157" s="19">
        <f t="shared" si="27"/>
        <v>0</v>
      </c>
      <c r="P157" s="37">
        <v>0</v>
      </c>
    </row>
    <row r="158" spans="1:16" s="20" customFormat="1" x14ac:dyDescent="0.3">
      <c r="A158" s="20">
        <v>278</v>
      </c>
      <c r="B158" s="7"/>
      <c r="C158" s="8"/>
      <c r="D158" s="21"/>
      <c r="E158" s="24" t="s">
        <v>160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3">
        <f t="shared" si="26"/>
        <v>0</v>
      </c>
      <c r="L158" s="31">
        <v>0</v>
      </c>
      <c r="M158" s="31"/>
      <c r="N158" s="31">
        <v>0</v>
      </c>
      <c r="O158" s="19">
        <f t="shared" si="27"/>
        <v>0</v>
      </c>
      <c r="P158" s="37">
        <v>0</v>
      </c>
    </row>
    <row r="159" spans="1:16" s="20" customFormat="1" x14ac:dyDescent="0.3">
      <c r="A159" s="20">
        <v>279</v>
      </c>
      <c r="B159" s="7"/>
      <c r="C159" s="8"/>
      <c r="D159" s="21"/>
      <c r="E159" s="24" t="s">
        <v>161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3">
        <f t="shared" si="26"/>
        <v>0</v>
      </c>
      <c r="L159" s="31">
        <v>0</v>
      </c>
      <c r="M159" s="31"/>
      <c r="N159" s="31">
        <v>0</v>
      </c>
      <c r="O159" s="19">
        <f t="shared" si="27"/>
        <v>0</v>
      </c>
      <c r="P159" s="37">
        <v>0</v>
      </c>
    </row>
    <row r="160" spans="1:16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519041010</v>
      </c>
      <c r="G160" s="32">
        <f t="shared" ref="G160:K160" si="28">SUM(G145:G159)</f>
        <v>0</v>
      </c>
      <c r="H160" s="32">
        <f t="shared" si="28"/>
        <v>10643186</v>
      </c>
      <c r="I160" s="32">
        <f t="shared" si="28"/>
        <v>13698063</v>
      </c>
      <c r="J160" s="32">
        <f t="shared" si="28"/>
        <v>60271597</v>
      </c>
      <c r="K160" s="32">
        <f t="shared" si="28"/>
        <v>603653856</v>
      </c>
      <c r="L160" s="32">
        <f t="shared" ref="L160" si="29">SUM(L145:L159)</f>
        <v>209776421.21999997</v>
      </c>
      <c r="M160" s="32">
        <f t="shared" ref="M160" si="30">SUM(M145:M159)</f>
        <v>0</v>
      </c>
      <c r="N160" s="32">
        <f t="shared" ref="N160" si="31">SUM(N145:N159)</f>
        <v>92228870.389999986</v>
      </c>
      <c r="O160" s="16">
        <f>SUM(O145:O159)</f>
        <v>302005291.61000001</v>
      </c>
      <c r="P160" s="37">
        <f>O160/K160</f>
        <v>0.50029547332171764</v>
      </c>
    </row>
    <row r="161" spans="1:16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19"/>
      <c r="P161" s="19"/>
    </row>
    <row r="162" spans="1:16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8843528192</v>
      </c>
      <c r="G162" s="32">
        <f t="shared" ref="G162:K162" si="32">SUM(G52,G142,G160)</f>
        <v>0</v>
      </c>
      <c r="H162" s="32">
        <f t="shared" si="32"/>
        <v>181340818</v>
      </c>
      <c r="I162" s="32">
        <f t="shared" si="32"/>
        <v>233390408</v>
      </c>
      <c r="J162" s="32">
        <f t="shared" si="32"/>
        <v>1026919961</v>
      </c>
      <c r="K162" s="32">
        <f t="shared" si="32"/>
        <v>10285179379</v>
      </c>
      <c r="L162" s="32">
        <f t="shared" ref="L162:M162" si="33">SUM(L52,L142,L160)</f>
        <v>2889448275.2299995</v>
      </c>
      <c r="M162" s="32">
        <f t="shared" si="33"/>
        <v>0</v>
      </c>
      <c r="N162" s="32">
        <f t="shared" ref="N162" si="34">SUM(N52,N142,N160)</f>
        <v>1281719436.7099996</v>
      </c>
      <c r="O162" s="16">
        <f>SUM(O160,O142,O52)</f>
        <v>4171167711.9399996</v>
      </c>
      <c r="P162" s="37">
        <f>O162/K162</f>
        <v>0.40555128483773228</v>
      </c>
    </row>
    <row r="163" spans="1:16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19"/>
      <c r="P163" s="19"/>
    </row>
    <row r="164" spans="1:16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32">
        <v>1141.3</v>
      </c>
      <c r="M164" s="15"/>
      <c r="N164" s="32">
        <v>14681276.829999996</v>
      </c>
      <c r="O164" s="16">
        <f t="shared" ref="O164" si="35">SUM(L164:N164)</f>
        <v>14682418.129999997</v>
      </c>
      <c r="P164" s="16">
        <v>0</v>
      </c>
    </row>
    <row r="165" spans="1:16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19"/>
    </row>
    <row r="166" spans="1:16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36848159617</v>
      </c>
      <c r="G166" s="32">
        <f t="shared" ref="G166:K166" si="36">G23+G25-G162+G164</f>
        <v>1967516059</v>
      </c>
      <c r="H166" s="32">
        <f t="shared" si="36"/>
        <v>1496752370</v>
      </c>
      <c r="I166" s="32">
        <f t="shared" si="36"/>
        <v>2752327346</v>
      </c>
      <c r="J166" s="32">
        <f t="shared" si="36"/>
        <v>1028280824</v>
      </c>
      <c r="K166" s="32">
        <f t="shared" si="36"/>
        <v>44093036216</v>
      </c>
      <c r="L166" s="32">
        <f>L23+L25-L162+L164</f>
        <v>27657562933.400009</v>
      </c>
      <c r="M166" s="32">
        <f>M23+M25-M162+M164</f>
        <v>42841861</v>
      </c>
      <c r="N166" s="32">
        <f t="shared" ref="N166" si="37">N23+N25-N162+N164</f>
        <v>-2618332639.1815934</v>
      </c>
      <c r="O166" s="16">
        <f>O23+O25-O162+O164</f>
        <v>25082072155.21843</v>
      </c>
      <c r="P166" s="37">
        <f>O166/K166</f>
        <v>0.56884429623644106</v>
      </c>
    </row>
    <row r="167" spans="1:16" s="7" customFormat="1" x14ac:dyDescent="0.3">
      <c r="C167" s="8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</row>
    <row r="168" spans="1:16" x14ac:dyDescent="0.3">
      <c r="K168" s="48"/>
    </row>
    <row r="169" spans="1:16" x14ac:dyDescent="0.3">
      <c r="J169" s="45" t="s">
        <v>167</v>
      </c>
      <c r="K169" s="66">
        <f>K162/K11</f>
        <v>5.6399481729517295E-2</v>
      </c>
      <c r="N169" s="45" t="s">
        <v>167</v>
      </c>
      <c r="O169" s="66">
        <f>O162/O11</f>
        <v>3.2543345554050765E-2</v>
      </c>
      <c r="P169" s="37">
        <f>O169/K169</f>
        <v>0.57701497524610845</v>
      </c>
    </row>
  </sheetData>
  <mergeCells count="3">
    <mergeCell ref="D5:E6"/>
    <mergeCell ref="F5:K5"/>
    <mergeCell ref="L5:O5"/>
  </mergeCells>
  <conditionalFormatting sqref="A1:A1048576">
    <cfRule type="duplicateValues" dxfId="23" priority="15"/>
  </conditionalFormatting>
  <conditionalFormatting sqref="D7:O167">
    <cfRule type="expression" dxfId="22" priority="14">
      <formula>IF(MOD(ROW(),2)=0,TRUE,FALSE)</formula>
    </cfRule>
  </conditionalFormatting>
  <conditionalFormatting sqref="D8:P166">
    <cfRule type="expression" dxfId="21" priority="7">
      <formula>IF($C8="Y2",1,0)</formula>
    </cfRule>
    <cfRule type="expression" dxfId="20" priority="8">
      <formula>IF($C8="X2",1,0)</formula>
    </cfRule>
    <cfRule type="expression" dxfId="19" priority="9">
      <formula>IF($C8="X1",1,0)</formula>
    </cfRule>
  </conditionalFormatting>
  <conditionalFormatting sqref="P7:P166">
    <cfRule type="expression" dxfId="18" priority="10">
      <formula>IF(MOD(ROW(),2)=0,TRUE,FALSE)</formula>
    </cfRule>
  </conditionalFormatting>
  <conditionalFormatting sqref="P12">
    <cfRule type="cellIs" dxfId="17" priority="5" operator="greaterThan">
      <formula>1</formula>
    </cfRule>
  </conditionalFormatting>
  <conditionalFormatting sqref="P29:P52 P55:P142 P145:P162">
    <cfRule type="cellIs" dxfId="16" priority="6" operator="greaterThan">
      <formula>1</formula>
    </cfRule>
  </conditionalFormatting>
  <conditionalFormatting sqref="P169">
    <cfRule type="expression" dxfId="15" priority="1">
      <formula>IF($C169="Y2",1,0)</formula>
    </cfRule>
    <cfRule type="expression" dxfId="14" priority="2">
      <formula>IF($C169="X2",1,0)</formula>
    </cfRule>
    <cfRule type="expression" dxfId="13" priority="3">
      <formula>IF($C169="X1",1,0)</formula>
    </cfRule>
    <cfRule type="expression" dxfId="12" priority="4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A47D-18F7-436B-924C-9012CDD1320C}">
  <sheetPr>
    <tabColor theme="7" tint="0.79998168889431442"/>
    <pageSetUpPr fitToPage="1"/>
  </sheetPr>
  <dimension ref="A1:P169"/>
  <sheetViews>
    <sheetView showGridLines="0" zoomScale="70" zoomScaleNormal="70" workbookViewId="0">
      <pane xSplit="5" ySplit="6" topLeftCell="H131" activePane="bottomRight" state="frozen"/>
      <selection pane="topRight" activeCell="BA157" sqref="BA157"/>
      <selection pane="bottomLeft" activeCell="BA157" sqref="BA157"/>
      <selection pane="bottomRight" activeCell="H147" sqref="H147"/>
    </sheetView>
  </sheetViews>
  <sheetFormatPr defaultColWidth="8.85546875" defaultRowHeight="16.5" x14ac:dyDescent="0.3"/>
  <cols>
    <col min="1" max="1" width="9" style="1" hidden="1" customWidth="1"/>
    <col min="2" max="2" width="3.85546875" style="1" hidden="1" customWidth="1"/>
    <col min="3" max="3" width="12" style="2" hidden="1" customWidth="1"/>
    <col min="4" max="4" width="4" style="1" customWidth="1"/>
    <col min="5" max="5" width="66.140625" style="1" customWidth="1"/>
    <col min="6" max="6" width="26.28515625" style="1" bestFit="1" customWidth="1"/>
    <col min="7" max="7" width="22.28515625" style="1" bestFit="1" customWidth="1"/>
    <col min="8" max="10" width="23.5703125" style="1" bestFit="1" customWidth="1"/>
    <col min="11" max="12" width="26.28515625" style="1" bestFit="1" customWidth="1"/>
    <col min="13" max="13" width="21.5703125" style="1" customWidth="1"/>
    <col min="14" max="14" width="24.85546875" style="1" customWidth="1"/>
    <col min="15" max="15" width="27.5703125" style="3" bestFit="1" customWidth="1"/>
    <col min="16" max="16" width="10.140625" style="1" customWidth="1"/>
    <col min="17" max="16384" width="8.85546875" style="1"/>
  </cols>
  <sheetData>
    <row r="1" spans="1:16" x14ac:dyDescent="0.3">
      <c r="D1" s="1" t="s">
        <v>0</v>
      </c>
    </row>
    <row r="2" spans="1:16" x14ac:dyDescent="0.3">
      <c r="D2" s="1" t="s">
        <v>1</v>
      </c>
    </row>
    <row r="4" spans="1:16" s="2" customFormat="1" ht="16.5" hidden="1" customHeight="1" x14ac:dyDescent="0.3">
      <c r="O4" s="4" t="e">
        <f>#REF!</f>
        <v>#REF!</v>
      </c>
    </row>
    <row r="5" spans="1:16" s="5" customFormat="1" ht="33" customHeight="1" x14ac:dyDescent="0.25">
      <c r="C5" s="6"/>
      <c r="D5" s="72" t="s">
        <v>2</v>
      </c>
      <c r="E5" s="72"/>
      <c r="F5" s="74" t="s">
        <v>178</v>
      </c>
      <c r="G5" s="75"/>
      <c r="H5" s="75"/>
      <c r="I5" s="75"/>
      <c r="J5" s="75"/>
      <c r="K5" s="76"/>
      <c r="L5" s="75" t="s">
        <v>179</v>
      </c>
      <c r="M5" s="75"/>
      <c r="N5" s="75"/>
      <c r="O5" s="77"/>
      <c r="P5" s="30" t="s">
        <v>5</v>
      </c>
    </row>
    <row r="6" spans="1:16" s="5" customFormat="1" x14ac:dyDescent="0.25">
      <c r="C6" s="6"/>
      <c r="D6" s="73"/>
      <c r="E6" s="73"/>
      <c r="F6" s="29" t="s">
        <v>6</v>
      </c>
      <c r="G6" s="29" t="s">
        <v>7</v>
      </c>
      <c r="H6" s="29" t="s">
        <v>8</v>
      </c>
      <c r="I6" s="29" t="s">
        <v>9</v>
      </c>
      <c r="J6" s="29" t="s">
        <v>10</v>
      </c>
      <c r="K6" s="29" t="s">
        <v>11</v>
      </c>
      <c r="L6" s="29" t="s">
        <v>6</v>
      </c>
      <c r="M6" s="29" t="s">
        <v>7</v>
      </c>
      <c r="N6" s="29" t="s">
        <v>12</v>
      </c>
      <c r="O6" s="29" t="s">
        <v>11</v>
      </c>
      <c r="P6" s="29" t="s">
        <v>5</v>
      </c>
    </row>
    <row r="7" spans="1:16" s="7" customFormat="1" x14ac:dyDescent="0.3"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1"/>
    </row>
    <row r="8" spans="1:16" s="12" customFormat="1" x14ac:dyDescent="0.3">
      <c r="C8" s="13" t="s">
        <v>13</v>
      </c>
      <c r="D8" s="14" t="s">
        <v>14</v>
      </c>
      <c r="E8" s="15"/>
      <c r="F8" s="32">
        <v>4664917476572</v>
      </c>
      <c r="G8" s="32">
        <v>0</v>
      </c>
      <c r="H8" s="32">
        <v>596979491871</v>
      </c>
      <c r="I8" s="32">
        <v>458609665500</v>
      </c>
      <c r="J8" s="32">
        <v>841910450602</v>
      </c>
      <c r="K8" s="32">
        <f>SUM(F8:J8)</f>
        <v>6562417084545</v>
      </c>
      <c r="L8" s="32">
        <v>3402847035022.6602</v>
      </c>
      <c r="M8" s="15"/>
      <c r="N8" s="32">
        <v>1562312998293.47</v>
      </c>
      <c r="O8" s="16">
        <f>SUM(L8:N8)</f>
        <v>4965160033316.1299</v>
      </c>
      <c r="P8" s="37">
        <f>O8/K8</f>
        <v>0.75660537410971118</v>
      </c>
    </row>
    <row r="9" spans="1:16" s="7" customFormat="1" x14ac:dyDescent="0.3">
      <c r="C9" s="8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9"/>
    </row>
    <row r="10" spans="1:16" s="12" customFormat="1" x14ac:dyDescent="0.3">
      <c r="C10" s="13" t="s">
        <v>15</v>
      </c>
      <c r="D10" s="14" t="s">
        <v>16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P10" s="16"/>
    </row>
    <row r="11" spans="1:16" s="20" customFormat="1" x14ac:dyDescent="0.3">
      <c r="A11" s="20">
        <v>7</v>
      </c>
      <c r="B11" s="7">
        <v>8</v>
      </c>
      <c r="C11" s="8"/>
      <c r="D11" s="21"/>
      <c r="E11" s="22" t="s">
        <v>17</v>
      </c>
      <c r="F11" s="33">
        <v>168672834906</v>
      </c>
      <c r="G11" s="33">
        <v>0</v>
      </c>
      <c r="H11" s="33">
        <v>1945528854</v>
      </c>
      <c r="I11" s="33">
        <v>4451461040</v>
      </c>
      <c r="J11" s="33">
        <v>19296133723</v>
      </c>
      <c r="K11" s="33">
        <f t="shared" ref="K11:K13" si="0">SUM(F11:J11)</f>
        <v>194365958523</v>
      </c>
      <c r="L11" s="33">
        <v>73404051914.350006</v>
      </c>
      <c r="M11" s="33">
        <v>0</v>
      </c>
      <c r="N11" s="33">
        <v>27397054615.689995</v>
      </c>
      <c r="O11" s="19">
        <f t="shared" ref="O11:O13" si="1">SUM(L11:N11)</f>
        <v>100801106530.04001</v>
      </c>
      <c r="P11" s="37">
        <f>O11/K11</f>
        <v>0.51861502547068639</v>
      </c>
    </row>
    <row r="12" spans="1:16" s="20" customFormat="1" x14ac:dyDescent="0.3">
      <c r="A12" s="20">
        <v>12</v>
      </c>
      <c r="B12" s="7">
        <v>10</v>
      </c>
      <c r="C12" s="8"/>
      <c r="D12" s="21"/>
      <c r="E12" s="22" t="s">
        <v>18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 t="shared" si="0"/>
        <v>0</v>
      </c>
      <c r="L12" s="33">
        <v>0</v>
      </c>
      <c r="M12" s="33">
        <v>0</v>
      </c>
      <c r="N12" s="33">
        <v>0</v>
      </c>
      <c r="O12" s="19">
        <f t="shared" si="1"/>
        <v>0</v>
      </c>
      <c r="P12" s="37">
        <v>0</v>
      </c>
    </row>
    <row r="13" spans="1:16" s="20" customFormat="1" x14ac:dyDescent="0.3">
      <c r="A13" s="20">
        <v>9</v>
      </c>
      <c r="B13" s="7">
        <v>9</v>
      </c>
      <c r="C13" s="8"/>
      <c r="D13" s="21"/>
      <c r="E13" s="22" t="s">
        <v>19</v>
      </c>
      <c r="F13" s="33">
        <v>15188327377</v>
      </c>
      <c r="G13" s="33">
        <v>0</v>
      </c>
      <c r="H13" s="33">
        <v>236222877</v>
      </c>
      <c r="I13" s="33">
        <v>664280590</v>
      </c>
      <c r="J13" s="33">
        <v>11511401008</v>
      </c>
      <c r="K13" s="33">
        <f t="shared" si="0"/>
        <v>27600231852</v>
      </c>
      <c r="L13" s="33">
        <v>7157183358.960001</v>
      </c>
      <c r="M13" s="33">
        <v>0</v>
      </c>
      <c r="N13" s="33">
        <v>3461486782.0700002</v>
      </c>
      <c r="O13" s="19">
        <f t="shared" si="1"/>
        <v>10618670141.030001</v>
      </c>
      <c r="P13" s="37">
        <f>O13/K13</f>
        <v>0.38473119349033796</v>
      </c>
    </row>
    <row r="14" spans="1:16" s="23" customFormat="1" x14ac:dyDescent="0.3">
      <c r="B14" s="12"/>
      <c r="C14" s="13" t="s">
        <v>20</v>
      </c>
      <c r="D14" s="14"/>
      <c r="E14" s="15" t="s">
        <v>21</v>
      </c>
      <c r="F14" s="32">
        <f>F11-F12-F13</f>
        <v>153484507529</v>
      </c>
      <c r="G14" s="32">
        <f t="shared" ref="G14:K14" si="2">G11-G12-G13</f>
        <v>0</v>
      </c>
      <c r="H14" s="32">
        <f t="shared" si="2"/>
        <v>1709305977</v>
      </c>
      <c r="I14" s="32">
        <f t="shared" si="2"/>
        <v>3787180450</v>
      </c>
      <c r="J14" s="32">
        <f t="shared" si="2"/>
        <v>7784732715</v>
      </c>
      <c r="K14" s="32">
        <f t="shared" si="2"/>
        <v>166765726671</v>
      </c>
      <c r="L14" s="32">
        <f t="shared" ref="L14" si="3">L11-L12-L13</f>
        <v>66246868555.390007</v>
      </c>
      <c r="M14" s="32">
        <f t="shared" ref="M14" si="4">M11-M12-M13</f>
        <v>0</v>
      </c>
      <c r="N14" s="32">
        <f t="shared" ref="N14" si="5">N11-N12-N13</f>
        <v>23935567833.619995</v>
      </c>
      <c r="O14" s="16">
        <f t="shared" ref="O14" si="6">O11-O12-O13</f>
        <v>90182436389.01001</v>
      </c>
      <c r="P14" s="37">
        <f>O14/K14</f>
        <v>0.5407732043582576</v>
      </c>
    </row>
    <row r="15" spans="1:16" s="20" customFormat="1" x14ac:dyDescent="0.3">
      <c r="B15" s="7"/>
      <c r="C15" s="8" t="s">
        <v>22</v>
      </c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9"/>
      <c r="P15" s="19"/>
    </row>
    <row r="16" spans="1:16" s="23" customFormat="1" x14ac:dyDescent="0.3">
      <c r="B16" s="12"/>
      <c r="C16" s="13" t="s">
        <v>15</v>
      </c>
      <c r="D16" s="14" t="s">
        <v>23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6"/>
    </row>
    <row r="17" spans="1:16" s="20" customFormat="1" x14ac:dyDescent="0.3">
      <c r="A17" s="20">
        <v>22</v>
      </c>
      <c r="B17" s="7">
        <v>13</v>
      </c>
      <c r="C17" s="8"/>
      <c r="D17" s="21"/>
      <c r="E17" s="22" t="s">
        <v>24</v>
      </c>
      <c r="F17" s="33">
        <v>151625659785</v>
      </c>
      <c r="G17" s="33">
        <v>1294117808</v>
      </c>
      <c r="H17" s="33">
        <v>156790885</v>
      </c>
      <c r="I17" s="33">
        <v>1592120829</v>
      </c>
      <c r="J17" s="33">
        <v>17171350143</v>
      </c>
      <c r="K17" s="33">
        <f t="shared" ref="K17:K20" si="7">SUM(F17:J17)</f>
        <v>171840039450</v>
      </c>
      <c r="L17" s="33">
        <v>50206005210.660004</v>
      </c>
      <c r="M17" s="33">
        <v>297554420</v>
      </c>
      <c r="N17" s="33">
        <v>37477192955.610001</v>
      </c>
      <c r="O17" s="19">
        <f t="shared" ref="O17:O20" si="8">SUM(L17:N17)</f>
        <v>87980752586.270004</v>
      </c>
      <c r="P17" s="37">
        <f>O17/K17</f>
        <v>0.51199215775244056</v>
      </c>
    </row>
    <row r="18" spans="1:16" s="20" customFormat="1" x14ac:dyDescent="0.3">
      <c r="A18" s="20">
        <v>24</v>
      </c>
      <c r="B18" s="7">
        <v>14</v>
      </c>
      <c r="C18" s="8"/>
      <c r="D18" s="21"/>
      <c r="E18" s="22" t="s">
        <v>25</v>
      </c>
      <c r="F18" s="33">
        <v>2087831866</v>
      </c>
      <c r="G18" s="33">
        <v>-320525468</v>
      </c>
      <c r="H18" s="33">
        <v>573231291</v>
      </c>
      <c r="I18" s="33">
        <v>45281226</v>
      </c>
      <c r="J18" s="33">
        <v>3760153971</v>
      </c>
      <c r="K18" s="33">
        <f t="shared" si="7"/>
        <v>6145972886</v>
      </c>
      <c r="L18" s="33">
        <v>2300348478.6500001</v>
      </c>
      <c r="M18" s="33">
        <v>-320525468</v>
      </c>
      <c r="N18" s="33">
        <v>1491054032.1300001</v>
      </c>
      <c r="O18" s="19">
        <f t="shared" si="8"/>
        <v>3470877042.7800002</v>
      </c>
      <c r="P18" s="37">
        <f>O18/K18</f>
        <v>0.5647400512759112</v>
      </c>
    </row>
    <row r="19" spans="1:16" s="20" customFormat="1" x14ac:dyDescent="0.3">
      <c r="A19" s="20">
        <v>32</v>
      </c>
      <c r="B19" s="7">
        <v>15</v>
      </c>
      <c r="C19" s="8"/>
      <c r="D19" s="21"/>
      <c r="E19" s="22" t="s">
        <v>26</v>
      </c>
      <c r="F19" s="33">
        <v>40935666622</v>
      </c>
      <c r="G19" s="33">
        <v>4443882066</v>
      </c>
      <c r="H19" s="33">
        <v>26048340</v>
      </c>
      <c r="I19" s="33">
        <v>53152695</v>
      </c>
      <c r="J19" s="33">
        <v>14103682420</v>
      </c>
      <c r="K19" s="33">
        <f t="shared" si="7"/>
        <v>59562432143</v>
      </c>
      <c r="L19" s="33">
        <v>13785695482.499998</v>
      </c>
      <c r="M19" s="33">
        <v>1268095741</v>
      </c>
      <c r="N19" s="33">
        <v>7059752999.050437</v>
      </c>
      <c r="O19" s="19">
        <f t="shared" si="8"/>
        <v>22113544222.550434</v>
      </c>
      <c r="P19" s="37">
        <f>O19/K19</f>
        <v>0.37126664286406746</v>
      </c>
    </row>
    <row r="20" spans="1:16" s="20" customFormat="1" x14ac:dyDescent="0.3">
      <c r="A20" s="20">
        <v>37</v>
      </c>
      <c r="B20" s="7">
        <v>16</v>
      </c>
      <c r="C20" s="8"/>
      <c r="D20" s="21"/>
      <c r="E20" s="22" t="s">
        <v>27</v>
      </c>
      <c r="F20" s="33">
        <v>2396724198</v>
      </c>
      <c r="G20" s="33">
        <v>0</v>
      </c>
      <c r="H20" s="33">
        <v>41053155</v>
      </c>
      <c r="I20" s="33">
        <v>101532380</v>
      </c>
      <c r="J20" s="33">
        <v>1756397793</v>
      </c>
      <c r="K20" s="33">
        <f t="shared" si="7"/>
        <v>4295707526</v>
      </c>
      <c r="L20" s="33">
        <v>1187676913.4499998</v>
      </c>
      <c r="M20" s="33">
        <v>0</v>
      </c>
      <c r="N20" s="33">
        <v>505466248.39000005</v>
      </c>
      <c r="O20" s="19">
        <f t="shared" si="8"/>
        <v>1693143161.8399999</v>
      </c>
      <c r="P20" s="37">
        <f>O20/K20</f>
        <v>0.39414768151513113</v>
      </c>
    </row>
    <row r="21" spans="1:16" s="23" customFormat="1" x14ac:dyDescent="0.3">
      <c r="B21" s="12"/>
      <c r="C21" s="13" t="s">
        <v>20</v>
      </c>
      <c r="D21" s="14"/>
      <c r="E21" s="15" t="s">
        <v>28</v>
      </c>
      <c r="F21" s="32">
        <f>F17+F18-F19-F20</f>
        <v>110381100831</v>
      </c>
      <c r="G21" s="32">
        <f t="shared" ref="G21:K21" si="9">G17+G18-G19-G20</f>
        <v>-3470289726</v>
      </c>
      <c r="H21" s="32">
        <f t="shared" si="9"/>
        <v>662920681</v>
      </c>
      <c r="I21" s="32">
        <f t="shared" si="9"/>
        <v>1482716980</v>
      </c>
      <c r="J21" s="32">
        <f t="shared" si="9"/>
        <v>5071423901</v>
      </c>
      <c r="K21" s="32">
        <f t="shared" si="9"/>
        <v>114127872667</v>
      </c>
      <c r="L21" s="32">
        <f t="shared" ref="L21" si="10">L17+L18-L19-L20</f>
        <v>37532981293.360008</v>
      </c>
      <c r="M21" s="32">
        <f t="shared" ref="M21" si="11">M17+M18-M19-M20</f>
        <v>-1291066789</v>
      </c>
      <c r="N21" s="32">
        <f t="shared" ref="N21" si="12">N17+N18-N19-N20</f>
        <v>31403027740.299561</v>
      </c>
      <c r="O21" s="16">
        <f t="shared" ref="O21" si="13">O17+O18-O19-O20</f>
        <v>67644942244.659576</v>
      </c>
      <c r="P21" s="37">
        <f>O21/K21</f>
        <v>0.59271184736819393</v>
      </c>
    </row>
    <row r="22" spans="1:16" s="20" customFormat="1" x14ac:dyDescent="0.3">
      <c r="B22" s="7"/>
      <c r="C22" s="8"/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9"/>
      <c r="P22" s="19"/>
    </row>
    <row r="23" spans="1:16" s="23" customFormat="1" x14ac:dyDescent="0.3">
      <c r="B23" s="12"/>
      <c r="C23" s="13" t="s">
        <v>13</v>
      </c>
      <c r="D23" s="14" t="s">
        <v>29</v>
      </c>
      <c r="E23" s="15"/>
      <c r="F23" s="32">
        <f>F14-F21</f>
        <v>43103406698</v>
      </c>
      <c r="G23" s="32">
        <f t="shared" ref="G23:K23" si="14">G14-G21</f>
        <v>3470289726</v>
      </c>
      <c r="H23" s="32">
        <f t="shared" si="14"/>
        <v>1046385296</v>
      </c>
      <c r="I23" s="32">
        <f t="shared" si="14"/>
        <v>2304463470</v>
      </c>
      <c r="J23" s="32">
        <f t="shared" si="14"/>
        <v>2713308814</v>
      </c>
      <c r="K23" s="32">
        <f t="shared" si="14"/>
        <v>52637854004</v>
      </c>
      <c r="L23" s="32">
        <f t="shared" ref="L23:M23" si="15">L14-L21</f>
        <v>28713887262.029999</v>
      </c>
      <c r="M23" s="32">
        <f t="shared" si="15"/>
        <v>1291066789</v>
      </c>
      <c r="N23" s="32">
        <f t="shared" ref="N23" si="16">N14-N21</f>
        <v>-7467459906.6795654</v>
      </c>
      <c r="O23" s="16">
        <f>O14-O21</f>
        <v>22537494144.350433</v>
      </c>
      <c r="P23" s="37">
        <f>O23/K23</f>
        <v>0.42816134074610618</v>
      </c>
    </row>
    <row r="24" spans="1:16" s="20" customFormat="1" x14ac:dyDescent="0.3">
      <c r="B24" s="7"/>
      <c r="C24" s="8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1:16" s="23" customFormat="1" x14ac:dyDescent="0.3">
      <c r="B25" s="12">
        <v>19</v>
      </c>
      <c r="C25" s="13" t="s">
        <v>13</v>
      </c>
      <c r="D25" s="14" t="s">
        <v>30</v>
      </c>
      <c r="E25" s="15"/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/>
      <c r="M25" s="15"/>
      <c r="N25" s="15"/>
      <c r="O25" s="19">
        <v>0</v>
      </c>
      <c r="P25" s="19">
        <v>0</v>
      </c>
    </row>
    <row r="26" spans="1:16" s="20" customFormat="1" x14ac:dyDescent="0.3">
      <c r="B26" s="7"/>
      <c r="C26" s="8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1:16" s="23" customFormat="1" x14ac:dyDescent="0.3">
      <c r="B27" s="12"/>
      <c r="C27" s="13" t="s">
        <v>13</v>
      </c>
      <c r="D27" s="14" t="s">
        <v>31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6"/>
    </row>
    <row r="28" spans="1:16" s="23" customFormat="1" x14ac:dyDescent="0.3">
      <c r="B28" s="12"/>
      <c r="C28" s="13" t="s">
        <v>15</v>
      </c>
      <c r="D28" s="14"/>
      <c r="E28" s="15" t="s">
        <v>32</v>
      </c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6"/>
    </row>
    <row r="29" spans="1:16" s="20" customFormat="1" x14ac:dyDescent="0.3">
      <c r="A29" s="20">
        <v>94</v>
      </c>
      <c r="B29" s="7"/>
      <c r="C29" s="8"/>
      <c r="D29" s="21"/>
      <c r="E29" s="24" t="s">
        <v>33</v>
      </c>
      <c r="F29" s="31">
        <v>1373594926</v>
      </c>
      <c r="G29" s="31">
        <v>0</v>
      </c>
      <c r="H29" s="31">
        <v>28166228</v>
      </c>
      <c r="I29" s="31">
        <v>36250676</v>
      </c>
      <c r="J29" s="31">
        <v>159503313</v>
      </c>
      <c r="K29" s="33">
        <f t="shared" ref="K29:K51" si="17">SUM(F29:J29)</f>
        <v>1597515143</v>
      </c>
      <c r="L29" s="31">
        <v>586183549.90999997</v>
      </c>
      <c r="M29" s="31"/>
      <c r="N29" s="31">
        <v>257389908.09</v>
      </c>
      <c r="O29" s="19">
        <f t="shared" ref="O29:O51" si="18">SUM(L29:N29)</f>
        <v>843573458</v>
      </c>
      <c r="P29" s="37">
        <f t="shared" ref="P29:P34" si="19">O29/K29</f>
        <v>0.5280534971429689</v>
      </c>
    </row>
    <row r="30" spans="1:16" s="20" customFormat="1" x14ac:dyDescent="0.3">
      <c r="A30" s="20">
        <v>95</v>
      </c>
      <c r="B30" s="7"/>
      <c r="C30" s="8"/>
      <c r="D30" s="21"/>
      <c r="E30" s="24" t="s">
        <v>34</v>
      </c>
      <c r="F30" s="31">
        <v>43007556</v>
      </c>
      <c r="G30" s="31">
        <v>0</v>
      </c>
      <c r="H30" s="31">
        <v>881891</v>
      </c>
      <c r="I30" s="31">
        <v>1135017</v>
      </c>
      <c r="J30" s="31">
        <v>4994083</v>
      </c>
      <c r="K30" s="33">
        <f t="shared" si="17"/>
        <v>50018547</v>
      </c>
      <c r="L30" s="31">
        <v>13063148.689999999</v>
      </c>
      <c r="M30" s="31"/>
      <c r="N30" s="31">
        <v>6360182.3099999996</v>
      </c>
      <c r="O30" s="19">
        <f t="shared" si="18"/>
        <v>19423331</v>
      </c>
      <c r="P30" s="37">
        <f t="shared" si="19"/>
        <v>0.38832257562379813</v>
      </c>
    </row>
    <row r="31" spans="1:16" s="20" customFormat="1" x14ac:dyDescent="0.3">
      <c r="A31" s="20">
        <v>96</v>
      </c>
      <c r="B31" s="7"/>
      <c r="C31" s="8"/>
      <c r="D31" s="21"/>
      <c r="E31" s="24" t="s">
        <v>35</v>
      </c>
      <c r="F31" s="31">
        <v>192494242</v>
      </c>
      <c r="G31" s="31">
        <v>0</v>
      </c>
      <c r="H31" s="31">
        <v>3947187</v>
      </c>
      <c r="I31" s="31">
        <v>5080134</v>
      </c>
      <c r="J31" s="31">
        <v>22352637</v>
      </c>
      <c r="K31" s="33">
        <f t="shared" si="17"/>
        <v>223874200</v>
      </c>
      <c r="L31" s="31">
        <v>8343150</v>
      </c>
      <c r="M31" s="31"/>
      <c r="N31" s="31">
        <v>3656849.9999999995</v>
      </c>
      <c r="O31" s="19">
        <f t="shared" si="18"/>
        <v>12000000</v>
      </c>
      <c r="P31" s="37">
        <f t="shared" si="19"/>
        <v>5.3601531574428853E-2</v>
      </c>
    </row>
    <row r="32" spans="1:16" s="20" customFormat="1" x14ac:dyDescent="0.3">
      <c r="A32" s="20">
        <v>97</v>
      </c>
      <c r="B32" s="7"/>
      <c r="C32" s="8"/>
      <c r="D32" s="21"/>
      <c r="E32" s="24" t="s">
        <v>36</v>
      </c>
      <c r="F32" s="31">
        <v>8819257</v>
      </c>
      <c r="G32" s="31">
        <v>0</v>
      </c>
      <c r="H32" s="31">
        <v>180843</v>
      </c>
      <c r="I32" s="31">
        <v>232750</v>
      </c>
      <c r="J32" s="31">
        <v>1024102</v>
      </c>
      <c r="K32" s="33">
        <f t="shared" si="17"/>
        <v>10256952</v>
      </c>
      <c r="L32" s="31">
        <v>0</v>
      </c>
      <c r="M32" s="31"/>
      <c r="N32" s="31">
        <v>0</v>
      </c>
      <c r="O32" s="19">
        <f t="shared" si="18"/>
        <v>0</v>
      </c>
      <c r="P32" s="37">
        <f t="shared" si="19"/>
        <v>0</v>
      </c>
    </row>
    <row r="33" spans="1:16" s="20" customFormat="1" x14ac:dyDescent="0.3">
      <c r="A33" s="20">
        <v>100</v>
      </c>
      <c r="B33" s="7"/>
      <c r="C33" s="8"/>
      <c r="D33" s="21"/>
      <c r="E33" s="24" t="s">
        <v>37</v>
      </c>
      <c r="F33" s="31">
        <v>139781686</v>
      </c>
      <c r="G33" s="31">
        <v>0</v>
      </c>
      <c r="H33" s="31">
        <v>2866291</v>
      </c>
      <c r="I33" s="31">
        <v>3688992</v>
      </c>
      <c r="J33" s="31">
        <v>16231599</v>
      </c>
      <c r="K33" s="33">
        <f t="shared" si="17"/>
        <v>162568568</v>
      </c>
      <c r="L33" s="31">
        <v>0</v>
      </c>
      <c r="M33" s="31"/>
      <c r="N33" s="31">
        <v>0</v>
      </c>
      <c r="O33" s="19">
        <f t="shared" si="18"/>
        <v>0</v>
      </c>
      <c r="P33" s="37">
        <f t="shared" si="19"/>
        <v>0</v>
      </c>
    </row>
    <row r="34" spans="1:16" s="20" customFormat="1" x14ac:dyDescent="0.3">
      <c r="A34" s="20">
        <v>101</v>
      </c>
      <c r="B34" s="7"/>
      <c r="C34" s="8"/>
      <c r="D34" s="21"/>
      <c r="E34" s="24" t="s">
        <v>38</v>
      </c>
      <c r="F34" s="31">
        <v>1320125564</v>
      </c>
      <c r="G34" s="31">
        <v>0</v>
      </c>
      <c r="H34" s="31">
        <v>27069812</v>
      </c>
      <c r="I34" s="31">
        <v>34839561</v>
      </c>
      <c r="J34" s="31">
        <v>153294394</v>
      </c>
      <c r="K34" s="33">
        <f t="shared" si="17"/>
        <v>1535329331</v>
      </c>
      <c r="L34" s="31">
        <v>717573596.47000003</v>
      </c>
      <c r="M34" s="31"/>
      <c r="N34" s="31">
        <v>315110706.49000001</v>
      </c>
      <c r="O34" s="19">
        <f t="shared" si="18"/>
        <v>1032684302.96</v>
      </c>
      <c r="P34" s="37">
        <f t="shared" si="19"/>
        <v>0.67261419560543789</v>
      </c>
    </row>
    <row r="35" spans="1:16" s="20" customFormat="1" x14ac:dyDescent="0.3">
      <c r="A35" s="20">
        <v>102</v>
      </c>
      <c r="B35" s="7"/>
      <c r="C35" s="8"/>
      <c r="D35" s="21"/>
      <c r="E35" s="24" t="s">
        <v>39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3">
        <f t="shared" si="17"/>
        <v>0</v>
      </c>
      <c r="L35" s="31">
        <v>0</v>
      </c>
      <c r="M35" s="31"/>
      <c r="N35" s="31">
        <v>0</v>
      </c>
      <c r="O35" s="19">
        <f t="shared" si="18"/>
        <v>0</v>
      </c>
      <c r="P35" s="37">
        <v>0</v>
      </c>
    </row>
    <row r="36" spans="1:16" s="20" customFormat="1" x14ac:dyDescent="0.3">
      <c r="A36" s="20">
        <v>103</v>
      </c>
      <c r="B36" s="7"/>
      <c r="C36" s="8"/>
      <c r="D36" s="21"/>
      <c r="E36" s="24" t="s">
        <v>40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3">
        <f t="shared" si="17"/>
        <v>0</v>
      </c>
      <c r="L36" s="31">
        <v>0</v>
      </c>
      <c r="M36" s="31"/>
      <c r="N36" s="31">
        <v>0</v>
      </c>
      <c r="O36" s="19">
        <f t="shared" si="18"/>
        <v>0</v>
      </c>
      <c r="P36" s="37">
        <v>0</v>
      </c>
    </row>
    <row r="37" spans="1:16" s="20" customFormat="1" x14ac:dyDescent="0.3">
      <c r="A37" s="20">
        <v>104</v>
      </c>
      <c r="B37" s="7"/>
      <c r="C37" s="8"/>
      <c r="D37" s="21"/>
      <c r="E37" s="24" t="s">
        <v>41</v>
      </c>
      <c r="F37" s="31">
        <v>211364124</v>
      </c>
      <c r="G37" s="31">
        <v>0</v>
      </c>
      <c r="H37" s="31">
        <v>4334123</v>
      </c>
      <c r="I37" s="31">
        <v>5578131</v>
      </c>
      <c r="J37" s="31">
        <v>24543828</v>
      </c>
      <c r="K37" s="33">
        <f t="shared" si="17"/>
        <v>245820206</v>
      </c>
      <c r="L37" s="31">
        <v>0</v>
      </c>
      <c r="M37" s="31"/>
      <c r="N37" s="31">
        <v>0</v>
      </c>
      <c r="O37" s="19">
        <f t="shared" si="18"/>
        <v>0</v>
      </c>
      <c r="P37" s="37">
        <f t="shared" ref="P37:P49" si="20">O37/K37</f>
        <v>0</v>
      </c>
    </row>
    <row r="38" spans="1:16" s="20" customFormat="1" x14ac:dyDescent="0.3">
      <c r="A38" s="20">
        <v>105</v>
      </c>
      <c r="B38" s="7"/>
      <c r="C38" s="8"/>
      <c r="D38" s="21"/>
      <c r="E38" s="24" t="s">
        <v>42</v>
      </c>
      <c r="F38" s="31">
        <v>53644310</v>
      </c>
      <c r="G38" s="31">
        <v>0</v>
      </c>
      <c r="H38" s="31">
        <v>1100002</v>
      </c>
      <c r="I38" s="31">
        <v>1415732</v>
      </c>
      <c r="J38" s="31">
        <v>6229235</v>
      </c>
      <c r="K38" s="33">
        <f t="shared" si="17"/>
        <v>62389279</v>
      </c>
      <c r="L38" s="31">
        <v>0</v>
      </c>
      <c r="M38" s="31"/>
      <c r="N38" s="31">
        <v>0</v>
      </c>
      <c r="O38" s="19">
        <f t="shared" si="18"/>
        <v>0</v>
      </c>
      <c r="P38" s="37">
        <f t="shared" si="20"/>
        <v>0</v>
      </c>
    </row>
    <row r="39" spans="1:16" s="20" customFormat="1" x14ac:dyDescent="0.3">
      <c r="A39" s="20">
        <v>106</v>
      </c>
      <c r="B39" s="7"/>
      <c r="C39" s="8"/>
      <c r="D39" s="21"/>
      <c r="E39" s="24" t="s">
        <v>43</v>
      </c>
      <c r="F39" s="31">
        <v>76099765</v>
      </c>
      <c r="G39" s="31">
        <v>0</v>
      </c>
      <c r="H39" s="31">
        <v>1560462</v>
      </c>
      <c r="I39" s="31">
        <v>2008356</v>
      </c>
      <c r="J39" s="31">
        <v>8836786</v>
      </c>
      <c r="K39" s="33">
        <f t="shared" si="17"/>
        <v>88505369</v>
      </c>
      <c r="L39" s="31">
        <v>0</v>
      </c>
      <c r="M39" s="31"/>
      <c r="N39" s="31">
        <v>0</v>
      </c>
      <c r="O39" s="19">
        <f t="shared" si="18"/>
        <v>0</v>
      </c>
      <c r="P39" s="37">
        <f t="shared" si="20"/>
        <v>0</v>
      </c>
    </row>
    <row r="40" spans="1:16" s="20" customFormat="1" x14ac:dyDescent="0.3">
      <c r="A40" s="20">
        <v>107</v>
      </c>
      <c r="B40" s="7"/>
      <c r="C40" s="8"/>
      <c r="D40" s="21"/>
      <c r="E40" s="24" t="s">
        <v>44</v>
      </c>
      <c r="F40" s="31">
        <v>11044568</v>
      </c>
      <c r="G40" s="31">
        <v>0</v>
      </c>
      <c r="H40" s="31">
        <v>226474</v>
      </c>
      <c r="I40" s="31">
        <v>291478</v>
      </c>
      <c r="J40" s="31">
        <v>1282507</v>
      </c>
      <c r="K40" s="33">
        <f t="shared" si="17"/>
        <v>12845027</v>
      </c>
      <c r="L40" s="31">
        <v>0</v>
      </c>
      <c r="M40" s="31"/>
      <c r="N40" s="31">
        <v>0</v>
      </c>
      <c r="O40" s="19">
        <f t="shared" si="18"/>
        <v>0</v>
      </c>
      <c r="P40" s="37">
        <f t="shared" si="20"/>
        <v>0</v>
      </c>
    </row>
    <row r="41" spans="1:16" s="20" customFormat="1" x14ac:dyDescent="0.3">
      <c r="A41" s="20">
        <v>108</v>
      </c>
      <c r="B41" s="7"/>
      <c r="C41" s="8"/>
      <c r="D41" s="21"/>
      <c r="E41" s="24" t="s">
        <v>45</v>
      </c>
      <c r="F41" s="31">
        <v>25591071</v>
      </c>
      <c r="G41" s="31">
        <v>0</v>
      </c>
      <c r="H41" s="31">
        <v>524757</v>
      </c>
      <c r="I41" s="31">
        <v>675376</v>
      </c>
      <c r="J41" s="31">
        <v>2971663</v>
      </c>
      <c r="K41" s="33">
        <f t="shared" si="17"/>
        <v>29762867</v>
      </c>
      <c r="L41" s="31">
        <v>0</v>
      </c>
      <c r="M41" s="31"/>
      <c r="N41" s="31">
        <v>0</v>
      </c>
      <c r="O41" s="19">
        <f t="shared" si="18"/>
        <v>0</v>
      </c>
      <c r="P41" s="37">
        <f t="shared" si="20"/>
        <v>0</v>
      </c>
    </row>
    <row r="42" spans="1:16" s="20" customFormat="1" x14ac:dyDescent="0.3">
      <c r="A42" s="20">
        <v>109</v>
      </c>
      <c r="B42" s="7"/>
      <c r="C42" s="8"/>
      <c r="D42" s="21"/>
      <c r="E42" s="24" t="s">
        <v>46</v>
      </c>
      <c r="F42" s="31">
        <v>208448745</v>
      </c>
      <c r="G42" s="31">
        <v>0</v>
      </c>
      <c r="H42" s="31">
        <v>4274342</v>
      </c>
      <c r="I42" s="31">
        <v>5501191</v>
      </c>
      <c r="J42" s="31">
        <v>24205291</v>
      </c>
      <c r="K42" s="33">
        <f t="shared" si="17"/>
        <v>242429569</v>
      </c>
      <c r="L42" s="31">
        <v>216741831.97</v>
      </c>
      <c r="M42" s="31"/>
      <c r="N42" s="31">
        <v>99131617.579999998</v>
      </c>
      <c r="O42" s="19">
        <f t="shared" si="18"/>
        <v>315873449.55000001</v>
      </c>
      <c r="P42" s="37">
        <f t="shared" si="20"/>
        <v>1.302949350827745</v>
      </c>
    </row>
    <row r="43" spans="1:16" s="20" customFormat="1" x14ac:dyDescent="0.3">
      <c r="A43" s="20">
        <v>110</v>
      </c>
      <c r="B43" s="7"/>
      <c r="C43" s="8"/>
      <c r="D43" s="21"/>
      <c r="E43" s="24" t="s">
        <v>47</v>
      </c>
      <c r="F43" s="31">
        <v>1636557381</v>
      </c>
      <c r="G43" s="31">
        <v>0</v>
      </c>
      <c r="H43" s="31">
        <v>33558400</v>
      </c>
      <c r="I43" s="31">
        <v>43190544</v>
      </c>
      <c r="J43" s="31">
        <v>190038795</v>
      </c>
      <c r="K43" s="33">
        <f t="shared" si="17"/>
        <v>1903345120</v>
      </c>
      <c r="L43" s="31">
        <v>303542314.75999999</v>
      </c>
      <c r="M43" s="31"/>
      <c r="N43" s="31">
        <v>145815638.37</v>
      </c>
      <c r="O43" s="19">
        <f t="shared" si="18"/>
        <v>449357953.13</v>
      </c>
      <c r="P43" s="37">
        <f t="shared" si="20"/>
        <v>0.23608853087557763</v>
      </c>
    </row>
    <row r="44" spans="1:16" s="20" customFormat="1" x14ac:dyDescent="0.3">
      <c r="A44" s="20">
        <v>111</v>
      </c>
      <c r="B44" s="7"/>
      <c r="C44" s="8"/>
      <c r="D44" s="21"/>
      <c r="E44" s="24" t="s">
        <v>48</v>
      </c>
      <c r="F44" s="31">
        <v>32713050</v>
      </c>
      <c r="G44" s="31">
        <v>0</v>
      </c>
      <c r="H44" s="31">
        <v>670797</v>
      </c>
      <c r="I44" s="31">
        <v>863333</v>
      </c>
      <c r="J44" s="31">
        <v>3798674</v>
      </c>
      <c r="K44" s="33">
        <f t="shared" si="17"/>
        <v>38045854</v>
      </c>
      <c r="L44" s="31">
        <v>27000826.899999999</v>
      </c>
      <c r="M44" s="31"/>
      <c r="N44" s="31">
        <v>11865840.099999998</v>
      </c>
      <c r="O44" s="19">
        <f t="shared" si="18"/>
        <v>38866667</v>
      </c>
      <c r="P44" s="37">
        <f t="shared" si="20"/>
        <v>1.0215743087275686</v>
      </c>
    </row>
    <row r="45" spans="1:16" s="20" customFormat="1" x14ac:dyDescent="0.3">
      <c r="A45" s="20">
        <v>112</v>
      </c>
      <c r="B45" s="7"/>
      <c r="C45" s="8"/>
      <c r="D45" s="21"/>
      <c r="E45" s="24" t="s">
        <v>49</v>
      </c>
      <c r="F45" s="31">
        <v>754992506</v>
      </c>
      <c r="G45" s="31">
        <v>0</v>
      </c>
      <c r="H45" s="31">
        <v>15481486</v>
      </c>
      <c r="I45" s="31">
        <v>19925080</v>
      </c>
      <c r="J45" s="31">
        <v>87670538</v>
      </c>
      <c r="K45" s="33">
        <f t="shared" si="17"/>
        <v>878069610</v>
      </c>
      <c r="L45" s="31">
        <v>346952356.89999998</v>
      </c>
      <c r="M45" s="31"/>
      <c r="N45" s="31">
        <v>152614310.09999996</v>
      </c>
      <c r="O45" s="19">
        <f t="shared" si="18"/>
        <v>499566666.99999994</v>
      </c>
      <c r="P45" s="37">
        <f t="shared" si="20"/>
        <v>0.5689374296873797</v>
      </c>
    </row>
    <row r="46" spans="1:16" s="20" customFormat="1" x14ac:dyDescent="0.3">
      <c r="A46" s="20">
        <v>113</v>
      </c>
      <c r="B46" s="7"/>
      <c r="C46" s="8"/>
      <c r="D46" s="21"/>
      <c r="E46" s="24" t="s">
        <v>50</v>
      </c>
      <c r="F46" s="31">
        <v>17568241</v>
      </c>
      <c r="G46" s="31">
        <v>0</v>
      </c>
      <c r="H46" s="31">
        <v>360245</v>
      </c>
      <c r="I46" s="31">
        <v>463645</v>
      </c>
      <c r="J46" s="31">
        <v>2040043</v>
      </c>
      <c r="K46" s="33">
        <f t="shared" si="17"/>
        <v>20432174</v>
      </c>
      <c r="L46" s="31">
        <v>0</v>
      </c>
      <c r="M46" s="31"/>
      <c r="N46" s="31">
        <v>0</v>
      </c>
      <c r="O46" s="19">
        <f t="shared" si="18"/>
        <v>0</v>
      </c>
      <c r="P46" s="37">
        <f t="shared" si="20"/>
        <v>0</v>
      </c>
    </row>
    <row r="47" spans="1:16" s="20" customFormat="1" x14ac:dyDescent="0.3">
      <c r="A47" s="20">
        <v>114</v>
      </c>
      <c r="B47" s="7"/>
      <c r="C47" s="8"/>
      <c r="D47" s="21"/>
      <c r="E47" s="24" t="s">
        <v>51</v>
      </c>
      <c r="F47" s="31">
        <v>168557514</v>
      </c>
      <c r="G47" s="31">
        <v>0</v>
      </c>
      <c r="H47" s="31">
        <v>3456353</v>
      </c>
      <c r="I47" s="31">
        <v>4448418</v>
      </c>
      <c r="J47" s="31">
        <v>19573079</v>
      </c>
      <c r="K47" s="33">
        <f t="shared" si="17"/>
        <v>196035364</v>
      </c>
      <c r="L47" s="31">
        <v>0</v>
      </c>
      <c r="M47" s="31"/>
      <c r="N47" s="31">
        <v>0</v>
      </c>
      <c r="O47" s="19">
        <f t="shared" si="18"/>
        <v>0</v>
      </c>
      <c r="P47" s="37">
        <f t="shared" si="20"/>
        <v>0</v>
      </c>
    </row>
    <row r="48" spans="1:16" s="20" customFormat="1" x14ac:dyDescent="0.3">
      <c r="A48" s="20">
        <v>115</v>
      </c>
      <c r="B48" s="7"/>
      <c r="C48" s="8"/>
      <c r="D48" s="21"/>
      <c r="E48" s="24" t="s">
        <v>52</v>
      </c>
      <c r="F48" s="31">
        <v>193643098</v>
      </c>
      <c r="G48" s="31">
        <v>0</v>
      </c>
      <c r="H48" s="31">
        <v>3970745</v>
      </c>
      <c r="I48" s="31">
        <v>5110454</v>
      </c>
      <c r="J48" s="31">
        <v>22486044</v>
      </c>
      <c r="K48" s="33">
        <f t="shared" si="17"/>
        <v>225210341</v>
      </c>
      <c r="L48" s="31">
        <v>117948569.2</v>
      </c>
      <c r="M48" s="31"/>
      <c r="N48" s="31">
        <v>50359430.799999997</v>
      </c>
      <c r="O48" s="19">
        <f t="shared" si="18"/>
        <v>168308000</v>
      </c>
      <c r="P48" s="37">
        <f t="shared" si="20"/>
        <v>0.74733690847704015</v>
      </c>
    </row>
    <row r="49" spans="1:16" s="20" customFormat="1" x14ac:dyDescent="0.3">
      <c r="A49" s="20">
        <v>124</v>
      </c>
      <c r="B49" s="7"/>
      <c r="C49" s="8"/>
      <c r="D49" s="21"/>
      <c r="E49" s="24" t="s">
        <v>53</v>
      </c>
      <c r="F49" s="31">
        <v>45514555</v>
      </c>
      <c r="G49" s="31">
        <v>0</v>
      </c>
      <c r="H49" s="31">
        <v>933298</v>
      </c>
      <c r="I49" s="31">
        <v>1201179</v>
      </c>
      <c r="J49" s="31">
        <v>5285199</v>
      </c>
      <c r="K49" s="33">
        <f t="shared" si="17"/>
        <v>52934231</v>
      </c>
      <c r="L49" s="31">
        <v>0</v>
      </c>
      <c r="M49" s="31"/>
      <c r="N49" s="31">
        <v>0</v>
      </c>
      <c r="O49" s="19">
        <f t="shared" si="18"/>
        <v>0</v>
      </c>
      <c r="P49" s="37">
        <f t="shared" si="20"/>
        <v>0</v>
      </c>
    </row>
    <row r="50" spans="1:16" s="20" customFormat="1" x14ac:dyDescent="0.3">
      <c r="A50" s="20">
        <v>143</v>
      </c>
      <c r="B50" s="7"/>
      <c r="C50" s="8"/>
      <c r="D50" s="21"/>
      <c r="E50" s="24" t="s">
        <v>54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3">
        <f t="shared" si="17"/>
        <v>0</v>
      </c>
      <c r="L50" s="31">
        <v>0</v>
      </c>
      <c r="M50" s="31"/>
      <c r="N50" s="31">
        <v>0</v>
      </c>
      <c r="O50" s="19">
        <f t="shared" si="18"/>
        <v>0</v>
      </c>
      <c r="P50" s="37">
        <v>0</v>
      </c>
    </row>
    <row r="51" spans="1:16" s="20" customFormat="1" x14ac:dyDescent="0.3">
      <c r="A51" s="20">
        <v>0</v>
      </c>
      <c r="B51" s="7"/>
      <c r="C51" s="8"/>
      <c r="D51" s="21"/>
      <c r="E51" s="24" t="s">
        <v>55</v>
      </c>
      <c r="F51" s="31">
        <v>97601340</v>
      </c>
      <c r="G51" s="31">
        <v>0</v>
      </c>
      <c r="H51" s="31">
        <v>2001363</v>
      </c>
      <c r="I51" s="31">
        <v>2575806</v>
      </c>
      <c r="J51" s="31">
        <v>11333572</v>
      </c>
      <c r="K51" s="33">
        <f t="shared" si="17"/>
        <v>113512081</v>
      </c>
      <c r="L51" s="31">
        <v>63692204.399999999</v>
      </c>
      <c r="M51" s="31"/>
      <c r="N51" s="31">
        <v>28199462.600000001</v>
      </c>
      <c r="O51" s="19">
        <f t="shared" si="18"/>
        <v>91891667</v>
      </c>
      <c r="P51" s="37">
        <f>O51/K51</f>
        <v>0.80953204443498838</v>
      </c>
    </row>
    <row r="52" spans="1:16" s="23" customFormat="1" x14ac:dyDescent="0.3">
      <c r="B52" s="12">
        <v>21</v>
      </c>
      <c r="C52" s="8" t="s">
        <v>20</v>
      </c>
      <c r="D52" s="14"/>
      <c r="E52" s="15" t="s">
        <v>56</v>
      </c>
      <c r="F52" s="32">
        <f>SUM(F29:F51)</f>
        <v>6611163499</v>
      </c>
      <c r="G52" s="32">
        <f t="shared" ref="G52:K52" si="21">SUM(G29:G51)</f>
        <v>0</v>
      </c>
      <c r="H52" s="32">
        <f t="shared" si="21"/>
        <v>135565099</v>
      </c>
      <c r="I52" s="32">
        <f t="shared" si="21"/>
        <v>174475853</v>
      </c>
      <c r="J52" s="32">
        <f t="shared" si="21"/>
        <v>767695382</v>
      </c>
      <c r="K52" s="32">
        <f t="shared" si="21"/>
        <v>7688899833</v>
      </c>
      <c r="L52" s="32">
        <f t="shared" ref="L52" si="22">SUM(L29:L51)</f>
        <v>2401041549.2000003</v>
      </c>
      <c r="M52" s="32">
        <f t="shared" ref="M52" si="23">SUM(M29:M51)</f>
        <v>0</v>
      </c>
      <c r="N52" s="32">
        <f t="shared" ref="N52" si="24">SUM(N29:N51)</f>
        <v>1070503946.4399999</v>
      </c>
      <c r="O52" s="16">
        <f t="shared" ref="O52" si="25">SUM(O29:O51)</f>
        <v>3471545495.6400003</v>
      </c>
      <c r="P52" s="37">
        <f>O52/K52</f>
        <v>0.45150093915132949</v>
      </c>
    </row>
    <row r="53" spans="1:16" s="20" customFormat="1" x14ac:dyDescent="0.3">
      <c r="B53" s="7"/>
      <c r="C53" s="8" t="s">
        <v>22</v>
      </c>
      <c r="D53" s="2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/>
      <c r="P53" s="19"/>
    </row>
    <row r="54" spans="1:16" s="20" customFormat="1" x14ac:dyDescent="0.3">
      <c r="B54" s="7"/>
      <c r="C54" s="8" t="s">
        <v>15</v>
      </c>
      <c r="D54" s="21"/>
      <c r="E54" s="22" t="s">
        <v>57</v>
      </c>
      <c r="F54" s="22"/>
      <c r="G54" s="22"/>
      <c r="H54" s="22"/>
      <c r="I54" s="22"/>
      <c r="J54" s="22"/>
      <c r="K54" s="22"/>
      <c r="L54" s="22"/>
      <c r="M54" s="22"/>
      <c r="N54" s="22"/>
      <c r="O54" s="19"/>
      <c r="P54" s="19"/>
    </row>
    <row r="55" spans="1:16" s="20" customFormat="1" x14ac:dyDescent="0.3">
      <c r="A55" s="20">
        <v>169</v>
      </c>
      <c r="B55" s="7"/>
      <c r="C55" s="8"/>
      <c r="D55" s="21"/>
      <c r="E55" s="24" t="s">
        <v>58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3">
        <f t="shared" ref="K55:K118" si="26">SUM(F55:J55)</f>
        <v>0</v>
      </c>
      <c r="L55" s="31">
        <v>0</v>
      </c>
      <c r="M55" s="31"/>
      <c r="N55" s="31">
        <v>0</v>
      </c>
      <c r="O55" s="19">
        <f t="shared" ref="O55:O118" si="27">SUM(L55:N55)</f>
        <v>0</v>
      </c>
      <c r="P55" s="37">
        <v>0</v>
      </c>
    </row>
    <row r="56" spans="1:16" s="20" customFormat="1" x14ac:dyDescent="0.3">
      <c r="A56" s="20">
        <v>171</v>
      </c>
      <c r="B56" s="7"/>
      <c r="C56" s="8"/>
      <c r="D56" s="21"/>
      <c r="E56" s="24" t="s">
        <v>59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3">
        <f t="shared" si="26"/>
        <v>0</v>
      </c>
      <c r="L56" s="31">
        <v>0</v>
      </c>
      <c r="M56" s="31"/>
      <c r="N56" s="31">
        <v>0</v>
      </c>
      <c r="O56" s="19">
        <f t="shared" si="27"/>
        <v>0</v>
      </c>
      <c r="P56" s="37">
        <v>0</v>
      </c>
    </row>
    <row r="57" spans="1:16" s="20" customFormat="1" x14ac:dyDescent="0.3">
      <c r="A57" s="20">
        <v>175</v>
      </c>
      <c r="B57" s="7"/>
      <c r="C57" s="8"/>
      <c r="D57" s="21"/>
      <c r="E57" s="24" t="s">
        <v>60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3">
        <f t="shared" si="26"/>
        <v>0</v>
      </c>
      <c r="L57" s="31">
        <v>0</v>
      </c>
      <c r="M57" s="31"/>
      <c r="N57" s="31">
        <v>0</v>
      </c>
      <c r="O57" s="19">
        <f t="shared" si="27"/>
        <v>0</v>
      </c>
      <c r="P57" s="37">
        <v>0</v>
      </c>
    </row>
    <row r="58" spans="1:16" s="20" customFormat="1" x14ac:dyDescent="0.3">
      <c r="A58" s="20">
        <v>176</v>
      </c>
      <c r="B58" s="7"/>
      <c r="C58" s="8"/>
      <c r="D58" s="21"/>
      <c r="E58" s="24" t="s">
        <v>61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3">
        <f t="shared" si="26"/>
        <v>0</v>
      </c>
      <c r="L58" s="31">
        <v>0</v>
      </c>
      <c r="M58" s="31"/>
      <c r="N58" s="31">
        <v>0</v>
      </c>
      <c r="O58" s="19">
        <f t="shared" si="27"/>
        <v>0</v>
      </c>
      <c r="P58" s="37">
        <v>0</v>
      </c>
    </row>
    <row r="59" spans="1:16" s="20" customFormat="1" x14ac:dyDescent="0.3">
      <c r="A59" s="20">
        <v>177</v>
      </c>
      <c r="B59" s="7"/>
      <c r="C59" s="8"/>
      <c r="D59" s="21"/>
      <c r="E59" s="24" t="s">
        <v>62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3">
        <f t="shared" si="26"/>
        <v>0</v>
      </c>
      <c r="L59" s="31">
        <v>0</v>
      </c>
      <c r="M59" s="31"/>
      <c r="N59" s="31">
        <v>0</v>
      </c>
      <c r="O59" s="19">
        <f t="shared" si="27"/>
        <v>0</v>
      </c>
      <c r="P59" s="37">
        <v>0</v>
      </c>
    </row>
    <row r="60" spans="1:16" s="20" customFormat="1" x14ac:dyDescent="0.3">
      <c r="A60" s="20">
        <v>179</v>
      </c>
      <c r="B60" s="7"/>
      <c r="C60" s="8"/>
      <c r="D60" s="21"/>
      <c r="E60" s="24" t="s">
        <v>63</v>
      </c>
      <c r="F60" s="31">
        <v>62905579</v>
      </c>
      <c r="G60" s="31">
        <v>0</v>
      </c>
      <c r="H60" s="31">
        <v>1289909</v>
      </c>
      <c r="I60" s="31">
        <v>1660147</v>
      </c>
      <c r="J60" s="31">
        <v>7304663</v>
      </c>
      <c r="K60" s="33">
        <f t="shared" si="26"/>
        <v>73160298</v>
      </c>
      <c r="L60" s="31">
        <v>41076052.789999999</v>
      </c>
      <c r="M60" s="31"/>
      <c r="N60" s="31">
        <v>17902098.210000001</v>
      </c>
      <c r="O60" s="19">
        <f t="shared" si="27"/>
        <v>58978151</v>
      </c>
      <c r="P60" s="37">
        <f>O60/K60</f>
        <v>0.80614968244115137</v>
      </c>
    </row>
    <row r="61" spans="1:16" s="20" customFormat="1" x14ac:dyDescent="0.3">
      <c r="A61" s="20">
        <v>180</v>
      </c>
      <c r="B61" s="7"/>
      <c r="C61" s="8"/>
      <c r="D61" s="21"/>
      <c r="E61" s="24" t="s">
        <v>64</v>
      </c>
      <c r="F61" s="31">
        <v>9390882</v>
      </c>
      <c r="G61" s="31">
        <v>0</v>
      </c>
      <c r="H61" s="31">
        <v>192565</v>
      </c>
      <c r="I61" s="31">
        <v>247836</v>
      </c>
      <c r="J61" s="31">
        <v>1090479</v>
      </c>
      <c r="K61" s="33">
        <f t="shared" si="26"/>
        <v>10921762</v>
      </c>
      <c r="L61" s="31">
        <v>4605260.0199999996</v>
      </c>
      <c r="M61" s="31"/>
      <c r="N61" s="31">
        <v>2068139.9799999997</v>
      </c>
      <c r="O61" s="19">
        <f t="shared" si="27"/>
        <v>6673399.9999999991</v>
      </c>
      <c r="P61" s="37">
        <f>O61/K61</f>
        <v>0.61101862501673254</v>
      </c>
    </row>
    <row r="62" spans="1:16" s="20" customFormat="1" x14ac:dyDescent="0.3">
      <c r="A62" s="20">
        <v>181</v>
      </c>
      <c r="B62" s="7"/>
      <c r="C62" s="8"/>
      <c r="D62" s="21"/>
      <c r="E62" s="24" t="s">
        <v>65</v>
      </c>
      <c r="F62" s="31">
        <v>446963084</v>
      </c>
      <c r="G62" s="31">
        <v>0</v>
      </c>
      <c r="H62" s="31">
        <v>9165194</v>
      </c>
      <c r="I62" s="31">
        <v>11795846</v>
      </c>
      <c r="J62" s="31">
        <v>51901832</v>
      </c>
      <c r="K62" s="33">
        <f t="shared" si="26"/>
        <v>519825956</v>
      </c>
      <c r="L62" s="31">
        <v>228154293.33000001</v>
      </c>
      <c r="M62" s="31"/>
      <c r="N62" s="31">
        <v>106739923.29999998</v>
      </c>
      <c r="O62" s="19">
        <f t="shared" si="27"/>
        <v>334894216.63</v>
      </c>
      <c r="P62" s="37">
        <f>O62/K62</f>
        <v>0.64424296779439771</v>
      </c>
    </row>
    <row r="63" spans="1:16" s="20" customFormat="1" x14ac:dyDescent="0.3">
      <c r="A63" s="20">
        <v>134</v>
      </c>
      <c r="B63" s="7"/>
      <c r="C63" s="8"/>
      <c r="D63" s="21"/>
      <c r="E63" s="24" t="s">
        <v>66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3">
        <f t="shared" si="26"/>
        <v>0</v>
      </c>
      <c r="L63" s="31">
        <v>0</v>
      </c>
      <c r="M63" s="31"/>
      <c r="N63" s="31">
        <v>0</v>
      </c>
      <c r="O63" s="19">
        <f t="shared" si="27"/>
        <v>0</v>
      </c>
      <c r="P63" s="37">
        <v>0</v>
      </c>
    </row>
    <row r="64" spans="1:16" s="20" customFormat="1" x14ac:dyDescent="0.3">
      <c r="A64" s="20">
        <v>132</v>
      </c>
      <c r="B64" s="7"/>
      <c r="C64" s="8"/>
      <c r="D64" s="21"/>
      <c r="E64" s="24" t="s">
        <v>67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3">
        <f t="shared" si="26"/>
        <v>0</v>
      </c>
      <c r="L64" s="31">
        <v>0</v>
      </c>
      <c r="M64" s="31"/>
      <c r="N64" s="31">
        <v>0</v>
      </c>
      <c r="O64" s="19">
        <f t="shared" si="27"/>
        <v>0</v>
      </c>
      <c r="P64" s="37">
        <v>0</v>
      </c>
    </row>
    <row r="65" spans="1:16" s="20" customFormat="1" x14ac:dyDescent="0.3">
      <c r="A65" s="20">
        <v>133</v>
      </c>
      <c r="B65" s="7"/>
      <c r="C65" s="8"/>
      <c r="D65" s="21"/>
      <c r="E65" s="24" t="s">
        <v>68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3">
        <f t="shared" si="26"/>
        <v>0</v>
      </c>
      <c r="L65" s="31">
        <v>0</v>
      </c>
      <c r="M65" s="31"/>
      <c r="N65" s="31">
        <v>0</v>
      </c>
      <c r="O65" s="19">
        <f t="shared" si="27"/>
        <v>0</v>
      </c>
      <c r="P65" s="37">
        <v>0</v>
      </c>
    </row>
    <row r="66" spans="1:16" s="20" customFormat="1" x14ac:dyDescent="0.3">
      <c r="A66" s="20">
        <v>182</v>
      </c>
      <c r="B66" s="7"/>
      <c r="C66" s="8"/>
      <c r="D66" s="21"/>
      <c r="E66" s="24" t="s">
        <v>69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3">
        <f t="shared" si="26"/>
        <v>0</v>
      </c>
      <c r="L66" s="31">
        <v>0</v>
      </c>
      <c r="M66" s="31"/>
      <c r="N66" s="31">
        <v>0</v>
      </c>
      <c r="O66" s="19">
        <f t="shared" si="27"/>
        <v>0</v>
      </c>
      <c r="P66" s="37">
        <v>0</v>
      </c>
    </row>
    <row r="67" spans="1:16" s="20" customFormat="1" x14ac:dyDescent="0.3">
      <c r="A67" s="20">
        <v>137</v>
      </c>
      <c r="B67" s="7"/>
      <c r="C67" s="8"/>
      <c r="D67" s="21"/>
      <c r="E67" s="24" t="s">
        <v>70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3">
        <f t="shared" si="26"/>
        <v>0</v>
      </c>
      <c r="L67" s="31">
        <v>0</v>
      </c>
      <c r="M67" s="31"/>
      <c r="N67" s="31">
        <v>0</v>
      </c>
      <c r="O67" s="19">
        <f t="shared" si="27"/>
        <v>0</v>
      </c>
      <c r="P67" s="37">
        <v>0</v>
      </c>
    </row>
    <row r="68" spans="1:16" s="20" customFormat="1" x14ac:dyDescent="0.3">
      <c r="A68" s="20">
        <v>129</v>
      </c>
      <c r="B68" s="7"/>
      <c r="C68" s="8"/>
      <c r="D68" s="21"/>
      <c r="E68" s="24" t="s">
        <v>71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3">
        <f t="shared" si="26"/>
        <v>0</v>
      </c>
      <c r="L68" s="31">
        <v>0</v>
      </c>
      <c r="M68" s="31"/>
      <c r="N68" s="31">
        <v>0</v>
      </c>
      <c r="O68" s="19">
        <f t="shared" si="27"/>
        <v>0</v>
      </c>
      <c r="P68" s="37">
        <v>0</v>
      </c>
    </row>
    <row r="69" spans="1:16" s="20" customFormat="1" x14ac:dyDescent="0.3">
      <c r="A69" s="20">
        <v>5</v>
      </c>
      <c r="B69" s="7"/>
      <c r="C69" s="8"/>
      <c r="D69" s="21"/>
      <c r="E69" s="24" t="s">
        <v>72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3">
        <f t="shared" si="26"/>
        <v>0</v>
      </c>
      <c r="L69" s="31">
        <v>0</v>
      </c>
      <c r="M69" s="31"/>
      <c r="N69" s="31">
        <v>0</v>
      </c>
      <c r="O69" s="19">
        <f t="shared" si="27"/>
        <v>0</v>
      </c>
      <c r="P69" s="37">
        <v>0</v>
      </c>
    </row>
    <row r="70" spans="1:16" s="20" customFormat="1" x14ac:dyDescent="0.3">
      <c r="A70" s="20">
        <v>183</v>
      </c>
      <c r="B70" s="7"/>
      <c r="C70" s="8"/>
      <c r="D70" s="21"/>
      <c r="E70" s="24" t="s">
        <v>73</v>
      </c>
      <c r="F70" s="31">
        <v>88305142</v>
      </c>
      <c r="G70" s="31">
        <v>0</v>
      </c>
      <c r="H70" s="31">
        <v>1810740</v>
      </c>
      <c r="I70" s="31">
        <v>2330470</v>
      </c>
      <c r="J70" s="31">
        <v>10254088</v>
      </c>
      <c r="K70" s="33">
        <f t="shared" si="26"/>
        <v>102700440</v>
      </c>
      <c r="L70" s="31">
        <v>22031577.690000001</v>
      </c>
      <c r="M70" s="31"/>
      <c r="N70" s="31">
        <v>9173109.3200000003</v>
      </c>
      <c r="O70" s="19">
        <f t="shared" si="27"/>
        <v>31204687.010000002</v>
      </c>
      <c r="P70" s="37">
        <f>O70/K70</f>
        <v>0.30384180447522913</v>
      </c>
    </row>
    <row r="71" spans="1:16" s="20" customFormat="1" x14ac:dyDescent="0.3">
      <c r="A71" s="20">
        <v>184</v>
      </c>
      <c r="B71" s="7"/>
      <c r="C71" s="8"/>
      <c r="D71" s="21"/>
      <c r="E71" s="24" t="s">
        <v>74</v>
      </c>
      <c r="F71" s="31">
        <v>8323041</v>
      </c>
      <c r="G71" s="31">
        <v>0</v>
      </c>
      <c r="H71" s="31">
        <v>170668</v>
      </c>
      <c r="I71" s="31">
        <v>219654</v>
      </c>
      <c r="J71" s="31">
        <v>966480</v>
      </c>
      <c r="K71" s="33">
        <f t="shared" si="26"/>
        <v>9679843</v>
      </c>
      <c r="L71" s="31">
        <v>15882730.85</v>
      </c>
      <c r="M71" s="31"/>
      <c r="N71" s="31">
        <v>7066943.1500000004</v>
      </c>
      <c r="O71" s="19">
        <f t="shared" si="27"/>
        <v>22949674</v>
      </c>
      <c r="P71" s="37">
        <f>O71/K71</f>
        <v>2.3708725441104779</v>
      </c>
    </row>
    <row r="72" spans="1:16" s="20" customFormat="1" x14ac:dyDescent="0.3">
      <c r="A72" s="20">
        <v>185</v>
      </c>
      <c r="B72" s="7"/>
      <c r="C72" s="8"/>
      <c r="D72" s="21"/>
      <c r="E72" s="24" t="s">
        <v>75</v>
      </c>
      <c r="F72" s="31">
        <v>46865884</v>
      </c>
      <c r="G72" s="31">
        <v>0</v>
      </c>
      <c r="H72" s="31">
        <v>961008</v>
      </c>
      <c r="I72" s="31">
        <v>1236842</v>
      </c>
      <c r="J72" s="31">
        <v>5442117</v>
      </c>
      <c r="K72" s="33">
        <f t="shared" si="26"/>
        <v>54505851</v>
      </c>
      <c r="L72" s="31">
        <v>54589570</v>
      </c>
      <c r="M72" s="31"/>
      <c r="N72" s="31">
        <v>24510430</v>
      </c>
      <c r="O72" s="19">
        <f t="shared" si="27"/>
        <v>79100000</v>
      </c>
      <c r="P72" s="37">
        <f>O72/K72</f>
        <v>1.4512203469678879</v>
      </c>
    </row>
    <row r="73" spans="1:16" s="20" customFormat="1" x14ac:dyDescent="0.3">
      <c r="A73" s="20">
        <v>186</v>
      </c>
      <c r="B73" s="7"/>
      <c r="C73" s="8"/>
      <c r="D73" s="21"/>
      <c r="E73" s="24" t="s">
        <v>76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3">
        <f t="shared" si="26"/>
        <v>0</v>
      </c>
      <c r="L73" s="31">
        <v>0</v>
      </c>
      <c r="M73" s="31"/>
      <c r="N73" s="31">
        <v>0</v>
      </c>
      <c r="O73" s="19">
        <f t="shared" si="27"/>
        <v>0</v>
      </c>
      <c r="P73" s="37">
        <v>0</v>
      </c>
    </row>
    <row r="74" spans="1:16" s="20" customFormat="1" x14ac:dyDescent="0.3">
      <c r="A74" s="20">
        <v>187</v>
      </c>
      <c r="B74" s="7"/>
      <c r="C74" s="8"/>
      <c r="D74" s="21"/>
      <c r="E74" s="24" t="s">
        <v>77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3">
        <f t="shared" si="26"/>
        <v>0</v>
      </c>
      <c r="L74" s="31">
        <v>0</v>
      </c>
      <c r="M74" s="31"/>
      <c r="N74" s="31">
        <v>0</v>
      </c>
      <c r="O74" s="19">
        <f t="shared" si="27"/>
        <v>0</v>
      </c>
      <c r="P74" s="37">
        <v>0</v>
      </c>
    </row>
    <row r="75" spans="1:16" s="20" customFormat="1" x14ac:dyDescent="0.3">
      <c r="A75" s="20">
        <v>188</v>
      </c>
      <c r="B75" s="7"/>
      <c r="C75" s="8"/>
      <c r="D75" s="21"/>
      <c r="E75" s="24" t="s">
        <v>78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3">
        <f t="shared" si="26"/>
        <v>0</v>
      </c>
      <c r="L75" s="31">
        <v>0</v>
      </c>
      <c r="M75" s="31"/>
      <c r="N75" s="31">
        <v>0</v>
      </c>
      <c r="O75" s="19">
        <f t="shared" si="27"/>
        <v>0</v>
      </c>
      <c r="P75" s="37">
        <v>0</v>
      </c>
    </row>
    <row r="76" spans="1:16" s="20" customFormat="1" x14ac:dyDescent="0.3">
      <c r="A76" s="20">
        <v>189</v>
      </c>
      <c r="B76" s="7"/>
      <c r="C76" s="8"/>
      <c r="D76" s="21"/>
      <c r="E76" s="24" t="s">
        <v>79</v>
      </c>
      <c r="F76" s="31">
        <v>128875222</v>
      </c>
      <c r="G76" s="31">
        <v>0</v>
      </c>
      <c r="H76" s="31">
        <v>2642649</v>
      </c>
      <c r="I76" s="31">
        <v>3401158</v>
      </c>
      <c r="J76" s="31">
        <v>14965129</v>
      </c>
      <c r="K76" s="33">
        <f t="shared" si="26"/>
        <v>149884158</v>
      </c>
      <c r="L76" s="31">
        <v>64498558.840000004</v>
      </c>
      <c r="M76" s="31"/>
      <c r="N76" s="31">
        <v>28735141.18</v>
      </c>
      <c r="O76" s="19">
        <f t="shared" si="27"/>
        <v>93233700.020000011</v>
      </c>
      <c r="P76" s="37">
        <f>O76/K76</f>
        <v>0.62203838793957134</v>
      </c>
    </row>
    <row r="77" spans="1:16" s="20" customFormat="1" x14ac:dyDescent="0.3">
      <c r="A77" s="20">
        <v>190</v>
      </c>
      <c r="B77" s="7"/>
      <c r="C77" s="8"/>
      <c r="D77" s="21"/>
      <c r="E77" s="24" t="s">
        <v>80</v>
      </c>
      <c r="F77" s="31">
        <v>20525825</v>
      </c>
      <c r="G77" s="31">
        <v>0</v>
      </c>
      <c r="H77" s="31">
        <v>420892</v>
      </c>
      <c r="I77" s="31">
        <v>541699</v>
      </c>
      <c r="J77" s="31">
        <v>2383481</v>
      </c>
      <c r="K77" s="33">
        <f t="shared" si="26"/>
        <v>23871897</v>
      </c>
      <c r="L77" s="31">
        <v>26897369.710000001</v>
      </c>
      <c r="M77" s="31"/>
      <c r="N77" s="31">
        <v>11832478.289999999</v>
      </c>
      <c r="O77" s="19">
        <f t="shared" si="27"/>
        <v>38729848</v>
      </c>
      <c r="P77" s="37">
        <f>O77/K77</f>
        <v>1.6224034478701044</v>
      </c>
    </row>
    <row r="78" spans="1:16" s="20" customFormat="1" x14ac:dyDescent="0.3">
      <c r="A78" s="20">
        <v>192</v>
      </c>
      <c r="B78" s="7"/>
      <c r="C78" s="8"/>
      <c r="D78" s="21"/>
      <c r="E78" s="24" t="s">
        <v>81</v>
      </c>
      <c r="F78" s="31">
        <v>4728599</v>
      </c>
      <c r="G78" s="31">
        <v>0</v>
      </c>
      <c r="H78" s="31">
        <v>96962</v>
      </c>
      <c r="I78" s="31">
        <v>124793</v>
      </c>
      <c r="J78" s="31">
        <v>549090</v>
      </c>
      <c r="K78" s="33">
        <f t="shared" si="26"/>
        <v>5499444</v>
      </c>
      <c r="L78" s="31">
        <v>1902806.37</v>
      </c>
      <c r="M78" s="31"/>
      <c r="N78" s="31">
        <v>839093.67999999993</v>
      </c>
      <c r="O78" s="19">
        <f t="shared" si="27"/>
        <v>2741900.05</v>
      </c>
      <c r="P78" s="37">
        <f>O78/K78</f>
        <v>0.49857768348945819</v>
      </c>
    </row>
    <row r="79" spans="1:16" s="20" customFormat="1" x14ac:dyDescent="0.3">
      <c r="A79" s="20">
        <v>193</v>
      </c>
      <c r="B79" s="7"/>
      <c r="C79" s="8"/>
      <c r="D79" s="21"/>
      <c r="E79" s="24" t="s">
        <v>82</v>
      </c>
      <c r="F79" s="31">
        <v>22095102</v>
      </c>
      <c r="G79" s="31">
        <v>0</v>
      </c>
      <c r="H79" s="31">
        <v>453071</v>
      </c>
      <c r="I79" s="31">
        <v>583114</v>
      </c>
      <c r="J79" s="31">
        <v>2565707</v>
      </c>
      <c r="K79" s="33">
        <f t="shared" si="26"/>
        <v>25696994</v>
      </c>
      <c r="L79" s="31">
        <v>34206028.979999997</v>
      </c>
      <c r="M79" s="31"/>
      <c r="N79" s="31">
        <v>15826538.02</v>
      </c>
      <c r="O79" s="19">
        <f t="shared" si="27"/>
        <v>50032567</v>
      </c>
      <c r="P79" s="37">
        <f>O79/K79</f>
        <v>1.9470202234549301</v>
      </c>
    </row>
    <row r="80" spans="1:16" s="20" customFormat="1" x14ac:dyDescent="0.3">
      <c r="A80" s="20">
        <v>204</v>
      </c>
      <c r="B80" s="7"/>
      <c r="C80" s="8"/>
      <c r="D80" s="21"/>
      <c r="E80" s="24" t="s">
        <v>83</v>
      </c>
      <c r="F80" s="31">
        <v>106595790</v>
      </c>
      <c r="G80" s="31">
        <v>0</v>
      </c>
      <c r="H80" s="31">
        <v>2185798</v>
      </c>
      <c r="I80" s="31">
        <v>2813180</v>
      </c>
      <c r="J80" s="31">
        <v>12378017</v>
      </c>
      <c r="K80" s="33">
        <f t="shared" si="26"/>
        <v>123972785</v>
      </c>
      <c r="L80" s="31">
        <v>47577522.950000003</v>
      </c>
      <c r="M80" s="31"/>
      <c r="N80" s="31">
        <v>21078261.049999997</v>
      </c>
      <c r="O80" s="19">
        <f t="shared" si="27"/>
        <v>68655784</v>
      </c>
      <c r="P80" s="37">
        <f>O80/K80</f>
        <v>0.5537972225113762</v>
      </c>
    </row>
    <row r="81" spans="1:16" s="20" customFormat="1" x14ac:dyDescent="0.3">
      <c r="A81" s="20">
        <v>194</v>
      </c>
      <c r="B81" s="7"/>
      <c r="C81" s="8"/>
      <c r="D81" s="21"/>
      <c r="E81" s="24" t="s">
        <v>84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3">
        <f t="shared" si="26"/>
        <v>0</v>
      </c>
      <c r="L81" s="31">
        <v>0</v>
      </c>
      <c r="M81" s="31"/>
      <c r="N81" s="31">
        <v>0</v>
      </c>
      <c r="O81" s="19">
        <f t="shared" si="27"/>
        <v>0</v>
      </c>
      <c r="P81" s="37">
        <v>0</v>
      </c>
    </row>
    <row r="82" spans="1:16" s="20" customFormat="1" x14ac:dyDescent="0.3">
      <c r="A82" s="20">
        <v>195</v>
      </c>
      <c r="B82" s="7"/>
      <c r="C82" s="8"/>
      <c r="D82" s="21"/>
      <c r="E82" s="24" t="s">
        <v>85</v>
      </c>
      <c r="F82" s="31">
        <v>0</v>
      </c>
      <c r="G82" s="31">
        <v>0</v>
      </c>
      <c r="H82" s="31">
        <v>0</v>
      </c>
      <c r="I82" s="31">
        <v>0</v>
      </c>
      <c r="J82" s="31">
        <v>0</v>
      </c>
      <c r="K82" s="33">
        <f t="shared" si="26"/>
        <v>0</v>
      </c>
      <c r="L82" s="31">
        <v>0</v>
      </c>
      <c r="M82" s="31"/>
      <c r="N82" s="31">
        <v>0</v>
      </c>
      <c r="O82" s="19">
        <f t="shared" si="27"/>
        <v>0</v>
      </c>
      <c r="P82" s="37">
        <v>0</v>
      </c>
    </row>
    <row r="83" spans="1:16" s="20" customFormat="1" x14ac:dyDescent="0.3">
      <c r="A83" s="20">
        <v>196</v>
      </c>
      <c r="B83" s="7"/>
      <c r="C83" s="8"/>
      <c r="D83" s="21"/>
      <c r="E83" s="24" t="s">
        <v>86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3">
        <f t="shared" si="26"/>
        <v>0</v>
      </c>
      <c r="L83" s="31">
        <v>0</v>
      </c>
      <c r="M83" s="31"/>
      <c r="N83" s="31">
        <v>0</v>
      </c>
      <c r="O83" s="19">
        <f t="shared" si="27"/>
        <v>0</v>
      </c>
      <c r="P83" s="37">
        <v>0</v>
      </c>
    </row>
    <row r="84" spans="1:16" s="20" customFormat="1" x14ac:dyDescent="0.3">
      <c r="A84" s="20">
        <v>197</v>
      </c>
      <c r="B84" s="7"/>
      <c r="C84" s="8"/>
      <c r="D84" s="21"/>
      <c r="E84" s="24" t="s">
        <v>87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3">
        <f t="shared" si="26"/>
        <v>0</v>
      </c>
      <c r="L84" s="31">
        <v>0</v>
      </c>
      <c r="M84" s="31"/>
      <c r="N84" s="31">
        <v>0</v>
      </c>
      <c r="O84" s="19">
        <f t="shared" si="27"/>
        <v>0</v>
      </c>
      <c r="P84" s="37">
        <v>0</v>
      </c>
    </row>
    <row r="85" spans="1:16" s="20" customFormat="1" x14ac:dyDescent="0.3">
      <c r="A85" s="20">
        <v>198</v>
      </c>
      <c r="B85" s="7"/>
      <c r="C85" s="8"/>
      <c r="D85" s="21"/>
      <c r="E85" s="24" t="s">
        <v>88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3">
        <f t="shared" si="26"/>
        <v>0</v>
      </c>
      <c r="L85" s="31">
        <v>0</v>
      </c>
      <c r="M85" s="31"/>
      <c r="N85" s="31">
        <v>0</v>
      </c>
      <c r="O85" s="19">
        <f t="shared" si="27"/>
        <v>0</v>
      </c>
      <c r="P85" s="37">
        <v>0</v>
      </c>
    </row>
    <row r="86" spans="1:16" s="28" customFormat="1" x14ac:dyDescent="0.3">
      <c r="A86" s="28">
        <v>202</v>
      </c>
      <c r="B86" s="7"/>
      <c r="C86" s="8"/>
      <c r="D86" s="59"/>
      <c r="E86" s="60" t="s">
        <v>89</v>
      </c>
      <c r="F86" s="61">
        <v>103898926</v>
      </c>
      <c r="G86" s="61">
        <v>0</v>
      </c>
      <c r="H86" s="61">
        <v>2130498</v>
      </c>
      <c r="I86" s="61">
        <v>2742007</v>
      </c>
      <c r="J86" s="61">
        <v>12064855</v>
      </c>
      <c r="K86" s="64">
        <f t="shared" si="26"/>
        <v>120836286</v>
      </c>
      <c r="L86" s="61">
        <v>46073840.799999997</v>
      </c>
      <c r="M86" s="61"/>
      <c r="N86" s="61">
        <v>21660809.209999997</v>
      </c>
      <c r="O86" s="62">
        <f t="shared" si="27"/>
        <v>67734650.00999999</v>
      </c>
      <c r="P86" s="65">
        <v>0</v>
      </c>
    </row>
    <row r="87" spans="1:16" s="20" customFormat="1" x14ac:dyDescent="0.3">
      <c r="A87" s="20">
        <v>203</v>
      </c>
      <c r="B87" s="7"/>
      <c r="C87" s="8"/>
      <c r="D87" s="21"/>
      <c r="E87" s="24" t="s">
        <v>90</v>
      </c>
      <c r="F87" s="31">
        <v>2227419</v>
      </c>
      <c r="G87" s="31">
        <v>0</v>
      </c>
      <c r="H87" s="31">
        <v>45674</v>
      </c>
      <c r="I87" s="31">
        <v>58784</v>
      </c>
      <c r="J87" s="31">
        <v>258650</v>
      </c>
      <c r="K87" s="33">
        <f t="shared" si="26"/>
        <v>2590527</v>
      </c>
      <c r="L87" s="31">
        <v>0</v>
      </c>
      <c r="M87" s="31"/>
      <c r="N87" s="31">
        <v>0</v>
      </c>
      <c r="O87" s="19">
        <f t="shared" si="27"/>
        <v>0</v>
      </c>
      <c r="P87" s="37">
        <f>O87/K87</f>
        <v>0</v>
      </c>
    </row>
    <row r="88" spans="1:16" s="20" customFormat="1" x14ac:dyDescent="0.3">
      <c r="A88" s="20">
        <v>205</v>
      </c>
      <c r="B88" s="7"/>
      <c r="C88" s="8"/>
      <c r="D88" s="21"/>
      <c r="E88" s="24" t="s">
        <v>91</v>
      </c>
      <c r="F88" s="31">
        <v>36237013</v>
      </c>
      <c r="G88" s="31">
        <v>0</v>
      </c>
      <c r="H88" s="31">
        <v>743057</v>
      </c>
      <c r="I88" s="31">
        <v>956335</v>
      </c>
      <c r="J88" s="31">
        <v>4207881</v>
      </c>
      <c r="K88" s="33">
        <f t="shared" si="26"/>
        <v>42144286</v>
      </c>
      <c r="L88" s="31">
        <v>23861072.690000001</v>
      </c>
      <c r="M88" s="31"/>
      <c r="N88" s="31">
        <v>11155182.310000001</v>
      </c>
      <c r="O88" s="19">
        <f t="shared" si="27"/>
        <v>35016255</v>
      </c>
      <c r="P88" s="37">
        <f>O88/K88</f>
        <v>0.83086601585799791</v>
      </c>
    </row>
    <row r="89" spans="1:16" s="20" customFormat="1" x14ac:dyDescent="0.3">
      <c r="A89" s="20">
        <v>206</v>
      </c>
      <c r="B89" s="7"/>
      <c r="C89" s="8"/>
      <c r="D89" s="21"/>
      <c r="E89" s="24" t="s">
        <v>92</v>
      </c>
      <c r="F89" s="31">
        <v>0</v>
      </c>
      <c r="G89" s="31">
        <v>0</v>
      </c>
      <c r="H89" s="31">
        <v>0</v>
      </c>
      <c r="I89" s="31">
        <v>0</v>
      </c>
      <c r="J89" s="31">
        <v>0</v>
      </c>
      <c r="K89" s="33">
        <f t="shared" si="26"/>
        <v>0</v>
      </c>
      <c r="L89" s="31">
        <v>0</v>
      </c>
      <c r="M89" s="31"/>
      <c r="N89" s="31">
        <v>0</v>
      </c>
      <c r="O89" s="19">
        <f t="shared" si="27"/>
        <v>0</v>
      </c>
      <c r="P89" s="37">
        <v>0</v>
      </c>
    </row>
    <row r="90" spans="1:16" s="20" customFormat="1" x14ac:dyDescent="0.3">
      <c r="A90" s="20">
        <v>244</v>
      </c>
      <c r="B90" s="7"/>
      <c r="C90" s="8"/>
      <c r="D90" s="21"/>
      <c r="E90" s="24" t="s">
        <v>93</v>
      </c>
      <c r="F90" s="31">
        <v>9988572</v>
      </c>
      <c r="G90" s="31">
        <v>0</v>
      </c>
      <c r="H90" s="31">
        <v>204821</v>
      </c>
      <c r="I90" s="31">
        <v>263609</v>
      </c>
      <c r="J90" s="31">
        <v>1159884</v>
      </c>
      <c r="K90" s="33">
        <f t="shared" si="26"/>
        <v>11616886</v>
      </c>
      <c r="L90" s="31">
        <v>7847148.1500000004</v>
      </c>
      <c r="M90" s="31"/>
      <c r="N90" s="31">
        <v>3979751.8499999996</v>
      </c>
      <c r="O90" s="19">
        <f t="shared" si="27"/>
        <v>11826900</v>
      </c>
      <c r="P90" s="37">
        <f>O90/K90</f>
        <v>1.0180783387217538</v>
      </c>
    </row>
    <row r="91" spans="1:16" s="20" customFormat="1" x14ac:dyDescent="0.3">
      <c r="A91" s="20">
        <v>213</v>
      </c>
      <c r="B91" s="7"/>
      <c r="C91" s="8"/>
      <c r="D91" s="21"/>
      <c r="E91" s="24" t="s">
        <v>94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3">
        <f t="shared" si="26"/>
        <v>0</v>
      </c>
      <c r="L91" s="31">
        <v>0</v>
      </c>
      <c r="M91" s="31"/>
      <c r="N91" s="31">
        <v>0</v>
      </c>
      <c r="O91" s="19">
        <f t="shared" si="27"/>
        <v>0</v>
      </c>
      <c r="P91" s="37">
        <v>0</v>
      </c>
    </row>
    <row r="92" spans="1:16" s="20" customFormat="1" x14ac:dyDescent="0.3">
      <c r="A92" s="20">
        <v>207</v>
      </c>
      <c r="B92" s="7"/>
      <c r="C92" s="8"/>
      <c r="D92" s="21"/>
      <c r="E92" s="24" t="s">
        <v>95</v>
      </c>
      <c r="F92" s="31">
        <v>0</v>
      </c>
      <c r="G92" s="31">
        <v>0</v>
      </c>
      <c r="H92" s="31">
        <v>0</v>
      </c>
      <c r="I92" s="31">
        <v>0</v>
      </c>
      <c r="J92" s="31">
        <v>0</v>
      </c>
      <c r="K92" s="33">
        <f t="shared" si="26"/>
        <v>0</v>
      </c>
      <c r="L92" s="31">
        <v>0</v>
      </c>
      <c r="M92" s="31"/>
      <c r="N92" s="31">
        <v>0</v>
      </c>
      <c r="O92" s="19">
        <f t="shared" si="27"/>
        <v>0</v>
      </c>
      <c r="P92" s="37">
        <v>0</v>
      </c>
    </row>
    <row r="93" spans="1:16" s="20" customFormat="1" x14ac:dyDescent="0.3">
      <c r="A93" s="20">
        <v>208</v>
      </c>
      <c r="B93" s="7"/>
      <c r="C93" s="8"/>
      <c r="D93" s="21"/>
      <c r="E93" s="24" t="s">
        <v>96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  <c r="K93" s="33">
        <f t="shared" si="26"/>
        <v>0</v>
      </c>
      <c r="L93" s="31">
        <v>0</v>
      </c>
      <c r="M93" s="31"/>
      <c r="N93" s="31">
        <v>0</v>
      </c>
      <c r="O93" s="19">
        <f t="shared" si="27"/>
        <v>0</v>
      </c>
      <c r="P93" s="37">
        <v>0</v>
      </c>
    </row>
    <row r="94" spans="1:16" s="20" customFormat="1" x14ac:dyDescent="0.3">
      <c r="A94" s="20">
        <v>209</v>
      </c>
      <c r="B94" s="7"/>
      <c r="C94" s="8"/>
      <c r="D94" s="21"/>
      <c r="E94" s="24" t="s">
        <v>97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3">
        <f t="shared" si="26"/>
        <v>0</v>
      </c>
      <c r="L94" s="31">
        <v>0</v>
      </c>
      <c r="M94" s="31"/>
      <c r="N94" s="31">
        <v>0</v>
      </c>
      <c r="O94" s="19">
        <f t="shared" si="27"/>
        <v>0</v>
      </c>
      <c r="P94" s="37">
        <v>0</v>
      </c>
    </row>
    <row r="95" spans="1:16" s="20" customFormat="1" x14ac:dyDescent="0.3">
      <c r="A95" s="20">
        <v>211</v>
      </c>
      <c r="B95" s="7"/>
      <c r="C95" s="8"/>
      <c r="D95" s="21"/>
      <c r="E95" s="24" t="s">
        <v>98</v>
      </c>
      <c r="F95" s="31">
        <v>0</v>
      </c>
      <c r="G95" s="31">
        <v>0</v>
      </c>
      <c r="H95" s="31">
        <v>0</v>
      </c>
      <c r="I95" s="31">
        <v>0</v>
      </c>
      <c r="J95" s="31">
        <v>0</v>
      </c>
      <c r="K95" s="33">
        <f t="shared" si="26"/>
        <v>0</v>
      </c>
      <c r="L95" s="31">
        <v>0</v>
      </c>
      <c r="M95" s="31"/>
      <c r="N95" s="31">
        <v>0</v>
      </c>
      <c r="O95" s="19">
        <f t="shared" si="27"/>
        <v>0</v>
      </c>
      <c r="P95" s="37">
        <v>0</v>
      </c>
    </row>
    <row r="96" spans="1:16" s="20" customFormat="1" x14ac:dyDescent="0.3">
      <c r="A96" s="20">
        <v>212</v>
      </c>
      <c r="B96" s="7"/>
      <c r="C96" s="8"/>
      <c r="D96" s="21"/>
      <c r="E96" s="24" t="s">
        <v>99</v>
      </c>
      <c r="F96" s="31">
        <v>0</v>
      </c>
      <c r="G96" s="31">
        <v>0</v>
      </c>
      <c r="H96" s="31">
        <v>0</v>
      </c>
      <c r="I96" s="31">
        <v>0</v>
      </c>
      <c r="J96" s="31">
        <v>0</v>
      </c>
      <c r="K96" s="33">
        <f t="shared" si="26"/>
        <v>0</v>
      </c>
      <c r="L96" s="31">
        <v>0</v>
      </c>
      <c r="M96" s="31"/>
      <c r="N96" s="31">
        <v>0</v>
      </c>
      <c r="O96" s="19">
        <f t="shared" si="27"/>
        <v>0</v>
      </c>
      <c r="P96" s="37">
        <v>0</v>
      </c>
    </row>
    <row r="97" spans="1:16" s="20" customFormat="1" x14ac:dyDescent="0.3">
      <c r="A97" s="20">
        <v>214</v>
      </c>
      <c r="B97" s="7"/>
      <c r="C97" s="8"/>
      <c r="D97" s="21"/>
      <c r="E97" s="24" t="s">
        <v>100</v>
      </c>
      <c r="F97" s="31">
        <v>189495774</v>
      </c>
      <c r="G97" s="31">
        <v>0</v>
      </c>
      <c r="H97" s="31">
        <v>3885702</v>
      </c>
      <c r="I97" s="31">
        <v>5001001</v>
      </c>
      <c r="J97" s="31">
        <v>22004452</v>
      </c>
      <c r="K97" s="33">
        <f t="shared" si="26"/>
        <v>220386929</v>
      </c>
      <c r="L97" s="31">
        <v>13003080.869999999</v>
      </c>
      <c r="M97" s="31"/>
      <c r="N97" s="31">
        <v>5965673.1299999999</v>
      </c>
      <c r="O97" s="19">
        <f t="shared" si="27"/>
        <v>18968754</v>
      </c>
      <c r="P97" s="37">
        <f>O97/K97</f>
        <v>8.6070231506334027E-2</v>
      </c>
    </row>
    <row r="98" spans="1:16" s="20" customFormat="1" x14ac:dyDescent="0.3">
      <c r="A98" s="20">
        <v>215</v>
      </c>
      <c r="B98" s="7"/>
      <c r="C98" s="8"/>
      <c r="D98" s="21"/>
      <c r="E98" s="24" t="s">
        <v>101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3">
        <f t="shared" si="26"/>
        <v>0</v>
      </c>
      <c r="L98" s="31">
        <v>0</v>
      </c>
      <c r="M98" s="31"/>
      <c r="N98" s="31">
        <v>0</v>
      </c>
      <c r="O98" s="19">
        <f t="shared" si="27"/>
        <v>0</v>
      </c>
      <c r="P98" s="37">
        <v>0</v>
      </c>
    </row>
    <row r="99" spans="1:16" s="20" customFormat="1" x14ac:dyDescent="0.3">
      <c r="A99" s="20">
        <v>216</v>
      </c>
      <c r="B99" s="7"/>
      <c r="C99" s="8"/>
      <c r="D99" s="21"/>
      <c r="E99" s="24" t="s">
        <v>102</v>
      </c>
      <c r="F99" s="31">
        <v>43884781</v>
      </c>
      <c r="G99" s="31">
        <v>0</v>
      </c>
      <c r="H99" s="31">
        <v>899879</v>
      </c>
      <c r="I99" s="31">
        <v>1158167</v>
      </c>
      <c r="J99" s="31">
        <v>5095948</v>
      </c>
      <c r="K99" s="33">
        <f t="shared" si="26"/>
        <v>51038775</v>
      </c>
      <c r="L99" s="31">
        <v>17980393.789999999</v>
      </c>
      <c r="M99" s="31"/>
      <c r="N99" s="31">
        <v>7657227.209999999</v>
      </c>
      <c r="O99" s="19">
        <f t="shared" si="27"/>
        <v>25637621</v>
      </c>
      <c r="P99" s="37">
        <f>O99/K99</f>
        <v>0.50231654266780501</v>
      </c>
    </row>
    <row r="100" spans="1:16" s="20" customFormat="1" x14ac:dyDescent="0.3">
      <c r="A100" s="20">
        <v>210</v>
      </c>
      <c r="B100" s="7"/>
      <c r="C100" s="8"/>
      <c r="D100" s="21"/>
      <c r="E100" s="24" t="s">
        <v>103</v>
      </c>
      <c r="F100" s="31">
        <v>0</v>
      </c>
      <c r="G100" s="31">
        <v>0</v>
      </c>
      <c r="H100" s="31">
        <v>0</v>
      </c>
      <c r="I100" s="31">
        <v>0</v>
      </c>
      <c r="J100" s="31">
        <v>0</v>
      </c>
      <c r="K100" s="33">
        <f t="shared" si="26"/>
        <v>0</v>
      </c>
      <c r="L100" s="31">
        <v>0</v>
      </c>
      <c r="M100" s="31"/>
      <c r="N100" s="31">
        <v>0</v>
      </c>
      <c r="O100" s="19">
        <f t="shared" si="27"/>
        <v>0</v>
      </c>
      <c r="P100" s="37">
        <v>0</v>
      </c>
    </row>
    <row r="101" spans="1:16" s="20" customFormat="1" x14ac:dyDescent="0.3">
      <c r="A101" s="20">
        <v>217</v>
      </c>
      <c r="B101" s="7"/>
      <c r="C101" s="8"/>
      <c r="D101" s="21"/>
      <c r="E101" s="24" t="s">
        <v>104</v>
      </c>
      <c r="F101" s="31">
        <v>110582938</v>
      </c>
      <c r="G101" s="31">
        <v>0</v>
      </c>
      <c r="H101" s="31">
        <v>2267557</v>
      </c>
      <c r="I101" s="31">
        <v>2918405</v>
      </c>
      <c r="J101" s="31">
        <v>12841009</v>
      </c>
      <c r="K101" s="33">
        <f t="shared" si="26"/>
        <v>128609909</v>
      </c>
      <c r="L101" s="31">
        <v>120158150.53</v>
      </c>
      <c r="M101" s="31"/>
      <c r="N101" s="31">
        <v>52841406.469999999</v>
      </c>
      <c r="O101" s="19">
        <f t="shared" si="27"/>
        <v>172999557</v>
      </c>
      <c r="P101" s="37">
        <f>O101/K101</f>
        <v>1.3451495172117724</v>
      </c>
    </row>
    <row r="102" spans="1:16" s="20" customFormat="1" x14ac:dyDescent="0.3">
      <c r="A102" s="20">
        <v>218</v>
      </c>
      <c r="B102" s="7"/>
      <c r="C102" s="8"/>
      <c r="D102" s="21"/>
      <c r="E102" s="24" t="s">
        <v>105</v>
      </c>
      <c r="F102" s="31">
        <v>21347985</v>
      </c>
      <c r="G102" s="31">
        <v>0</v>
      </c>
      <c r="H102" s="31">
        <v>437751</v>
      </c>
      <c r="I102" s="31">
        <v>563397</v>
      </c>
      <c r="J102" s="31">
        <v>2478951</v>
      </c>
      <c r="K102" s="33">
        <f t="shared" si="26"/>
        <v>24828084</v>
      </c>
      <c r="L102" s="31">
        <v>0</v>
      </c>
      <c r="M102" s="31"/>
      <c r="N102" s="31">
        <v>0</v>
      </c>
      <c r="O102" s="19">
        <f t="shared" si="27"/>
        <v>0</v>
      </c>
      <c r="P102" s="37">
        <f>O102/K102</f>
        <v>0</v>
      </c>
    </row>
    <row r="103" spans="1:16" s="20" customFormat="1" x14ac:dyDescent="0.3">
      <c r="A103" s="20">
        <v>219</v>
      </c>
      <c r="B103" s="7"/>
      <c r="C103" s="8"/>
      <c r="D103" s="21"/>
      <c r="E103" s="24" t="s">
        <v>106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3">
        <f t="shared" si="26"/>
        <v>0</v>
      </c>
      <c r="L103" s="31">
        <v>0</v>
      </c>
      <c r="M103" s="31"/>
      <c r="N103" s="31">
        <v>0</v>
      </c>
      <c r="O103" s="19">
        <f t="shared" si="27"/>
        <v>0</v>
      </c>
      <c r="P103" s="37">
        <v>0</v>
      </c>
    </row>
    <row r="104" spans="1:16" s="20" customFormat="1" x14ac:dyDescent="0.3">
      <c r="A104" s="20">
        <v>220</v>
      </c>
      <c r="B104" s="7"/>
      <c r="C104" s="8"/>
      <c r="D104" s="21"/>
      <c r="E104" s="24" t="s">
        <v>107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  <c r="K104" s="33">
        <f t="shared" si="26"/>
        <v>0</v>
      </c>
      <c r="L104" s="31">
        <v>0</v>
      </c>
      <c r="M104" s="31"/>
      <c r="N104" s="31">
        <v>0</v>
      </c>
      <c r="O104" s="19">
        <f t="shared" si="27"/>
        <v>0</v>
      </c>
      <c r="P104" s="37">
        <v>0</v>
      </c>
    </row>
    <row r="105" spans="1:16" s="20" customFormat="1" x14ac:dyDescent="0.3">
      <c r="A105" s="20">
        <v>0</v>
      </c>
      <c r="B105" s="7"/>
      <c r="C105" s="8"/>
      <c r="D105" s="21"/>
      <c r="E105" s="24" t="s">
        <v>108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3">
        <f t="shared" si="26"/>
        <v>0</v>
      </c>
      <c r="L105" s="31">
        <v>0</v>
      </c>
      <c r="M105" s="31"/>
      <c r="N105" s="31">
        <v>0</v>
      </c>
      <c r="O105" s="19">
        <f t="shared" si="27"/>
        <v>0</v>
      </c>
      <c r="P105" s="37">
        <v>0</v>
      </c>
    </row>
    <row r="106" spans="1:16" s="20" customFormat="1" x14ac:dyDescent="0.3">
      <c r="A106" s="20">
        <v>225</v>
      </c>
      <c r="B106" s="7"/>
      <c r="C106" s="8"/>
      <c r="D106" s="21"/>
      <c r="E106" s="24" t="s">
        <v>109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3">
        <f t="shared" si="26"/>
        <v>0</v>
      </c>
      <c r="L106" s="31">
        <v>0</v>
      </c>
      <c r="M106" s="31"/>
      <c r="N106" s="31">
        <v>0</v>
      </c>
      <c r="O106" s="19">
        <f t="shared" si="27"/>
        <v>0</v>
      </c>
      <c r="P106" s="37">
        <v>0</v>
      </c>
    </row>
    <row r="107" spans="1:16" s="20" customFormat="1" x14ac:dyDescent="0.3">
      <c r="A107" s="20">
        <v>229</v>
      </c>
      <c r="B107" s="7"/>
      <c r="C107" s="8"/>
      <c r="D107" s="21"/>
      <c r="E107" s="24" t="s">
        <v>110</v>
      </c>
      <c r="F107" s="31">
        <v>0</v>
      </c>
      <c r="G107" s="31">
        <v>0</v>
      </c>
      <c r="H107" s="31">
        <v>0</v>
      </c>
      <c r="I107" s="31">
        <v>0</v>
      </c>
      <c r="J107" s="31">
        <v>0</v>
      </c>
      <c r="K107" s="33">
        <f t="shared" si="26"/>
        <v>0</v>
      </c>
      <c r="L107" s="31">
        <v>0</v>
      </c>
      <c r="M107" s="31"/>
      <c r="N107" s="31">
        <v>0</v>
      </c>
      <c r="O107" s="19">
        <f t="shared" si="27"/>
        <v>0</v>
      </c>
      <c r="P107" s="37">
        <v>0</v>
      </c>
    </row>
    <row r="108" spans="1:16" s="20" customFormat="1" x14ac:dyDescent="0.3">
      <c r="A108" s="20">
        <v>230</v>
      </c>
      <c r="B108" s="7"/>
      <c r="C108" s="8"/>
      <c r="D108" s="21"/>
      <c r="E108" s="24" t="s">
        <v>111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3">
        <f t="shared" si="26"/>
        <v>0</v>
      </c>
      <c r="L108" s="31">
        <v>0</v>
      </c>
      <c r="M108" s="31"/>
      <c r="N108" s="31">
        <v>0</v>
      </c>
      <c r="O108" s="19">
        <f t="shared" si="27"/>
        <v>0</v>
      </c>
      <c r="P108" s="37">
        <v>0</v>
      </c>
    </row>
    <row r="109" spans="1:16" s="20" customFormat="1" x14ac:dyDescent="0.3">
      <c r="A109" s="20">
        <v>231</v>
      </c>
      <c r="B109" s="7"/>
      <c r="C109" s="8"/>
      <c r="D109" s="21"/>
      <c r="E109" s="24" t="s">
        <v>112</v>
      </c>
      <c r="F109" s="31">
        <v>37321437</v>
      </c>
      <c r="G109" s="31">
        <v>0</v>
      </c>
      <c r="H109" s="31">
        <v>765294</v>
      </c>
      <c r="I109" s="31">
        <v>984954</v>
      </c>
      <c r="J109" s="31">
        <v>4333805</v>
      </c>
      <c r="K109" s="33">
        <f t="shared" si="26"/>
        <v>43405490</v>
      </c>
      <c r="L109" s="31">
        <v>15081047.439999999</v>
      </c>
      <c r="M109" s="31"/>
      <c r="N109" s="31">
        <v>7290234.5599999987</v>
      </c>
      <c r="O109" s="19">
        <f t="shared" si="27"/>
        <v>22371282</v>
      </c>
      <c r="P109" s="37">
        <f>O109/K109</f>
        <v>0.5154021300070567</v>
      </c>
    </row>
    <row r="110" spans="1:16" s="20" customFormat="1" x14ac:dyDescent="0.3">
      <c r="A110" s="20">
        <v>255</v>
      </c>
      <c r="B110" s="7"/>
      <c r="C110" s="8"/>
      <c r="D110" s="21"/>
      <c r="E110" s="24" t="s">
        <v>113</v>
      </c>
      <c r="F110" s="31">
        <v>586033869</v>
      </c>
      <c r="G110" s="31">
        <v>0</v>
      </c>
      <c r="H110" s="31">
        <v>12016908</v>
      </c>
      <c r="I110" s="31">
        <v>15466076</v>
      </c>
      <c r="J110" s="31">
        <v>68050880</v>
      </c>
      <c r="K110" s="33">
        <f t="shared" si="26"/>
        <v>681567733</v>
      </c>
      <c r="L110" s="31">
        <v>311171016.64999998</v>
      </c>
      <c r="M110" s="31"/>
      <c r="N110" s="31">
        <v>177747738.17999998</v>
      </c>
      <c r="O110" s="19">
        <f t="shared" si="27"/>
        <v>488918754.82999992</v>
      </c>
      <c r="P110" s="37">
        <f>O110/K110</f>
        <v>0.7173443388787889</v>
      </c>
    </row>
    <row r="111" spans="1:16" s="20" customFormat="1" x14ac:dyDescent="0.3">
      <c r="A111" s="20">
        <v>200</v>
      </c>
      <c r="B111" s="7"/>
      <c r="C111" s="8"/>
      <c r="D111" s="21"/>
      <c r="E111" s="24" t="s">
        <v>114</v>
      </c>
      <c r="F111" s="31">
        <v>4934224</v>
      </c>
      <c r="G111" s="31">
        <v>0</v>
      </c>
      <c r="H111" s="31">
        <v>101179</v>
      </c>
      <c r="I111" s="31">
        <v>130220</v>
      </c>
      <c r="J111" s="31">
        <v>572967</v>
      </c>
      <c r="K111" s="33">
        <f t="shared" si="26"/>
        <v>5738590</v>
      </c>
      <c r="L111" s="31">
        <v>5601055.4500000002</v>
      </c>
      <c r="M111" s="31"/>
      <c r="N111" s="31">
        <v>2444803.2499999995</v>
      </c>
      <c r="O111" s="19">
        <f t="shared" si="27"/>
        <v>8045858.6999999993</v>
      </c>
      <c r="P111" s="37">
        <f>O111/K111</f>
        <v>1.4020619525005269</v>
      </c>
    </row>
    <row r="112" spans="1:16" s="20" customFormat="1" x14ac:dyDescent="0.3">
      <c r="A112" s="20">
        <v>201</v>
      </c>
      <c r="B112" s="7"/>
      <c r="C112" s="8"/>
      <c r="D112" s="21"/>
      <c r="E112" s="24" t="s">
        <v>115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3">
        <f t="shared" si="26"/>
        <v>0</v>
      </c>
      <c r="L112" s="31">
        <v>0</v>
      </c>
      <c r="M112" s="31"/>
      <c r="N112" s="31">
        <v>0</v>
      </c>
      <c r="O112" s="19">
        <f t="shared" si="27"/>
        <v>0</v>
      </c>
      <c r="P112" s="37">
        <v>0</v>
      </c>
    </row>
    <row r="113" spans="1:16" s="20" customFormat="1" x14ac:dyDescent="0.3">
      <c r="A113" s="20">
        <v>223</v>
      </c>
      <c r="B113" s="7"/>
      <c r="C113" s="8"/>
      <c r="D113" s="21"/>
      <c r="E113" s="24" t="s">
        <v>116</v>
      </c>
      <c r="F113" s="31">
        <v>4301089</v>
      </c>
      <c r="G113" s="31">
        <v>0</v>
      </c>
      <c r="H113" s="31">
        <v>88196</v>
      </c>
      <c r="I113" s="31">
        <v>113510</v>
      </c>
      <c r="J113" s="31">
        <v>499447</v>
      </c>
      <c r="K113" s="33">
        <f t="shared" si="26"/>
        <v>5002242</v>
      </c>
      <c r="L113" s="31">
        <v>0</v>
      </c>
      <c r="M113" s="31"/>
      <c r="N113" s="31">
        <v>0</v>
      </c>
      <c r="O113" s="19">
        <f t="shared" si="27"/>
        <v>0</v>
      </c>
      <c r="P113" s="37">
        <f>O113/K113</f>
        <v>0</v>
      </c>
    </row>
    <row r="114" spans="1:16" s="20" customFormat="1" x14ac:dyDescent="0.3">
      <c r="A114" s="20">
        <v>222</v>
      </c>
      <c r="B114" s="7"/>
      <c r="C114" s="8"/>
      <c r="D114" s="21"/>
      <c r="E114" s="24" t="s">
        <v>117</v>
      </c>
      <c r="F114" s="31">
        <v>1356265</v>
      </c>
      <c r="G114" s="31">
        <v>0</v>
      </c>
      <c r="H114" s="31">
        <v>27811</v>
      </c>
      <c r="I114" s="31">
        <v>35793</v>
      </c>
      <c r="J114" s="31">
        <v>157491</v>
      </c>
      <c r="K114" s="33">
        <f t="shared" si="26"/>
        <v>1577360</v>
      </c>
      <c r="L114" s="31">
        <v>0</v>
      </c>
      <c r="M114" s="31"/>
      <c r="N114" s="31">
        <v>0</v>
      </c>
      <c r="O114" s="19">
        <f t="shared" si="27"/>
        <v>0</v>
      </c>
      <c r="P114" s="37">
        <f>O114/K114</f>
        <v>0</v>
      </c>
    </row>
    <row r="115" spans="1:16" s="20" customFormat="1" x14ac:dyDescent="0.3">
      <c r="A115" s="20">
        <v>221</v>
      </c>
      <c r="B115" s="7"/>
      <c r="C115" s="8"/>
      <c r="D115" s="21"/>
      <c r="E115" s="24" t="s">
        <v>118</v>
      </c>
      <c r="F115" s="31">
        <v>699271</v>
      </c>
      <c r="G115" s="31">
        <v>0</v>
      </c>
      <c r="H115" s="31">
        <v>14339</v>
      </c>
      <c r="I115" s="31">
        <v>18455</v>
      </c>
      <c r="J115" s="31">
        <v>81200</v>
      </c>
      <c r="K115" s="33">
        <f t="shared" si="26"/>
        <v>813265</v>
      </c>
      <c r="L115" s="31">
        <v>0</v>
      </c>
      <c r="M115" s="31"/>
      <c r="N115" s="31">
        <v>0</v>
      </c>
      <c r="O115" s="19">
        <f t="shared" si="27"/>
        <v>0</v>
      </c>
      <c r="P115" s="37">
        <f>O115/K115</f>
        <v>0</v>
      </c>
    </row>
    <row r="116" spans="1:16" s="20" customFormat="1" x14ac:dyDescent="0.3">
      <c r="A116" s="20">
        <v>235</v>
      </c>
      <c r="B116" s="7"/>
      <c r="C116" s="8"/>
      <c r="D116" s="21"/>
      <c r="E116" s="24" t="s">
        <v>119</v>
      </c>
      <c r="F116" s="31">
        <v>2082013</v>
      </c>
      <c r="G116" s="31">
        <v>0</v>
      </c>
      <c r="H116" s="31">
        <v>42693</v>
      </c>
      <c r="I116" s="31">
        <v>54947</v>
      </c>
      <c r="J116" s="31">
        <v>241766</v>
      </c>
      <c r="K116" s="33">
        <f t="shared" si="26"/>
        <v>2421419</v>
      </c>
      <c r="L116" s="31">
        <v>0</v>
      </c>
      <c r="M116" s="31"/>
      <c r="N116" s="31">
        <v>0</v>
      </c>
      <c r="O116" s="19">
        <f t="shared" si="27"/>
        <v>0</v>
      </c>
      <c r="P116" s="37">
        <f>O116/K116</f>
        <v>0</v>
      </c>
    </row>
    <row r="117" spans="1:16" s="20" customFormat="1" x14ac:dyDescent="0.3">
      <c r="A117" s="20">
        <v>236</v>
      </c>
      <c r="B117" s="7"/>
      <c r="C117" s="8"/>
      <c r="D117" s="21"/>
      <c r="E117" s="24" t="s">
        <v>120</v>
      </c>
      <c r="F117" s="31">
        <v>3154610</v>
      </c>
      <c r="G117" s="31">
        <v>0</v>
      </c>
      <c r="H117" s="31">
        <v>64687</v>
      </c>
      <c r="I117" s="31">
        <v>83254</v>
      </c>
      <c r="J117" s="31">
        <v>366317</v>
      </c>
      <c r="K117" s="33">
        <f t="shared" si="26"/>
        <v>3668868</v>
      </c>
      <c r="L117" s="31">
        <v>0</v>
      </c>
      <c r="M117" s="31"/>
      <c r="N117" s="31">
        <v>0</v>
      </c>
      <c r="O117" s="19">
        <f t="shared" si="27"/>
        <v>0</v>
      </c>
      <c r="P117" s="37">
        <f>O117/K117</f>
        <v>0</v>
      </c>
    </row>
    <row r="118" spans="1:16" s="20" customFormat="1" x14ac:dyDescent="0.3">
      <c r="A118" s="20">
        <v>240</v>
      </c>
      <c r="B118" s="7"/>
      <c r="C118" s="8"/>
      <c r="D118" s="21"/>
      <c r="E118" s="24" t="s">
        <v>121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3">
        <f t="shared" si="26"/>
        <v>0</v>
      </c>
      <c r="L118" s="31">
        <v>0</v>
      </c>
      <c r="M118" s="31"/>
      <c r="N118" s="31">
        <v>0</v>
      </c>
      <c r="O118" s="19">
        <f t="shared" si="27"/>
        <v>0</v>
      </c>
      <c r="P118" s="37">
        <v>0</v>
      </c>
    </row>
    <row r="119" spans="1:16" s="20" customFormat="1" x14ac:dyDescent="0.3">
      <c r="A119" s="20">
        <v>241</v>
      </c>
      <c r="B119" s="7"/>
      <c r="C119" s="8"/>
      <c r="D119" s="21"/>
      <c r="E119" s="24" t="s">
        <v>122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3">
        <f t="shared" ref="K119:K141" si="28">SUM(F119:J119)</f>
        <v>0</v>
      </c>
      <c r="L119" s="31">
        <v>0</v>
      </c>
      <c r="M119" s="31"/>
      <c r="N119" s="31">
        <v>0</v>
      </c>
      <c r="O119" s="19">
        <f t="shared" ref="O119:O141" si="29">SUM(L119:N119)</f>
        <v>0</v>
      </c>
      <c r="P119" s="37">
        <v>0</v>
      </c>
    </row>
    <row r="120" spans="1:16" s="20" customFormat="1" x14ac:dyDescent="0.3">
      <c r="A120" s="20">
        <v>242</v>
      </c>
      <c r="B120" s="7"/>
      <c r="C120" s="8"/>
      <c r="D120" s="21"/>
      <c r="E120" s="24" t="s">
        <v>123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3">
        <f t="shared" si="28"/>
        <v>0</v>
      </c>
      <c r="L120" s="31">
        <v>0</v>
      </c>
      <c r="M120" s="31"/>
      <c r="N120" s="31">
        <v>0</v>
      </c>
      <c r="O120" s="19">
        <f t="shared" si="29"/>
        <v>0</v>
      </c>
      <c r="P120" s="37">
        <v>0</v>
      </c>
    </row>
    <row r="121" spans="1:16" s="20" customFormat="1" x14ac:dyDescent="0.3">
      <c r="A121" s="20">
        <v>243</v>
      </c>
      <c r="B121" s="7"/>
      <c r="C121" s="8"/>
      <c r="D121" s="21"/>
      <c r="E121" s="24" t="s">
        <v>124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3">
        <f t="shared" si="28"/>
        <v>0</v>
      </c>
      <c r="L121" s="31">
        <v>0</v>
      </c>
      <c r="M121" s="31"/>
      <c r="N121" s="31">
        <v>0</v>
      </c>
      <c r="O121" s="19">
        <f t="shared" si="29"/>
        <v>0</v>
      </c>
      <c r="P121" s="37">
        <v>0</v>
      </c>
    </row>
    <row r="122" spans="1:16" s="20" customFormat="1" x14ac:dyDescent="0.3">
      <c r="A122" s="20">
        <v>245</v>
      </c>
      <c r="B122" s="7"/>
      <c r="C122" s="8"/>
      <c r="D122" s="21"/>
      <c r="E122" s="24" t="s">
        <v>125</v>
      </c>
      <c r="F122" s="31">
        <v>19456997</v>
      </c>
      <c r="G122" s="31">
        <v>0</v>
      </c>
      <c r="H122" s="31">
        <v>398975</v>
      </c>
      <c r="I122" s="31">
        <v>513491</v>
      </c>
      <c r="J122" s="31">
        <v>2259367</v>
      </c>
      <c r="K122" s="33">
        <f t="shared" si="28"/>
        <v>22628830</v>
      </c>
      <c r="L122" s="31">
        <v>6301989.7699999996</v>
      </c>
      <c r="M122" s="31"/>
      <c r="N122" s="31">
        <v>2840666.2299999995</v>
      </c>
      <c r="O122" s="19">
        <f t="shared" si="29"/>
        <v>9142656</v>
      </c>
      <c r="P122" s="37">
        <f>O122/K122</f>
        <v>0.40402689843001161</v>
      </c>
    </row>
    <row r="123" spans="1:16" s="20" customFormat="1" x14ac:dyDescent="0.3">
      <c r="A123" s="20">
        <v>246</v>
      </c>
      <c r="B123" s="7"/>
      <c r="C123" s="8"/>
      <c r="D123" s="21"/>
      <c r="E123" s="24" t="s">
        <v>126</v>
      </c>
      <c r="F123" s="31">
        <v>0</v>
      </c>
      <c r="G123" s="31">
        <v>0</v>
      </c>
      <c r="H123" s="31">
        <v>0</v>
      </c>
      <c r="I123" s="31">
        <v>0</v>
      </c>
      <c r="J123" s="31">
        <v>0</v>
      </c>
      <c r="K123" s="33">
        <f t="shared" si="28"/>
        <v>0</v>
      </c>
      <c r="L123" s="31">
        <v>0</v>
      </c>
      <c r="M123" s="31"/>
      <c r="N123" s="31">
        <v>0</v>
      </c>
      <c r="O123" s="19">
        <f t="shared" si="29"/>
        <v>0</v>
      </c>
      <c r="P123" s="37">
        <v>0</v>
      </c>
    </row>
    <row r="124" spans="1:16" s="20" customFormat="1" x14ac:dyDescent="0.3">
      <c r="A124" s="20">
        <v>247</v>
      </c>
      <c r="B124" s="7"/>
      <c r="C124" s="8"/>
      <c r="D124" s="21"/>
      <c r="E124" s="24" t="s">
        <v>127</v>
      </c>
      <c r="F124" s="31">
        <v>12331272</v>
      </c>
      <c r="G124" s="31">
        <v>0</v>
      </c>
      <c r="H124" s="31">
        <v>252859</v>
      </c>
      <c r="I124" s="31">
        <v>325436</v>
      </c>
      <c r="J124" s="31">
        <v>1431921</v>
      </c>
      <c r="K124" s="33">
        <f t="shared" si="28"/>
        <v>14341488</v>
      </c>
      <c r="L124" s="31">
        <v>0</v>
      </c>
      <c r="M124" s="31"/>
      <c r="N124" s="31">
        <v>0</v>
      </c>
      <c r="O124" s="19">
        <f t="shared" si="29"/>
        <v>0</v>
      </c>
      <c r="P124" s="37">
        <f>O124/K124</f>
        <v>0</v>
      </c>
    </row>
    <row r="125" spans="1:16" s="20" customFormat="1" x14ac:dyDescent="0.3">
      <c r="A125" s="20">
        <v>248</v>
      </c>
      <c r="B125" s="7"/>
      <c r="C125" s="8"/>
      <c r="D125" s="21"/>
      <c r="E125" s="24" t="s">
        <v>128</v>
      </c>
      <c r="F125" s="31">
        <v>25531712</v>
      </c>
      <c r="G125" s="31">
        <v>0</v>
      </c>
      <c r="H125" s="31">
        <v>523540</v>
      </c>
      <c r="I125" s="31">
        <v>673810</v>
      </c>
      <c r="J125" s="31">
        <v>2964770</v>
      </c>
      <c r="K125" s="33">
        <f t="shared" si="28"/>
        <v>29693832</v>
      </c>
      <c r="L125" s="31">
        <v>10649706.24</v>
      </c>
      <c r="M125" s="31"/>
      <c r="N125" s="31">
        <v>4810213.7599999988</v>
      </c>
      <c r="O125" s="19">
        <f t="shared" si="29"/>
        <v>15459920</v>
      </c>
      <c r="P125" s="37">
        <f>O125/K125</f>
        <v>0.52064415263075514</v>
      </c>
    </row>
    <row r="126" spans="1:16" s="20" customFormat="1" x14ac:dyDescent="0.3">
      <c r="A126" s="20">
        <v>249</v>
      </c>
      <c r="B126" s="7"/>
      <c r="C126" s="8"/>
      <c r="D126" s="21"/>
      <c r="E126" s="24" t="s">
        <v>129</v>
      </c>
      <c r="F126" s="31">
        <v>0</v>
      </c>
      <c r="G126" s="31">
        <v>0</v>
      </c>
      <c r="H126" s="31">
        <v>0</v>
      </c>
      <c r="I126" s="31">
        <v>0</v>
      </c>
      <c r="J126" s="31">
        <v>0</v>
      </c>
      <c r="K126" s="33">
        <f t="shared" si="28"/>
        <v>0</v>
      </c>
      <c r="L126" s="31">
        <v>0</v>
      </c>
      <c r="M126" s="31"/>
      <c r="N126" s="31">
        <v>0</v>
      </c>
      <c r="O126" s="19">
        <f t="shared" si="29"/>
        <v>0</v>
      </c>
      <c r="P126" s="37">
        <v>0</v>
      </c>
    </row>
    <row r="127" spans="1:16" s="20" customFormat="1" x14ac:dyDescent="0.3">
      <c r="A127" s="20">
        <v>250</v>
      </c>
      <c r="B127" s="7"/>
      <c r="C127" s="8"/>
      <c r="D127" s="21"/>
      <c r="E127" s="24" t="s">
        <v>130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3">
        <f t="shared" si="28"/>
        <v>0</v>
      </c>
      <c r="L127" s="31">
        <v>0</v>
      </c>
      <c r="M127" s="31"/>
      <c r="N127" s="31">
        <v>0</v>
      </c>
      <c r="O127" s="19">
        <f t="shared" si="29"/>
        <v>0</v>
      </c>
      <c r="P127" s="37">
        <v>0</v>
      </c>
    </row>
    <row r="128" spans="1:16" s="20" customFormat="1" x14ac:dyDescent="0.3">
      <c r="A128" s="20">
        <v>251</v>
      </c>
      <c r="B128" s="7"/>
      <c r="C128" s="8"/>
      <c r="D128" s="21"/>
      <c r="E128" s="24" t="s">
        <v>131</v>
      </c>
      <c r="F128" s="31">
        <v>94766716</v>
      </c>
      <c r="G128" s="31">
        <v>0</v>
      </c>
      <c r="H128" s="31">
        <v>1943237</v>
      </c>
      <c r="I128" s="31">
        <v>2500997</v>
      </c>
      <c r="J128" s="31">
        <v>11004412</v>
      </c>
      <c r="K128" s="33">
        <f t="shared" si="28"/>
        <v>110215362</v>
      </c>
      <c r="L128" s="31">
        <v>37616604.5</v>
      </c>
      <c r="M128" s="31"/>
      <c r="N128" s="31">
        <v>16007178.51</v>
      </c>
      <c r="O128" s="19">
        <f t="shared" si="29"/>
        <v>53623783.009999998</v>
      </c>
      <c r="P128" s="37">
        <f>O128/K128</f>
        <v>0.48653637784177489</v>
      </c>
    </row>
    <row r="129" spans="1:16" s="20" customFormat="1" x14ac:dyDescent="0.3">
      <c r="A129" s="20">
        <v>252</v>
      </c>
      <c r="B129" s="7"/>
      <c r="C129" s="8"/>
      <c r="D129" s="21"/>
      <c r="E129" s="24" t="s">
        <v>132</v>
      </c>
      <c r="F129" s="31">
        <v>30757764</v>
      </c>
      <c r="G129" s="31">
        <v>0</v>
      </c>
      <c r="H129" s="31">
        <v>630703</v>
      </c>
      <c r="I129" s="31">
        <v>811731</v>
      </c>
      <c r="J129" s="31">
        <v>3571625</v>
      </c>
      <c r="K129" s="33">
        <f t="shared" si="28"/>
        <v>35771823</v>
      </c>
      <c r="L129" s="31">
        <v>17457974.09</v>
      </c>
      <c r="M129" s="31"/>
      <c r="N129" s="31">
        <v>7358651.9099999992</v>
      </c>
      <c r="O129" s="19">
        <f t="shared" si="29"/>
        <v>24816626</v>
      </c>
      <c r="P129" s="37">
        <f>O129/K129</f>
        <v>0.69374786965707613</v>
      </c>
    </row>
    <row r="130" spans="1:16" s="20" customFormat="1" x14ac:dyDescent="0.3">
      <c r="A130" s="20">
        <v>253</v>
      </c>
      <c r="B130" s="7"/>
      <c r="C130" s="8"/>
      <c r="D130" s="21"/>
      <c r="E130" s="24" t="s">
        <v>133</v>
      </c>
      <c r="F130" s="31">
        <v>4598123</v>
      </c>
      <c r="G130" s="31">
        <v>0</v>
      </c>
      <c r="H130" s="31">
        <v>94287</v>
      </c>
      <c r="I130" s="31">
        <v>121349</v>
      </c>
      <c r="J130" s="31">
        <v>533939</v>
      </c>
      <c r="K130" s="33">
        <f t="shared" si="28"/>
        <v>5347698</v>
      </c>
      <c r="L130" s="31">
        <v>3169662.5</v>
      </c>
      <c r="M130" s="31"/>
      <c r="N130" s="31">
        <v>1215337.5</v>
      </c>
      <c r="O130" s="19">
        <f t="shared" si="29"/>
        <v>4385000</v>
      </c>
      <c r="P130" s="37">
        <f>O130/K130</f>
        <v>0.81997898909025901</v>
      </c>
    </row>
    <row r="131" spans="1:16" s="20" customFormat="1" x14ac:dyDescent="0.3">
      <c r="A131" s="20">
        <v>254</v>
      </c>
      <c r="B131" s="7"/>
      <c r="C131" s="8"/>
      <c r="D131" s="21"/>
      <c r="E131" s="24" t="s">
        <v>134</v>
      </c>
      <c r="F131" s="31">
        <v>1395176</v>
      </c>
      <c r="G131" s="31">
        <v>0</v>
      </c>
      <c r="H131" s="31">
        <v>28609</v>
      </c>
      <c r="I131" s="31">
        <v>36820</v>
      </c>
      <c r="J131" s="31">
        <v>162009</v>
      </c>
      <c r="K131" s="33">
        <f t="shared" si="28"/>
        <v>1622614</v>
      </c>
      <c r="L131" s="31">
        <v>664111.1</v>
      </c>
      <c r="M131" s="31"/>
      <c r="N131" s="31">
        <v>291388.90000000002</v>
      </c>
      <c r="O131" s="19">
        <f t="shared" si="29"/>
        <v>955500</v>
      </c>
      <c r="P131" s="37">
        <f>O131/K131</f>
        <v>0.58886463447252402</v>
      </c>
    </row>
    <row r="132" spans="1:16" s="20" customFormat="1" x14ac:dyDescent="0.3">
      <c r="A132" s="20">
        <v>233</v>
      </c>
      <c r="B132" s="7"/>
      <c r="C132" s="8"/>
      <c r="D132" s="21"/>
      <c r="E132" s="24" t="s">
        <v>135</v>
      </c>
      <c r="F132" s="31">
        <v>0</v>
      </c>
      <c r="G132" s="31">
        <v>0</v>
      </c>
      <c r="H132" s="31">
        <v>0</v>
      </c>
      <c r="I132" s="31">
        <v>0</v>
      </c>
      <c r="J132" s="31">
        <v>0</v>
      </c>
      <c r="K132" s="33">
        <f t="shared" si="28"/>
        <v>0</v>
      </c>
      <c r="L132" s="31">
        <v>0</v>
      </c>
      <c r="M132" s="31"/>
      <c r="N132" s="31">
        <v>0</v>
      </c>
      <c r="O132" s="19">
        <f t="shared" si="29"/>
        <v>0</v>
      </c>
      <c r="P132" s="37">
        <v>0</v>
      </c>
    </row>
    <row r="133" spans="1:16" s="20" customFormat="1" x14ac:dyDescent="0.3">
      <c r="A133" s="20">
        <v>234</v>
      </c>
      <c r="B133" s="7"/>
      <c r="C133" s="8"/>
      <c r="D133" s="21"/>
      <c r="E133" s="24" t="s">
        <v>136</v>
      </c>
      <c r="F133" s="31">
        <v>402125</v>
      </c>
      <c r="G133" s="31">
        <v>0</v>
      </c>
      <c r="H133" s="31">
        <v>8246</v>
      </c>
      <c r="I133" s="31">
        <v>10613</v>
      </c>
      <c r="J133" s="31">
        <v>46695</v>
      </c>
      <c r="K133" s="33">
        <f t="shared" si="28"/>
        <v>467679</v>
      </c>
      <c r="L133" s="31">
        <v>27825</v>
      </c>
      <c r="M133" s="31"/>
      <c r="N133" s="31">
        <v>-27825</v>
      </c>
      <c r="O133" s="19">
        <f t="shared" si="29"/>
        <v>0</v>
      </c>
      <c r="P133" s="37">
        <f>O133/K133</f>
        <v>0</v>
      </c>
    </row>
    <row r="134" spans="1:16" s="20" customFormat="1" x14ac:dyDescent="0.3">
      <c r="A134" s="20">
        <v>237</v>
      </c>
      <c r="B134" s="7"/>
      <c r="C134" s="8"/>
      <c r="D134" s="21"/>
      <c r="E134" s="24" t="s">
        <v>137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3">
        <f t="shared" si="28"/>
        <v>0</v>
      </c>
      <c r="L134" s="31">
        <v>0</v>
      </c>
      <c r="M134" s="31"/>
      <c r="N134" s="31">
        <v>0</v>
      </c>
      <c r="O134" s="19">
        <f t="shared" si="29"/>
        <v>0</v>
      </c>
      <c r="P134" s="37">
        <v>0</v>
      </c>
    </row>
    <row r="135" spans="1:16" s="20" customFormat="1" x14ac:dyDescent="0.3">
      <c r="A135" s="20">
        <v>256</v>
      </c>
      <c r="B135" s="7"/>
      <c r="C135" s="8"/>
      <c r="D135" s="21"/>
      <c r="E135" s="24" t="s">
        <v>138</v>
      </c>
      <c r="F135" s="31">
        <v>129204602</v>
      </c>
      <c r="G135" s="31">
        <v>0</v>
      </c>
      <c r="H135" s="31">
        <v>2649403</v>
      </c>
      <c r="I135" s="31">
        <v>3409851</v>
      </c>
      <c r="J135" s="31">
        <v>15003377</v>
      </c>
      <c r="K135" s="33">
        <f t="shared" si="28"/>
        <v>150267233</v>
      </c>
      <c r="L135" s="31">
        <v>79449669.560000002</v>
      </c>
      <c r="M135" s="31"/>
      <c r="N135" s="31">
        <v>34599905.450000003</v>
      </c>
      <c r="O135" s="19">
        <f t="shared" si="29"/>
        <v>114049575.01000001</v>
      </c>
      <c r="P135" s="37">
        <f>O135/K135</f>
        <v>0.75897833967568973</v>
      </c>
    </row>
    <row r="136" spans="1:16" s="20" customFormat="1" x14ac:dyDescent="0.3">
      <c r="A136" s="20">
        <v>261</v>
      </c>
      <c r="B136" s="7"/>
      <c r="C136" s="8"/>
      <c r="D136" s="21"/>
      <c r="E136" s="24" t="s">
        <v>139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3">
        <f t="shared" si="28"/>
        <v>0</v>
      </c>
      <c r="L136" s="31">
        <v>0</v>
      </c>
      <c r="M136" s="31"/>
      <c r="N136" s="31">
        <v>0</v>
      </c>
      <c r="O136" s="19">
        <f t="shared" si="29"/>
        <v>0</v>
      </c>
      <c r="P136" s="37">
        <v>0</v>
      </c>
    </row>
    <row r="137" spans="1:16" s="20" customFormat="1" x14ac:dyDescent="0.3">
      <c r="A137" s="20">
        <v>227</v>
      </c>
      <c r="B137" s="7"/>
      <c r="C137" s="8"/>
      <c r="D137" s="21"/>
      <c r="E137" s="24" t="s">
        <v>140</v>
      </c>
      <c r="F137" s="31">
        <v>59115869</v>
      </c>
      <c r="G137" s="31">
        <v>0</v>
      </c>
      <c r="H137" s="31">
        <v>1212199</v>
      </c>
      <c r="I137" s="31">
        <v>1560133</v>
      </c>
      <c r="J137" s="31">
        <v>6864598</v>
      </c>
      <c r="K137" s="33">
        <f t="shared" si="28"/>
        <v>68752799</v>
      </c>
      <c r="L137" s="31">
        <v>0</v>
      </c>
      <c r="M137" s="31"/>
      <c r="N137" s="31">
        <v>0</v>
      </c>
      <c r="O137" s="19">
        <f t="shared" si="29"/>
        <v>0</v>
      </c>
      <c r="P137" s="37">
        <f>O137/K137</f>
        <v>0</v>
      </c>
    </row>
    <row r="138" spans="1:16" s="20" customFormat="1" x14ac:dyDescent="0.3">
      <c r="A138" s="20">
        <v>226</v>
      </c>
      <c r="B138" s="7"/>
      <c r="C138" s="8"/>
      <c r="D138" s="21"/>
      <c r="E138" s="24" t="s">
        <v>141</v>
      </c>
      <c r="F138" s="31">
        <v>69305</v>
      </c>
      <c r="G138" s="31">
        <v>0</v>
      </c>
      <c r="H138" s="31">
        <v>1421</v>
      </c>
      <c r="I138" s="31">
        <v>1829</v>
      </c>
      <c r="J138" s="31">
        <v>8047</v>
      </c>
      <c r="K138" s="33">
        <f t="shared" si="28"/>
        <v>80602</v>
      </c>
      <c r="L138" s="31">
        <v>0</v>
      </c>
      <c r="M138" s="31"/>
      <c r="N138" s="31">
        <v>0</v>
      </c>
      <c r="O138" s="19">
        <f t="shared" si="29"/>
        <v>0</v>
      </c>
      <c r="P138" s="37">
        <f>O138/K138</f>
        <v>0</v>
      </c>
    </row>
    <row r="139" spans="1:16" s="20" customFormat="1" x14ac:dyDescent="0.3">
      <c r="A139" s="20">
        <v>228</v>
      </c>
      <c r="B139" s="7"/>
      <c r="C139" s="8"/>
      <c r="D139" s="21"/>
      <c r="E139" s="24" t="s">
        <v>142</v>
      </c>
      <c r="F139" s="31">
        <v>371042</v>
      </c>
      <c r="G139" s="31">
        <v>0</v>
      </c>
      <c r="H139" s="31">
        <v>7608</v>
      </c>
      <c r="I139" s="31">
        <v>9792</v>
      </c>
      <c r="J139" s="31">
        <v>43085</v>
      </c>
      <c r="K139" s="33">
        <f t="shared" si="28"/>
        <v>431527</v>
      </c>
      <c r="L139" s="31">
        <v>0</v>
      </c>
      <c r="M139" s="31"/>
      <c r="N139" s="31">
        <v>0</v>
      </c>
      <c r="O139" s="19">
        <f t="shared" si="29"/>
        <v>0</v>
      </c>
      <c r="P139" s="37">
        <f>O139/K139</f>
        <v>0</v>
      </c>
    </row>
    <row r="140" spans="1:16" s="20" customFormat="1" x14ac:dyDescent="0.3">
      <c r="A140" s="20">
        <v>260</v>
      </c>
      <c r="B140" s="7"/>
      <c r="C140" s="8"/>
      <c r="D140" s="21"/>
      <c r="E140" s="24" t="s">
        <v>143</v>
      </c>
      <c r="F140" s="31">
        <v>257950</v>
      </c>
      <c r="G140" s="31">
        <v>0</v>
      </c>
      <c r="H140" s="31">
        <v>5289</v>
      </c>
      <c r="I140" s="31">
        <v>6808</v>
      </c>
      <c r="J140" s="31">
        <v>29953</v>
      </c>
      <c r="K140" s="33">
        <f t="shared" si="28"/>
        <v>300000</v>
      </c>
      <c r="L140" s="31">
        <v>0</v>
      </c>
      <c r="M140" s="31"/>
      <c r="N140" s="31">
        <v>0</v>
      </c>
      <c r="O140" s="19">
        <f t="shared" si="29"/>
        <v>0</v>
      </c>
      <c r="P140" s="37">
        <f>O140/K140</f>
        <v>0</v>
      </c>
    </row>
    <row r="141" spans="1:16" s="20" customFormat="1" x14ac:dyDescent="0.3">
      <c r="A141" s="20">
        <v>238</v>
      </c>
      <c r="B141" s="7"/>
      <c r="C141" s="8"/>
      <c r="D141" s="21"/>
      <c r="E141" s="24" t="s">
        <v>144</v>
      </c>
      <c r="F141" s="31">
        <v>0</v>
      </c>
      <c r="G141" s="31">
        <v>0</v>
      </c>
      <c r="H141" s="31">
        <v>0</v>
      </c>
      <c r="I141" s="31">
        <v>0</v>
      </c>
      <c r="J141" s="31">
        <v>0</v>
      </c>
      <c r="K141" s="33">
        <f t="shared" si="28"/>
        <v>0</v>
      </c>
      <c r="L141" s="31">
        <v>0</v>
      </c>
      <c r="M141" s="31"/>
      <c r="N141" s="31">
        <v>0</v>
      </c>
      <c r="O141" s="19">
        <f t="shared" si="29"/>
        <v>0</v>
      </c>
      <c r="P141" s="37">
        <v>0</v>
      </c>
    </row>
    <row r="142" spans="1:16" s="23" customFormat="1" x14ac:dyDescent="0.3">
      <c r="B142" s="12">
        <v>22</v>
      </c>
      <c r="C142" s="8" t="s">
        <v>20</v>
      </c>
      <c r="D142" s="14"/>
      <c r="E142" s="15" t="s">
        <v>145</v>
      </c>
      <c r="F142" s="32">
        <f>SUM(F55:F141)</f>
        <v>2481378989</v>
      </c>
      <c r="G142" s="32">
        <f t="shared" ref="G142:K142" si="30">SUM(G55:G141)</f>
        <v>0</v>
      </c>
      <c r="H142" s="32">
        <f t="shared" si="30"/>
        <v>50881878</v>
      </c>
      <c r="I142" s="32">
        <f t="shared" si="30"/>
        <v>65486313</v>
      </c>
      <c r="J142" s="32">
        <f t="shared" si="30"/>
        <v>288140384</v>
      </c>
      <c r="K142" s="32">
        <f t="shared" si="30"/>
        <v>2885887564</v>
      </c>
      <c r="L142" s="32">
        <f t="shared" ref="L142" si="31">SUM(L55:L141)</f>
        <v>1257536120.6599996</v>
      </c>
      <c r="M142" s="32">
        <f t="shared" ref="M142" si="32">SUM(M55:M141)</f>
        <v>0</v>
      </c>
      <c r="N142" s="32">
        <f t="shared" ref="N142" si="33">SUM(N55:N141)</f>
        <v>603610499.61000001</v>
      </c>
      <c r="O142" s="16">
        <f t="shared" ref="O142" si="34">SUM(O55:O141)</f>
        <v>1861146620.2699997</v>
      </c>
      <c r="P142" s="37">
        <f>O142/K142</f>
        <v>0.64491307405280451</v>
      </c>
    </row>
    <row r="143" spans="1:16" s="20" customFormat="1" x14ac:dyDescent="0.3">
      <c r="B143" s="7"/>
      <c r="C143" s="8" t="s">
        <v>22</v>
      </c>
      <c r="D143" s="21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19"/>
      <c r="P143" s="19"/>
    </row>
    <row r="144" spans="1:16" s="20" customFormat="1" x14ac:dyDescent="0.3">
      <c r="B144" s="7"/>
      <c r="C144" s="8" t="s">
        <v>15</v>
      </c>
      <c r="D144" s="21"/>
      <c r="E144" s="22" t="s">
        <v>146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19"/>
      <c r="P144" s="19"/>
    </row>
    <row r="145" spans="1:16" s="20" customFormat="1" x14ac:dyDescent="0.3">
      <c r="A145" s="20">
        <v>269</v>
      </c>
      <c r="B145" s="7"/>
      <c r="C145" s="8"/>
      <c r="D145" s="21"/>
      <c r="E145" s="24" t="s">
        <v>147</v>
      </c>
      <c r="F145" s="31">
        <v>41533130</v>
      </c>
      <c r="G145" s="31">
        <v>0</v>
      </c>
      <c r="H145" s="31">
        <v>851657</v>
      </c>
      <c r="I145" s="31">
        <v>1096105</v>
      </c>
      <c r="J145" s="31">
        <v>4822871</v>
      </c>
      <c r="K145" s="33">
        <f t="shared" ref="K145:K159" si="35">SUM(F145:J145)</f>
        <v>48303763</v>
      </c>
      <c r="L145" s="31">
        <v>17873081.23</v>
      </c>
      <c r="M145" s="31"/>
      <c r="N145" s="31">
        <v>7848671.2499999991</v>
      </c>
      <c r="O145" s="19">
        <f t="shared" ref="O145:O159" si="36">SUM(L145:N145)</f>
        <v>25721752.48</v>
      </c>
      <c r="P145" s="37">
        <f>O145/K145</f>
        <v>0.53249997272469229</v>
      </c>
    </row>
    <row r="146" spans="1:16" s="20" customFormat="1" x14ac:dyDescent="0.3">
      <c r="A146" s="20">
        <v>270</v>
      </c>
      <c r="B146" s="7"/>
      <c r="C146" s="8"/>
      <c r="D146" s="21"/>
      <c r="E146" s="24" t="s">
        <v>148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3">
        <f t="shared" si="35"/>
        <v>0</v>
      </c>
      <c r="L146" s="31">
        <v>0</v>
      </c>
      <c r="M146" s="31"/>
      <c r="N146" s="31">
        <v>0</v>
      </c>
      <c r="O146" s="19">
        <f t="shared" si="36"/>
        <v>0</v>
      </c>
      <c r="P146" s="37">
        <v>0</v>
      </c>
    </row>
    <row r="147" spans="1:16" s="20" customFormat="1" x14ac:dyDescent="0.3">
      <c r="A147" s="20">
        <v>271</v>
      </c>
      <c r="B147" s="7"/>
      <c r="C147" s="8"/>
      <c r="D147" s="21"/>
      <c r="E147" s="24" t="s">
        <v>149</v>
      </c>
      <c r="F147" s="31">
        <v>0</v>
      </c>
      <c r="G147" s="31">
        <v>0</v>
      </c>
      <c r="H147" s="31">
        <v>0</v>
      </c>
      <c r="I147" s="31">
        <v>0</v>
      </c>
      <c r="J147" s="31">
        <v>0</v>
      </c>
      <c r="K147" s="33">
        <f t="shared" si="35"/>
        <v>0</v>
      </c>
      <c r="L147" s="31">
        <v>0</v>
      </c>
      <c r="M147" s="31"/>
      <c r="N147" s="31">
        <v>0</v>
      </c>
      <c r="O147" s="19">
        <f t="shared" si="36"/>
        <v>0</v>
      </c>
      <c r="P147" s="37">
        <v>0</v>
      </c>
    </row>
    <row r="148" spans="1:16" s="20" customFormat="1" x14ac:dyDescent="0.3">
      <c r="A148" s="20">
        <v>272</v>
      </c>
      <c r="B148" s="7"/>
      <c r="C148" s="8"/>
      <c r="D148" s="21"/>
      <c r="E148" s="24" t="s">
        <v>150</v>
      </c>
      <c r="F148" s="31">
        <v>116036680</v>
      </c>
      <c r="G148" s="31">
        <v>0</v>
      </c>
      <c r="H148" s="31">
        <v>2379388</v>
      </c>
      <c r="I148" s="31">
        <v>3062335</v>
      </c>
      <c r="J148" s="31">
        <v>13474303</v>
      </c>
      <c r="K148" s="33">
        <f t="shared" si="35"/>
        <v>134952706</v>
      </c>
      <c r="L148" s="31">
        <v>78144699.159999996</v>
      </c>
      <c r="M148" s="31"/>
      <c r="N148" s="31">
        <v>34616571.959999993</v>
      </c>
      <c r="O148" s="19">
        <f t="shared" si="36"/>
        <v>112761271.11999999</v>
      </c>
      <c r="P148" s="37">
        <f>O148/K148</f>
        <v>0.83556139378190752</v>
      </c>
    </row>
    <row r="149" spans="1:16" s="20" customFormat="1" x14ac:dyDescent="0.3">
      <c r="A149" s="20">
        <v>273</v>
      </c>
      <c r="B149" s="7"/>
      <c r="C149" s="8"/>
      <c r="D149" s="21"/>
      <c r="E149" s="24" t="s">
        <v>151</v>
      </c>
      <c r="F149" s="31">
        <v>0</v>
      </c>
      <c r="G149" s="31">
        <v>0</v>
      </c>
      <c r="H149" s="31">
        <v>0</v>
      </c>
      <c r="I149" s="31">
        <v>0</v>
      </c>
      <c r="J149" s="31">
        <v>0</v>
      </c>
      <c r="K149" s="33">
        <f t="shared" si="35"/>
        <v>0</v>
      </c>
      <c r="L149" s="31">
        <v>15297853.59</v>
      </c>
      <c r="M149" s="31"/>
      <c r="N149" s="31">
        <v>9187751.879999999</v>
      </c>
      <c r="O149" s="19">
        <f t="shared" si="36"/>
        <v>24485605.469999999</v>
      </c>
      <c r="P149" s="37">
        <v>0</v>
      </c>
    </row>
    <row r="150" spans="1:16" s="20" customFormat="1" x14ac:dyDescent="0.3">
      <c r="A150" s="20">
        <v>265</v>
      </c>
      <c r="B150" s="7"/>
      <c r="C150" s="8"/>
      <c r="D150" s="21"/>
      <c r="E150" s="24" t="s">
        <v>152</v>
      </c>
      <c r="F150" s="31">
        <v>148407</v>
      </c>
      <c r="G150" s="31">
        <v>0</v>
      </c>
      <c r="H150" s="31">
        <v>3043</v>
      </c>
      <c r="I150" s="31">
        <v>3917</v>
      </c>
      <c r="J150" s="31">
        <v>17233</v>
      </c>
      <c r="K150" s="33">
        <f t="shared" si="35"/>
        <v>172600</v>
      </c>
      <c r="L150" s="31">
        <v>0</v>
      </c>
      <c r="M150" s="31"/>
      <c r="N150" s="31">
        <v>0</v>
      </c>
      <c r="O150" s="19">
        <f t="shared" si="36"/>
        <v>0</v>
      </c>
      <c r="P150" s="37">
        <f>O150/K150</f>
        <v>0</v>
      </c>
    </row>
    <row r="151" spans="1:16" s="20" customFormat="1" x14ac:dyDescent="0.3">
      <c r="A151" s="20">
        <v>266</v>
      </c>
      <c r="B151" s="7"/>
      <c r="C151" s="8"/>
      <c r="D151" s="21"/>
      <c r="E151" s="24" t="s">
        <v>153</v>
      </c>
      <c r="F151" s="31">
        <v>21731601</v>
      </c>
      <c r="G151" s="31">
        <v>0</v>
      </c>
      <c r="H151" s="31">
        <v>445617</v>
      </c>
      <c r="I151" s="31">
        <v>573521</v>
      </c>
      <c r="J151" s="31">
        <v>2523497</v>
      </c>
      <c r="K151" s="33">
        <f t="shared" si="35"/>
        <v>25274236</v>
      </c>
      <c r="L151" s="31">
        <v>0</v>
      </c>
      <c r="M151" s="31"/>
      <c r="N151" s="31">
        <v>0</v>
      </c>
      <c r="O151" s="19">
        <f t="shared" si="36"/>
        <v>0</v>
      </c>
      <c r="P151" s="37">
        <f>O151/K151</f>
        <v>0</v>
      </c>
    </row>
    <row r="152" spans="1:16" s="20" customFormat="1" x14ac:dyDescent="0.3">
      <c r="A152" s="20">
        <v>267</v>
      </c>
      <c r="B152" s="7"/>
      <c r="C152" s="8"/>
      <c r="D152" s="21"/>
      <c r="E152" s="24" t="s">
        <v>154</v>
      </c>
      <c r="F152" s="31">
        <v>36269829</v>
      </c>
      <c r="G152" s="31">
        <v>0</v>
      </c>
      <c r="H152" s="31">
        <v>743730</v>
      </c>
      <c r="I152" s="31">
        <v>957201</v>
      </c>
      <c r="J152" s="31">
        <v>4211691</v>
      </c>
      <c r="K152" s="33">
        <f t="shared" si="35"/>
        <v>42182451</v>
      </c>
      <c r="L152" s="31">
        <v>5567102.0700000003</v>
      </c>
      <c r="M152" s="31"/>
      <c r="N152" s="31">
        <v>2202229.5699999998</v>
      </c>
      <c r="O152" s="19">
        <f t="shared" si="36"/>
        <v>7769331.6400000006</v>
      </c>
      <c r="P152" s="37">
        <f>O152/K152</f>
        <v>0.18418397830889438</v>
      </c>
    </row>
    <row r="153" spans="1:16" s="20" customFormat="1" x14ac:dyDescent="0.3">
      <c r="A153" s="20">
        <v>268</v>
      </c>
      <c r="B153" s="7"/>
      <c r="C153" s="8"/>
      <c r="D153" s="21"/>
      <c r="E153" s="24" t="s">
        <v>155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3">
        <f t="shared" si="35"/>
        <v>0</v>
      </c>
      <c r="L153" s="31">
        <v>0</v>
      </c>
      <c r="M153" s="31"/>
      <c r="N153" s="31">
        <v>0</v>
      </c>
      <c r="O153" s="19">
        <f t="shared" si="36"/>
        <v>0</v>
      </c>
      <c r="P153" s="37">
        <v>0</v>
      </c>
    </row>
    <row r="154" spans="1:16" s="20" customFormat="1" x14ac:dyDescent="0.3">
      <c r="A154" s="20">
        <v>274</v>
      </c>
      <c r="B154" s="7"/>
      <c r="C154" s="8"/>
      <c r="D154" s="21"/>
      <c r="E154" s="24" t="s">
        <v>156</v>
      </c>
      <c r="F154" s="31">
        <v>213005369</v>
      </c>
      <c r="G154" s="31">
        <v>0</v>
      </c>
      <c r="H154" s="31">
        <v>4367778</v>
      </c>
      <c r="I154" s="31">
        <v>5621445</v>
      </c>
      <c r="J154" s="31">
        <v>24734411</v>
      </c>
      <c r="K154" s="33">
        <f t="shared" si="35"/>
        <v>247729003</v>
      </c>
      <c r="L154" s="31">
        <v>164703000.59</v>
      </c>
      <c r="M154" s="31"/>
      <c r="N154" s="31">
        <v>72391680.340000004</v>
      </c>
      <c r="O154" s="19">
        <f t="shared" si="36"/>
        <v>237094680.93000001</v>
      </c>
      <c r="P154" s="37">
        <f>O154/K154</f>
        <v>0.95707276119784812</v>
      </c>
    </row>
    <row r="155" spans="1:16" s="20" customFormat="1" x14ac:dyDescent="0.3">
      <c r="A155" s="20">
        <v>275</v>
      </c>
      <c r="B155" s="7"/>
      <c r="C155" s="8"/>
      <c r="D155" s="21"/>
      <c r="E155" s="24" t="s">
        <v>157</v>
      </c>
      <c r="F155" s="31">
        <v>41926315</v>
      </c>
      <c r="G155" s="31">
        <v>0</v>
      </c>
      <c r="H155" s="31">
        <v>859719</v>
      </c>
      <c r="I155" s="31">
        <v>1106481</v>
      </c>
      <c r="J155" s="31">
        <v>4868529</v>
      </c>
      <c r="K155" s="33">
        <f t="shared" si="35"/>
        <v>48761044</v>
      </c>
      <c r="L155" s="31">
        <v>23736784.210000001</v>
      </c>
      <c r="M155" s="31"/>
      <c r="N155" s="31">
        <v>10384991.33</v>
      </c>
      <c r="O155" s="19">
        <f t="shared" si="36"/>
        <v>34121775.539999999</v>
      </c>
      <c r="P155" s="37">
        <f>O155/K155</f>
        <v>0.69977532761603711</v>
      </c>
    </row>
    <row r="156" spans="1:16" s="20" customFormat="1" x14ac:dyDescent="0.3">
      <c r="A156" s="20">
        <v>276</v>
      </c>
      <c r="B156" s="7"/>
      <c r="C156" s="8"/>
      <c r="D156" s="21"/>
      <c r="E156" s="24" t="s">
        <v>158</v>
      </c>
      <c r="F156" s="31">
        <v>247438530</v>
      </c>
      <c r="G156" s="31">
        <v>0</v>
      </c>
      <c r="H156" s="31">
        <v>5073847</v>
      </c>
      <c r="I156" s="31">
        <v>6530174</v>
      </c>
      <c r="J156" s="31">
        <v>28732827</v>
      </c>
      <c r="K156" s="33">
        <f t="shared" si="35"/>
        <v>287775378</v>
      </c>
      <c r="L156" s="31">
        <v>111259095.58</v>
      </c>
      <c r="M156" s="31"/>
      <c r="N156" s="31">
        <v>48406067.049999997</v>
      </c>
      <c r="O156" s="19">
        <f t="shared" si="36"/>
        <v>159665162.63</v>
      </c>
      <c r="P156" s="37">
        <f>O156/K156</f>
        <v>0.55482565513301141</v>
      </c>
    </row>
    <row r="157" spans="1:16" s="20" customFormat="1" x14ac:dyDescent="0.3">
      <c r="A157" s="20">
        <v>277</v>
      </c>
      <c r="B157" s="7"/>
      <c r="C157" s="8"/>
      <c r="D157" s="21"/>
      <c r="E157" s="24" t="s">
        <v>159</v>
      </c>
      <c r="F157" s="31">
        <v>0</v>
      </c>
      <c r="G157" s="31">
        <v>0</v>
      </c>
      <c r="H157" s="31">
        <v>0</v>
      </c>
      <c r="I157" s="31">
        <v>0</v>
      </c>
      <c r="J157" s="31">
        <v>0</v>
      </c>
      <c r="K157" s="33">
        <f t="shared" si="35"/>
        <v>0</v>
      </c>
      <c r="L157" s="31">
        <v>0</v>
      </c>
      <c r="M157" s="31"/>
      <c r="N157" s="31">
        <v>0</v>
      </c>
      <c r="O157" s="19">
        <f t="shared" si="36"/>
        <v>0</v>
      </c>
      <c r="P157" s="37">
        <v>0</v>
      </c>
    </row>
    <row r="158" spans="1:16" s="20" customFormat="1" x14ac:dyDescent="0.3">
      <c r="A158" s="20">
        <v>278</v>
      </c>
      <c r="B158" s="7"/>
      <c r="C158" s="8"/>
      <c r="D158" s="21"/>
      <c r="E158" s="24" t="s">
        <v>160</v>
      </c>
      <c r="F158" s="31">
        <v>0</v>
      </c>
      <c r="G158" s="31">
        <v>0</v>
      </c>
      <c r="H158" s="31">
        <v>0</v>
      </c>
      <c r="I158" s="31">
        <v>0</v>
      </c>
      <c r="J158" s="31">
        <v>0</v>
      </c>
      <c r="K158" s="33">
        <f t="shared" si="35"/>
        <v>0</v>
      </c>
      <c r="L158" s="24">
        <v>0</v>
      </c>
      <c r="M158" s="24"/>
      <c r="N158" s="31">
        <v>5231188.9800000004</v>
      </c>
      <c r="O158" s="19">
        <f t="shared" si="36"/>
        <v>5231188.9800000004</v>
      </c>
      <c r="P158" s="37">
        <v>0</v>
      </c>
    </row>
    <row r="159" spans="1:16" s="20" customFormat="1" x14ac:dyDescent="0.3">
      <c r="A159" s="20">
        <v>279</v>
      </c>
      <c r="B159" s="7"/>
      <c r="C159" s="8"/>
      <c r="D159" s="21"/>
      <c r="E159" s="24" t="s">
        <v>161</v>
      </c>
      <c r="F159" s="31">
        <v>0</v>
      </c>
      <c r="G159" s="31">
        <v>0</v>
      </c>
      <c r="H159" s="31">
        <v>0</v>
      </c>
      <c r="I159" s="31">
        <v>0</v>
      </c>
      <c r="J159" s="31">
        <v>0</v>
      </c>
      <c r="K159" s="33">
        <f t="shared" si="35"/>
        <v>0</v>
      </c>
      <c r="L159" s="24">
        <v>0</v>
      </c>
      <c r="M159" s="24"/>
      <c r="N159" s="31">
        <v>0</v>
      </c>
      <c r="O159" s="19">
        <f t="shared" si="36"/>
        <v>0</v>
      </c>
      <c r="P159" s="37">
        <v>0</v>
      </c>
    </row>
    <row r="160" spans="1:16" s="23" customFormat="1" x14ac:dyDescent="0.3">
      <c r="B160" s="12">
        <v>23</v>
      </c>
      <c r="C160" s="8" t="s">
        <v>20</v>
      </c>
      <c r="D160" s="14"/>
      <c r="E160" s="15" t="s">
        <v>162</v>
      </c>
      <c r="F160" s="32">
        <f>SUM(F145:F159)</f>
        <v>718089861</v>
      </c>
      <c r="G160" s="32">
        <f t="shared" ref="G160:J160" si="37">SUM(G145:G159)</f>
        <v>0</v>
      </c>
      <c r="H160" s="32">
        <f t="shared" si="37"/>
        <v>14724779</v>
      </c>
      <c r="I160" s="32">
        <f t="shared" si="37"/>
        <v>18951179</v>
      </c>
      <c r="J160" s="32">
        <f t="shared" si="37"/>
        <v>83385362</v>
      </c>
      <c r="K160" s="32">
        <f>SUM(K145:K159)</f>
        <v>835151181</v>
      </c>
      <c r="L160" s="32">
        <f t="shared" ref="L160:M160" si="38">SUM(L145:L159)</f>
        <v>416581616.42999995</v>
      </c>
      <c r="M160" s="32">
        <f t="shared" si="38"/>
        <v>0</v>
      </c>
      <c r="N160" s="32">
        <f t="shared" ref="N160" si="39">SUM(N145:N159)</f>
        <v>190269152.35999998</v>
      </c>
      <c r="O160" s="16">
        <f t="shared" ref="O160" si="40">SUM(O145:O159)</f>
        <v>606850768.78999996</v>
      </c>
      <c r="P160" s="37">
        <f>O160/K160</f>
        <v>0.72663582665759285</v>
      </c>
    </row>
    <row r="161" spans="1:16" s="20" customFormat="1" x14ac:dyDescent="0.3">
      <c r="B161" s="7"/>
      <c r="C161" s="8"/>
      <c r="D161" s="21"/>
      <c r="E161" s="22"/>
      <c r="F161" s="22"/>
      <c r="G161" s="22"/>
      <c r="H161" s="22"/>
      <c r="I161" s="22"/>
      <c r="J161" s="22"/>
      <c r="K161" s="22"/>
      <c r="L161" s="22"/>
      <c r="M161" s="22"/>
      <c r="N161" s="33"/>
      <c r="O161" s="19"/>
      <c r="P161" s="19"/>
    </row>
    <row r="162" spans="1:16" s="23" customFormat="1" x14ac:dyDescent="0.3">
      <c r="B162" s="12"/>
      <c r="C162" s="8" t="s">
        <v>20</v>
      </c>
      <c r="D162" s="14"/>
      <c r="E162" s="15" t="s">
        <v>163</v>
      </c>
      <c r="F162" s="32">
        <f>SUM(F52,F142,F160)</f>
        <v>9810632349</v>
      </c>
      <c r="G162" s="32">
        <f t="shared" ref="G162:K162" si="41">SUM(G52,G142,G160)</f>
        <v>0</v>
      </c>
      <c r="H162" s="32">
        <f t="shared" si="41"/>
        <v>201171756</v>
      </c>
      <c r="I162" s="32">
        <f t="shared" si="41"/>
        <v>258913345</v>
      </c>
      <c r="J162" s="32">
        <f t="shared" si="41"/>
        <v>1139221128</v>
      </c>
      <c r="K162" s="32">
        <f t="shared" si="41"/>
        <v>11409938578</v>
      </c>
      <c r="L162" s="32">
        <f t="shared" ref="L162:M162" si="42">SUM(L52,L142,L160)</f>
        <v>4075159286.2899995</v>
      </c>
      <c r="M162" s="32">
        <f t="shared" si="42"/>
        <v>0</v>
      </c>
      <c r="N162" s="32">
        <f t="shared" ref="N162" si="43">SUM(N52,N142,N160)</f>
        <v>1864383598.4099998</v>
      </c>
      <c r="O162" s="16">
        <f t="shared" ref="O162" si="44">SUM(O160,O142,O52)</f>
        <v>5939542884.6999998</v>
      </c>
      <c r="P162" s="37">
        <f>O162/K162</f>
        <v>0.52055870801550952</v>
      </c>
    </row>
    <row r="163" spans="1:16" s="20" customFormat="1" x14ac:dyDescent="0.3">
      <c r="B163" s="7"/>
      <c r="C163" s="8"/>
      <c r="D163" s="21"/>
      <c r="E163" s="22"/>
      <c r="F163" s="22"/>
      <c r="G163" s="22"/>
      <c r="H163" s="22"/>
      <c r="I163" s="22"/>
      <c r="J163" s="22"/>
      <c r="K163" s="22"/>
      <c r="L163" s="22"/>
      <c r="M163" s="22"/>
      <c r="N163" s="33"/>
      <c r="O163" s="19"/>
      <c r="P163" s="19"/>
    </row>
    <row r="164" spans="1:16" s="23" customFormat="1" x14ac:dyDescent="0.3">
      <c r="A164" s="23">
        <v>0</v>
      </c>
      <c r="B164" s="12">
        <v>25</v>
      </c>
      <c r="C164" s="8" t="s">
        <v>13</v>
      </c>
      <c r="D164" s="14" t="s">
        <v>164</v>
      </c>
      <c r="E164" s="15"/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32">
        <v>457884.39</v>
      </c>
      <c r="M164" s="15"/>
      <c r="N164" s="32">
        <v>45815952.429999992</v>
      </c>
      <c r="O164" s="16">
        <f>SUM(L164:N164)</f>
        <v>46273836.819999993</v>
      </c>
      <c r="P164" s="16">
        <v>0</v>
      </c>
    </row>
    <row r="165" spans="1:16" s="20" customFormat="1" x14ac:dyDescent="0.3">
      <c r="B165" s="7"/>
      <c r="C165" s="8"/>
      <c r="D165" s="21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19"/>
      <c r="P165" s="19"/>
    </row>
    <row r="166" spans="1:16" s="23" customFormat="1" x14ac:dyDescent="0.3">
      <c r="B166" s="12"/>
      <c r="C166" s="8" t="s">
        <v>13</v>
      </c>
      <c r="D166" s="14" t="s">
        <v>165</v>
      </c>
      <c r="E166" s="15"/>
      <c r="F166" s="32">
        <f>F23+F25-F162+F164</f>
        <v>33292774349</v>
      </c>
      <c r="G166" s="32">
        <f t="shared" ref="G166:N166" si="45">G23+G25-G162+G164</f>
        <v>3470289726</v>
      </c>
      <c r="H166" s="32">
        <f t="shared" si="45"/>
        <v>845213540</v>
      </c>
      <c r="I166" s="32">
        <f t="shared" si="45"/>
        <v>2045550125</v>
      </c>
      <c r="J166" s="32">
        <f t="shared" si="45"/>
        <v>1574087686</v>
      </c>
      <c r="K166" s="32">
        <f t="shared" si="45"/>
        <v>41227915426</v>
      </c>
      <c r="L166" s="32">
        <f t="shared" si="45"/>
        <v>24639185860.129997</v>
      </c>
      <c r="M166" s="32">
        <f t="shared" si="45"/>
        <v>1291066789</v>
      </c>
      <c r="N166" s="32">
        <f t="shared" si="45"/>
        <v>-9286027552.659565</v>
      </c>
      <c r="O166" s="16">
        <f t="shared" ref="O166" si="46">O23+O25-O162+O164</f>
        <v>16644225096.470432</v>
      </c>
      <c r="P166" s="37">
        <f>O166/K166</f>
        <v>0.40371250703531586</v>
      </c>
    </row>
    <row r="167" spans="1:16" s="7" customFormat="1" x14ac:dyDescent="0.3">
      <c r="C167" s="8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</row>
    <row r="168" spans="1:16" x14ac:dyDescent="0.3">
      <c r="K168" s="48"/>
    </row>
    <row r="169" spans="1:16" x14ac:dyDescent="0.3">
      <c r="J169" s="45" t="s">
        <v>167</v>
      </c>
      <c r="K169" s="66">
        <f>K162/K11</f>
        <v>5.8703379257895219E-2</v>
      </c>
      <c r="N169" s="45" t="s">
        <v>167</v>
      </c>
      <c r="O169" s="66">
        <f>O162/O11</f>
        <v>5.892338972419852E-2</v>
      </c>
      <c r="P169" s="37">
        <f>O169/K169</f>
        <v>1.0037478330734038</v>
      </c>
    </row>
  </sheetData>
  <mergeCells count="3">
    <mergeCell ref="D5:E6"/>
    <mergeCell ref="F5:K5"/>
    <mergeCell ref="L5:O5"/>
  </mergeCells>
  <conditionalFormatting sqref="A1:A1048576">
    <cfRule type="duplicateValues" dxfId="11" priority="15"/>
  </conditionalFormatting>
  <conditionalFormatting sqref="D7:O167">
    <cfRule type="expression" dxfId="10" priority="14">
      <formula>IF(MOD(ROW(),2)=0,TRUE,FALSE)</formula>
    </cfRule>
  </conditionalFormatting>
  <conditionalFormatting sqref="D8:P166">
    <cfRule type="expression" dxfId="9" priority="7">
      <formula>IF($C8="Y2",1,0)</formula>
    </cfRule>
    <cfRule type="expression" dxfId="8" priority="8">
      <formula>IF($C8="X2",1,0)</formula>
    </cfRule>
    <cfRule type="expression" dxfId="7" priority="9">
      <formula>IF($C8="X1",1,0)</formula>
    </cfRule>
  </conditionalFormatting>
  <conditionalFormatting sqref="P7:P166">
    <cfRule type="expression" dxfId="6" priority="10">
      <formula>IF(MOD(ROW(),2)=0,TRUE,FALSE)</formula>
    </cfRule>
  </conditionalFormatting>
  <conditionalFormatting sqref="P8:P166">
    <cfRule type="cellIs" dxfId="5" priority="6" operator="greaterThan">
      <formula>1</formula>
    </cfRule>
  </conditionalFormatting>
  <conditionalFormatting sqref="P169">
    <cfRule type="cellIs" dxfId="4" priority="1" operator="greaterThan">
      <formula>1</formula>
    </cfRule>
    <cfRule type="expression" dxfId="3" priority="2">
      <formula>IF($C169="Y2",1,0)</formula>
    </cfRule>
    <cfRule type="expression" dxfId="2" priority="3">
      <formula>IF($C169="X2",1,0)</formula>
    </cfRule>
    <cfRule type="expression" dxfId="1" priority="4">
      <formula>IF($C169="X1",1,0)</formula>
    </cfRule>
    <cfRule type="expression" dxfId="0" priority="5">
      <formula>IF(MOD(ROW(),2)=0,TRUE,FALSE)</formula>
    </cfRule>
  </conditionalFormatting>
  <pageMargins left="0.25" right="0.25" top="0.75" bottom="0.75" header="0.3" footer="0.3"/>
  <pageSetup paperSize="5" scale="32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KORPORAT KANWIL</vt:lpstr>
      <vt:lpstr>KANWIL</vt:lpstr>
      <vt:lpstr>SURABAYA</vt:lpstr>
      <vt:lpstr>KEDIRI</vt:lpstr>
      <vt:lpstr>MALANG</vt:lpstr>
      <vt:lpstr>MADIUN</vt:lpstr>
      <vt:lpstr>BANYUWANGI</vt:lpstr>
      <vt:lpstr>BANYUWANGI!Print_Titles</vt:lpstr>
      <vt:lpstr>KANWIL!Print_Titles</vt:lpstr>
      <vt:lpstr>KEDIRI!Print_Titles</vt:lpstr>
      <vt:lpstr>'KORPORAT KANWIL'!Print_Titles</vt:lpstr>
      <vt:lpstr>MADIUN!Print_Titles</vt:lpstr>
      <vt:lpstr>MALANG!Print_Titles</vt:lpstr>
      <vt:lpstr>SURABAYA!Print_Titles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Kristian Sinung Nugroho</dc:creator>
  <cp:keywords/>
  <dc:description/>
  <cp:lastModifiedBy>Ridhotul Khafshoh Islami</cp:lastModifiedBy>
  <cp:revision/>
  <dcterms:created xsi:type="dcterms:W3CDTF">2026-02-03T11:47:15Z</dcterms:created>
  <dcterms:modified xsi:type="dcterms:W3CDTF">2026-09-28T07:07:41Z</dcterms:modified>
  <cp:category/>
  <cp:contentStatus/>
</cp:coreProperties>
</file>