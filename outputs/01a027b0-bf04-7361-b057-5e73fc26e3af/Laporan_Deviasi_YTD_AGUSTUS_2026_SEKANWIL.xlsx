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2a7f40cf6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RPORAT KANWIL" sheetId="1" r:id="Ra6fd4de2394f4fd4"/>
    <x:sheet xmlns:r="http://schemas.openxmlformats.org/officeDocument/2006/relationships" name="KANWIL" sheetId="2" r:id="R374003c3b4ed49eb"/>
    <x:sheet xmlns:r="http://schemas.openxmlformats.org/officeDocument/2006/relationships" name="SURABAYA" sheetId="3" r:id="Ree046b7cd99e4926"/>
    <x:sheet xmlns:r="http://schemas.openxmlformats.org/officeDocument/2006/relationships" name="KEDIRI" sheetId="4" r:id="R72acbd62c2af455b"/>
    <x:sheet xmlns:r="http://schemas.openxmlformats.org/officeDocument/2006/relationships" name="MALANG" sheetId="5" r:id="Rd8b64ef9893e4762"/>
    <x:sheet xmlns:r="http://schemas.openxmlformats.org/officeDocument/2006/relationships" name="MADIUN" sheetId="6" r:id="Rff767a0873e5455f"/>
    <x:sheet xmlns:r="http://schemas.openxmlformats.org/officeDocument/2006/relationships" name="BANYUWANGI" sheetId="7" r:id="Rbcba578b366e47fe"/>
  </x:sheets>
  <x:calcPr calcMode="auto" fullCalcOnLoad="1" forceFullCalc="1"/>
</x:workbook>
</file>

<file path=xl/sharedStrings.xml><?xml version="1.0" encoding="utf-8"?>
<x:sst xmlns:x="http://schemas.openxmlformats.org/spreadsheetml/2006/main">
  <x:si>
    <x:t xml:space="preserve">PT JAMKRINDO KANWIL SURABAYA</x:t>
  </x:si>
  <x:si>
    <x:t xml:space="preserve">LABA RUGI RKA TAHUN 2026</x:t>
  </x:si>
  <x:si>
    <x:t xml:space="preserve">URAIAN</x:t>
  </x:si>
  <x:si>
    <x:t xml:space="preserve">KORPORAT WILAYAH SURABAYA</x:t>
  </x:si>
  <x:si>
    <x:t xml:space="preserve">REALISASI KORPORAT KANWIL SURABAYA</x:t>
  </x:si>
  <x:si>
    <x:t xml:space="preserve">%</x:t>
  </x:si>
  <x:si>
    <x:t xml:space="preserve">KUR</x:t>
  </x:si>
  <x:si>
    <x:t xml:space="preserve">PEN</x:t>
  </x:si>
  <x:si>
    <x:t xml:space="preserve">KBG/SURETYSHIP</x:t>
  </x:si>
  <x:si>
    <x:t xml:space="preserve">KONSUMTIF</x:t>
  </x:si>
  <x:si>
    <x:t xml:space="preserve">PRODUKTIF</x:t>
  </x:si>
  <x:si>
    <x:t xml:space="preserve">TOTAL</x:t>
  </x:si>
  <x:si>
    <x:t xml:space="preserve">NON KUR</x:t>
  </x:si>
  <x:si>
    <x:t xml:space="preserve">(a)</x:t>
  </x:si>
  <x:si>
    <x:t xml:space="preserve">(b)</x:t>
  </x:si>
  <x:si>
    <x:t xml:space="preserve">(c)</x:t>
  </x:si>
  <x:si>
    <x:t xml:space="preserve">(d)</x:t>
  </x:si>
  <x:si>
    <x:t xml:space="preserve">(e)</x:t>
  </x:si>
  <x:si>
    <x:t xml:space="preserve">(f)</x:t>
  </x:si>
  <x:si>
    <x:t xml:space="preserve">(g)</x:t>
  </x:si>
  <x:si>
    <x:t xml:space="preserve">(h)</x:t>
  </x:si>
  <x:si>
    <x:t xml:space="preserve">(i)</x:t>
  </x:si>
  <x:si>
    <x:t xml:space="preserve">(j)</x:t>
  </x:si>
  <x:si>
    <x:t xml:space="preserve">(k)</x:t>
  </x:si>
  <x:si>
    <x:t xml:space="preserve">(l)=i+j+k</x:t>
  </x:si>
  <x:si>
    <x:t xml:space="preserve">(m)</x:t>
  </x:si>
  <x:si>
    <x:t xml:space="preserve">(n)=m/f</x:t>
  </x:si>
  <x:si>
    <x:t xml:space="preserve">X1</x:t>
  </x:si>
  <x:si>
    <x:t xml:space="preserve">VOLUME</x:t>
  </x:si>
  <x:si>
    <x:t xml:space="preserve">X2</x:t>
  </x:si>
  <x:si>
    <x:t xml:space="preserve">PENDAPATAN PENJAMINAN</x:t>
  </x:si>
  <x:si>
    <x:t xml:space="preserve">Imbal Jasa Penjaminan Bruto</x:t>
  </x:si>
  <x:si>
    <x:t xml:space="preserve">Restitusi penjaminan kredit</x:t>
  </x:si>
  <x:si>
    <x:t xml:space="preserve">Premi Penjaminan Ulang</x:t>
  </x:si>
  <x:si>
    <x:t xml:space="preserve">Y2</x:t>
  </x:si>
  <x:si>
    <x:t xml:space="preserve">IMBAL JASA PENJAMINAN BERSIH</x:t>
  </x:si>
  <x:si>
    <x:t xml:space="preserve">22</x:t>
  </x:si>
  <x:si>
    <x:t xml:space="preserve">BEBAN KLAIM</x:t>
  </x:si>
  <x:si>
    <x:t xml:space="preserve">Beban Klaim</x:t>
  </x:si>
  <x:si>
    <x:t xml:space="preserve">Kenaikan (Penurunan) Cadangan Klaim</x:t>
  </x:si>
  <x:si>
    <x:t xml:space="preserve">Pendapatan Subrogasi</x:t>
  </x:si>
  <x:si>
    <x:t xml:space="preserve">Beban Komisi Netto</x:t>
  </x:si>
  <x:si>
    <x:t xml:space="preserve">JUMLAH BEBAN KLAIM</x:t>
  </x:si>
  <x:si>
    <x:t xml:space="preserve">PENJAMINAN BERSIH</x:t>
  </x:si>
  <x:si>
    <x:t xml:space="preserve">PENDAPATAN INVESTASI BERSIH</x:t>
  </x:si>
  <x:si>
    <x:t xml:space="preserve">BEBAN USAHA</x:t>
  </x:si>
  <x:si>
    <x:t xml:space="preserve">BEBAN KARYAWAN</x:t>
  </x:si>
  <x:si>
    <x:t xml:space="preserve">Beban gaji karyawan</x:t>
  </x:si>
  <x:si>
    <x:t xml:space="preserve">Beban lembur karyawan</x:t>
  </x:si>
  <x:si>
    <x:t xml:space="preserve">Beban asuransi kesehatan karyawan</x:t>
  </x:si>
  <x:si>
    <x:t xml:space="preserve">Beban asuransi jiwa karyawan</x:t>
  </x:si>
  <x:si>
    <x:t xml:space="preserve">Beban dana pensiun</x:t>
  </x:si>
  <x:si>
    <x:t xml:space="preserve">Beban kompensasi kinerja karyawan</x:t>
  </x:si>
  <x:si>
    <x:t xml:space="preserve">Biaya jasa kini karyawan</x:t>
  </x:si>
  <x:si>
    <x:t xml:space="preserve">Biaya jasa lalu karyawan</x:t>
  </x:si>
  <x:si>
    <x:t xml:space="preserve">Bunga atas imbalan pasca kerja karyawan</x:t>
  </x:si>
  <x:si>
    <x:t xml:space="preserve">Beban BPJS kesehatan karyawan</x:t>
  </x:si>
  <x:si>
    <x:t xml:space="preserve">Beban BPJS jaminan hari tua karyawan</x:t>
  </x:si>
  <x:si>
    <x:t xml:space="preserve">Beban BPJS jaminan kecelakaan kerja dan jaminan kematian karyawan</x:t>
  </x:si>
  <x:si>
    <x:t xml:space="preserve">Beban BPJS jaminan pensiun karyawan</x:t>
  </x:si>
  <x:si>
    <x:t xml:space="preserve">Beban tunjangan hari raya karyawan</x:t>
  </x:si>
  <x:si>
    <x:t xml:space="preserve">Beban tunjangan PPh 21 karyawan</x:t>
  </x:si>
  <x:si>
    <x:t xml:space="preserve">Beban tunjangan transportasi karyawan</x:t>
  </x:si>
  <x:si>
    <x:t xml:space="preserve">Beban tunjangan jabatan</x:t>
  </x:si>
  <x:si>
    <x:t xml:space="preserve">Beban tunjangan cuti besar</x:t>
  </x:si>
  <x:si>
    <x:t xml:space="preserve">Beban tunjangan cuti tahunan</x:t>
  </x:si>
  <x:si>
    <x:t xml:space="preserve">Beban tunjangan makan</x:t>
  </x:si>
  <x:si>
    <x:t xml:space="preserve">Beban Tunjangan Pakaian Kerja</x:t>
  </x:si>
  <x:si>
    <x:t xml:space="preserve">Beban kompensasi PKWT/PKWTT</x:t>
  </x:si>
  <x:si>
    <x:t xml:space="preserve">Beban tunjangan lainnya</x:t>
  </x:si>
  <x:si>
    <x:t xml:space="preserve">Total Beban Karyawan</x:t>
  </x:si>
  <x:si>
    <x:t xml:space="preserve">BEBAN ADMINISTRASI &amp; UMUM</x:t>
  </x:si>
  <x:si>
    <x:t xml:space="preserve">Imbal jasa profesional - akuntan publik</x:t>
  </x:si>
  <x:si>
    <x:t xml:space="preserve">Imbal jasa profesional - konsultan hukum</x:t>
  </x:si>
  <x:si>
    <x:t xml:space="preserve">Imbal jasa profesional - konsultan manajemen (SDM, SOP, Akuntansi dll)</x:t>
  </x:si>
  <x:si>
    <x:t xml:space="preserve">Beban imbal jasa profesional IT</x:t>
  </x:si>
  <x:si>
    <x:t xml:space="preserve">Imbal jasa profesional - lainnya</x:t>
  </x:si>
  <x:si>
    <x:t xml:space="preserve">Air, listrik dan utilitas - gedung</x:t>
  </x:si>
  <x:si>
    <x:t xml:space="preserve">Air, listrik dan utilitas - rumah dinas</x:t>
  </x:si>
  <x:si>
    <x:t xml:space="preserve">Pemasaran</x:t>
  </x:si>
  <x:si>
    <x:t xml:space="preserve">Beban pelatihan manajemen</x:t>
  </x:si>
  <x:si>
    <x:t xml:space="preserve">Beban pelatihan karyawan - insidentil</x:t>
  </x:si>
  <x:si>
    <x:t xml:space="preserve">Beban pelatihan karyawan - leadership</x:t>
  </x:si>
  <x:si>
    <x:t xml:space="preserve">Beban pelatihan karyawan - TNA</x:t>
  </x:si>
  <x:si>
    <x:t xml:space="preserve">Beban sertifikasi</x:t>
  </x:si>
  <x:si>
    <x:t xml:space="preserve">Beban perekrutan karyawan</x:t>
  </x:si>
  <x:si>
    <x:t xml:space="preserve">Beban uang saku magang</x:t>
  </x:si>
  <x:si>
    <x:t xml:space="preserve">Akomodasi dinas dalam negeri</x:t>
  </x:si>
  <x:si>
    <x:t xml:space="preserve">Tranportasi dinas dalam negeri</x:t>
  </x:si>
  <x:si>
    <x:t xml:space="preserve">Tunjangan perjalanan dinas dalam negeri</x:t>
  </x:si>
  <x:si>
    <x:t xml:space="preserve">Akomodasi dinas luar negeri</x:t>
  </x:si>
  <x:si>
    <x:t xml:space="preserve">Tranportasi dinas luar negeri</x:t>
  </x:si>
  <x:si>
    <x:t xml:space="preserve">Tunjangan perjalanan dinas luar negeri</x:t>
  </x:si>
  <x:si>
    <x:t xml:space="preserve">Percetakan dan inventaris kantor</x:t>
  </x:si>
  <x:si>
    <x:t xml:space="preserve">Telepon, fax dan komunikasi - gedung</x:t>
  </x:si>
  <x:si>
    <x:t xml:space="preserve">Telepon, fax dan komunikasi - rumah dinas</x:t>
  </x:si>
  <x:si>
    <x:t xml:space="preserve">Bensin dan parkir</x:t>
  </x:si>
  <x:si>
    <x:t xml:space="preserve">Beban pemeliharaan kendaraan</x:t>
  </x:si>
  <x:si>
    <x:t xml:space="preserve">Beban penggunaan Data Center</x:t>
  </x:si>
  <x:si>
    <x:t xml:space="preserve">Beban jaringan dan konektivitas</x:t>
  </x:si>
  <x:si>
    <x:t xml:space="preserve">Beban penyewaan peralatan IT</x:t>
  </x:si>
  <x:si>
    <x:t xml:space="preserve">Beban pemeliharaan peralatan IT</x:t>
  </x:si>
  <x:si>
    <x:t xml:space="preserve">Beban pemeliharaan perangkat lunak IT</x:t>
  </x:si>
  <x:si>
    <x:t xml:space="preserve">Beban pemeliharaan gedung</x:t>
  </x:si>
  <x:si>
    <x:t xml:space="preserve">Beban pemeliharaan rumah dinas</x:t>
  </x:si>
  <x:si>
    <x:t xml:space="preserve">Beban pemeliharaan mesin dan peralatan</x:t>
  </x:si>
  <x:si>
    <x:t xml:space="preserve">Beban pemeliharaan renovasi dan instalasi</x:t>
  </x:si>
  <x:si>
    <x:t xml:space="preserve">Beban aset bernilai rendah</x:t>
  </x:si>
  <x:si>
    <x:t xml:space="preserve">Beban pemeliharaan lainnya</x:t>
  </x:si>
  <x:si>
    <x:t xml:space="preserve">Beban pemeliharaan gedung sewa</x:t>
  </x:si>
  <x:si>
    <x:t xml:space="preserve">Beban pemeliharaan gudang sewa</x:t>
  </x:si>
  <x:si>
    <x:t xml:space="preserve">Beban pemeliharaan rumah dinas sewa</x:t>
  </x:si>
  <x:si>
    <x:t xml:space="preserve">Beban pemeliharaan peralatan sewa</x:t>
  </x:si>
  <x:si>
    <x:t xml:space="preserve">Beban pemeliharaan aset sewa lainnya</x:t>
  </x:si>
  <x:si>
    <x:t xml:space="preserve">Sewa kantor</x:t>
  </x:si>
  <x:si>
    <x:t xml:space="preserve">Sewa gudang</x:t>
  </x:si>
  <x:si>
    <x:t xml:space="preserve">Sewa kendaraan</x:t>
  </x:si>
  <x:si>
    <x:t xml:space="preserve">Beban pemeliharaan kendaraan sewa</x:t>
  </x:si>
  <x:si>
    <x:t xml:space="preserve">Sewa peralatan</x:t>
  </x:si>
  <x:si>
    <x:t xml:space="preserve">Sewa rumah dinas</x:t>
  </x:si>
  <x:si>
    <x:t xml:space="preserve">Biaya service charge</x:t>
  </x:si>
  <x:si>
    <x:t xml:space="preserve">Sewa lainnya</x:t>
  </x:si>
  <x:si>
    <x:t xml:space="preserve">Beban CKPN</x:t>
  </x:si>
  <x:si>
    <x:t xml:space="preserve">Beban pengumpulan informasi dan pengelolaan data</x:t>
  </x:si>
  <x:si>
    <x:t xml:space="preserve">Beban pengelolaan dana dan investasi</x:t>
  </x:si>
  <x:si>
    <x:t xml:space="preserve">Beban penelitian dan pengembangan</x:t>
  </x:si>
  <x:si>
    <x:t xml:space="preserve">Beban sosialisasi dan rekonsiliasi</x:t>
  </x:si>
  <x:si>
    <x:t xml:space="preserve">Beban eksploitasi</x:t>
  </x:si>
  <x:si>
    <x:t xml:space="preserve">Beban asuransi</x:t>
  </x:si>
  <x:si>
    <x:t xml:space="preserve">Beban iuran keanggotaan</x:t>
  </x:si>
  <x:si>
    <x:t xml:space="preserve">Beban pajak lainnya</x:t>
  </x:si>
  <x:si>
    <x:t xml:space="preserve">Denda pajak</x:t>
  </x:si>
  <x:si>
    <x:t xml:space="preserve">PPN masukan yang dibebankan</x:t>
  </x:si>
  <x:si>
    <x:t xml:space="preserve">Pungutan OJK</x:t>
  </x:si>
  <x:si>
    <x:t xml:space="preserve">Pajak bumi dan bangunan</x:t>
  </x:si>
  <x:si>
    <x:t xml:space="preserve">Beban TJSL - Pilar Sosial</x:t>
  </x:si>
  <x:si>
    <x:t xml:space="preserve">Beban TJSL - Pilar Lingkungan</x:t>
  </x:si>
  <x:si>
    <x:t xml:space="preserve">Beban TJSL - Pilar Ekonomi</x:t>
  </x:si>
  <x:si>
    <x:t xml:space="preserve">Beban TJSL - Pilar Hukum dan Tata Kelola</x:t>
  </x:si>
  <x:si>
    <x:t xml:space="preserve">Beban sponsorship event</x:t>
  </x:si>
  <x:si>
    <x:t xml:space="preserve">Beban sumbangan</x:t>
  </x:si>
  <x:si>
    <x:t xml:space="preserve">Beban akomodasi rapat</x:t>
  </x:si>
  <x:si>
    <x:t xml:space="preserve">Beban konsumsi rapat</x:t>
  </x:si>
  <x:si>
    <x:t xml:space="preserve">Beban honorarium peserta rapat</x:t>
  </x:si>
  <x:si>
    <x:t xml:space="preserve">Beban jasa pelaksanaan rapat</x:t>
  </x:si>
  <x:si>
    <x:t xml:space="preserve">Beban representasi manajemen</x:t>
  </x:si>
  <x:si>
    <x:t xml:space="preserve">Beban representasi perusahaan lainnya</x:t>
  </x:si>
  <x:si>
    <x:t xml:space="preserve">Biaya admin bank</x:t>
  </x:si>
  <x:si>
    <x:t xml:space="preserve">Biaya transfer</x:t>
  </x:si>
  <x:si>
    <x:t xml:space="preserve">Retribusi keamanan</x:t>
  </x:si>
  <x:si>
    <x:t xml:space="preserve">Retribusi kebersihan</x:t>
  </x:si>
  <x:si>
    <x:t xml:space="preserve">Beban pajak dan retribusi daerah</x:t>
  </x:si>
  <x:si>
    <x:t xml:space="preserve">Beban umum dan administrasi lainnya</x:t>
  </x:si>
  <x:si>
    <x:t xml:space="preserve">Beban lainnya</x:t>
  </x:si>
  <x:si>
    <x:t xml:space="preserve">Biaya kegiatan internal</x:t>
  </x:si>
  <x:si>
    <x:t xml:space="preserve">Biaya komunitas</x:t>
  </x:si>
  <x:si>
    <x:t xml:space="preserve">Biaya komunikasi dan kampanye</x:t>
  </x:si>
  <x:si>
    <x:t xml:space="preserve">Selisih biaya invoice</x:t>
  </x:si>
  <x:si>
    <x:t xml:space="preserve">Beban retribusi dan kontribusi lainnya</x:t>
  </x:si>
  <x:si>
    <x:t xml:space="preserve">Total Beban Administrasi &amp; Umum</x:t>
  </x:si>
  <x:si>
    <x:t xml:space="preserve">BEBAN PENYUSUTAN &amp; AMORTISASI</x:t>
  </x:si>
  <x:si>
    <x:t xml:space="preserve">Beban penyusutan aset tetap - gedung</x:t>
  </x:si>
  <x:si>
    <x:t xml:space="preserve">Beban penyusutan aset tetap - rumah dinas</x:t>
  </x:si>
  <x:si>
    <x:t xml:space="preserve">Beban penyusutan aset tetap - kendaraan</x:t>
  </x:si>
  <x:si>
    <x:t xml:space="preserve">Beban penyusutan aset tetap - mesin dan peralatan</x:t>
  </x:si>
  <x:si>
    <x:t xml:space="preserve">Beban penyusutan aset tetap - renovasi dan instalasi</x:t>
  </x:si>
  <x:si>
    <x:t xml:space="preserve">Beban bunga liabilitas sewa - gedung</x:t>
  </x:si>
  <x:si>
    <x:t xml:space="preserve">Beban bunga liabilitas sewa - rumah dinas</x:t>
  </x:si>
  <x:si>
    <x:t xml:space="preserve">Beban bunga liabilitas sewa - kendaraan</x:t>
  </x:si>
  <x:si>
    <x:t xml:space="preserve">Beban bunga liabilitas sewa - peralatan</x:t>
  </x:si>
  <x:si>
    <x:t xml:space="preserve">Beban penyusutan hak guna sewa - gedung</x:t>
  </x:si>
  <x:si>
    <x:t xml:space="preserve">Beban penyusutan hak guna sewa - rumah dinas</x:t>
  </x:si>
  <x:si>
    <x:t xml:space="preserve">Beban penyusutan hak guna sewa - kendaraan</x:t>
  </x:si>
  <x:si>
    <x:t xml:space="preserve">Beban penyusutan hak guna sewa - peralatan</x:t>
  </x:si>
  <x:si>
    <x:t xml:space="preserve">Beban penyusutan hak guna sewa - gudang</x:t>
  </x:si>
  <x:si>
    <x:t xml:space="preserve">Beban amortisasi aset tidak berwujud - perangkat lunak</x:t>
  </x:si>
  <x:si>
    <x:t xml:space="preserve">Total Beban Penyusutan &amp; Amortisasi</x:t>
  </x:si>
  <x:si>
    <x:t xml:space="preserve">TOTAL BEBAN USAHA</x:t>
  </x:si>
  <x:si>
    <x:t xml:space="preserve">PENDAPATAN (BEBAN) LAIN-LAIN BERSIH</x:t>
  </x:si>
  <x:si>
    <x:t xml:space="preserve">LABA SEBELUM PAJAK</x:t>
  </x:si>
  <x:si>
    <x:t xml:space="preserve">KANWIL SURABAYA</x:t>
  </x:si>
  <x:si>
    <x:t xml:space="preserve">REALISASI KANWIL SURABAYA</x:t>
  </x:si>
  <x:si>
    <x:t xml:space="preserve">KANCA SURABAYA</x:t>
  </x:si>
  <x:si>
    <x:t xml:space="preserve">REALISASI KANCA SURABAYA</x:t>
  </x:si>
  <x:si>
    <x:t xml:space="preserve">KANCA KEDIRI</x:t>
  </x:si>
  <x:si>
    <x:t xml:space="preserve">REALISASI KANCA KEDIRI</x:t>
  </x:si>
  <x:si>
    <x:t xml:space="preserve">KANCA MALANG</x:t>
  </x:si>
  <x:si>
    <x:t xml:space="preserve">REALISASI KANCA MALANG</x:t>
  </x:si>
  <x:si>
    <x:t xml:space="preserve">KANCA MADIUN</x:t>
  </x:si>
  <x:si>
    <x:t xml:space="preserve">REALISASI KANCA MADIUN</x:t>
  </x:si>
  <x:si>
    <x:t xml:space="preserve">KANCA BANYUWANGI</x:t>
  </x:si>
  <x:si>
    <x:t xml:space="preserve">REALISASI KANCA BANYUWANGI</x:t>
  </x:si>
</x:sst>
</file>

<file path=xl/styles.xml><?xml version="1.0" encoding="utf-8"?>
<x:styleSheet xmlns:x="http://schemas.openxmlformats.org/spreadsheetml/2006/main">
  <x:numFmts count="6">
    <x:numFmt numFmtId="43" formatCode="_-* #,##0.00_-;\-* #,##0.00_-;_-* &quot;-&quot;??_-;_-@_-"/>
    <x:numFmt numFmtId="164" formatCode="_(* #,##0.00_);_(* \(#,##0.00\);_(* &quot;-&quot;??_);_(@_)"/>
    <x:numFmt numFmtId="165" formatCode="_(* #,##0_);_(* \(#,##0\);_(* &quot;-&quot;??_);_(@_)"/>
    <x:numFmt numFmtId="166" formatCode="_-\ #,##0_-;[Red]\-\ #,##0_-;_-\ &quot;-&quot;??_-;_-@_-"/>
    <x:numFmt numFmtId="167" formatCode="_-\ #,##0_-;[Red]\-\ #,##0_-;_-\ &quot;-&quot;_-;_-@_-"/>
    <x:numFmt numFmtId="168" formatCode="_(* #,##0.0000000000_);_(* \(#,##0.0000000000\);_(* &quot;-&quot;??_);_(@_)"/>
  </x:numFmts>
  <x:fonts count="13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scadia Code"/>
    </x:font>
    <x:font>
      <x:sz val="9"/>
      <x:color indexed="81"/>
      <x:name val="Tahoma"/>
    </x:font>
    <x:font>
      <x:sz val="11"/>
      <x:name val="Cascadia Code"/>
    </x:font>
    <x:font>
      <x:b/>
      <x:sz val="11"/>
      <x:name val="Cascadia Code"/>
    </x:font>
    <x:font>
      <x:b/>
      <x:sz val="11"/>
      <x:color rgb="FFDEEBEE"/>
      <x:name val="Cascadia Code"/>
    </x:font>
    <x:font>
      <x:sz val="9"/>
      <x:name val="Cascadia Code"/>
    </x:font>
    <x:font>
      <x:i/>
      <x:sz val="9"/>
      <x:color theme="1"/>
      <x:name val="Cascadia Code"/>
    </x:font>
    <x:font>
      <x:b/>
      <x:sz val="11"/>
      <x:color theme="1"/>
      <x:name val="Cascadia Code"/>
    </x:font>
    <x:font>
      <x:sz val="11"/>
      <x:color rgb="FF000000"/>
      <x:name val="Calibri"/>
    </x:font>
    <x:font>
      <x:sz val="11"/>
      <x:color theme="1"/>
      <x:name val="Arial"/>
    </x:font>
    <x:font>
      <x:b/>
      <x:sz val="11"/>
      <x:color theme="9"/>
      <x:name val="Cascadia Code"/>
    </x:font>
  </x:fonts>
  <x:fills count="5">
    <x:fill>
      <x:patternFill patternType="none"/>
    </x:fill>
    <x:fill>
      <x:patternFill patternType="gray125"/>
    </x:fill>
    <x:fill>
      <x:patternFill patternType="solid">
        <x:fgColor rgb="FF447D88"/>
      </x:patternFill>
    </x:fill>
    <x:fill>
      <x:patternFill patternType="solid">
        <x:fgColor rgb="FF549CAA"/>
      </x:patternFill>
    </x:fill>
    <x:fill>
      <x:patternFill patternType="solid">
        <x:fgColor theme="0"/>
      </x:patternFill>
    </x:fill>
  </x:fills>
  <x:borders count="17">
    <x:border/>
    <x:border>
      <x:left style="thin">
        <x:color rgb="FFDEEAE8"/>
      </x:left>
      <x:right style="thin">
        <x:color rgb="FFDEEAE8"/>
      </x:right>
      <x:top style="thin">
        <x:color rgb="FFDEEAE8"/>
      </x:top>
      <x:bottom style="thin">
        <x:color rgb="FFDEEAE8"/>
      </x:bottom>
    </x:border>
    <x:border>
      <x:left style="thin">
        <x:color rgb="FFDEEAE8"/>
      </x:left>
      <x:right style="thin">
        <x:color rgb="FFDEEAE8"/>
      </x:right>
      <x:top style="thin">
        <x:color rgb="FFDEEAE8"/>
      </x:top>
    </x:border>
    <x:border>
      <x:left style="thin">
        <x:color rgb="FFB4D0CB"/>
      </x:left>
      <x:right style="thin">
        <x:color rgb="FFB4D0CB"/>
      </x:right>
      <x:top style="thin">
        <x:color rgb="FFB4D0CB"/>
      </x:top>
    </x:border>
    <x:border>
      <x:left style="thin">
        <x:color rgb="FFB4D0CB"/>
      </x:left>
      <x:right style="thin">
        <x:color rgb="FFB4D0CB"/>
      </x:right>
    </x:border>
    <x:border>
      <x:left style="thin">
        <x:color rgb="FFB4D0CB"/>
      </x:left>
      <x:right style="thin">
        <x:color rgb="FFB4D0CB"/>
      </x:right>
      <x:bottom style="thin">
        <x:color rgb="FFB4D0CB"/>
      </x:bottom>
    </x:border>
    <x:border>
      <x:left style="thin">
        <x:color rgb="FFB4D0CB"/>
      </x:left>
      <x:top style="thin">
        <x:color rgb="FFB4D0CB"/>
      </x:top>
    </x:border>
    <x:border>
      <x:right style="thin">
        <x:color rgb="FFB4D0CB"/>
      </x:right>
      <x:top style="thin">
        <x:color rgb="FFB4D0CB"/>
      </x:top>
    </x:border>
    <x:border>
      <x:left style="thin">
        <x:color rgb="FFB4D0CB"/>
      </x:left>
    </x:border>
    <x:border>
      <x:right style="thin">
        <x:color rgb="FFB4D0CB"/>
      </x:right>
    </x:border>
    <x:border>
      <x:left style="thin">
        <x:color rgb="FFB4D0CB"/>
      </x:left>
      <x:bottom style="thin">
        <x:color rgb="FFB4D0CB"/>
      </x:bottom>
    </x:border>
    <x:border>
      <x:right style="thin">
        <x:color rgb="FFB4D0CB"/>
      </x:right>
      <x:bottom style="thin">
        <x:color rgb="FFB4D0CB"/>
      </x:bottom>
    </x:border>
    <x:border>
      <x:left style="thin">
        <x:color rgb="FFDEEAE8"/>
      </x:left>
      <x:top style="thin">
        <x:color rgb="FFDEEAE8"/>
      </x:top>
      <x:bottom style="thin">
        <x:color rgb="FFDEEAE8"/>
      </x:bottom>
    </x:border>
    <x:border>
      <x:top style="thin">
        <x:color rgb="FFDEEAE8"/>
      </x:top>
      <x:bottom style="thin">
        <x:color rgb="FFDEEAE8"/>
      </x:bottom>
    </x:border>
    <x:border>
      <x:right style="thin">
        <x:color rgb="FFDEEAE8"/>
      </x:right>
      <x:top style="thin">
        <x:color rgb="FFDEEAE8"/>
      </x:top>
      <x:bottom style="thin">
        <x:color rgb="FFDEEAE8"/>
      </x:bottom>
    </x:border>
    <x:border>
      <x:right style="thin">
        <x:color theme="0"/>
      </x:right>
      <x:top style="thin">
        <x:color rgb="FFDEEAE8"/>
      </x:top>
      <x:bottom style="thin">
        <x:color rgb="FFDEEAE8"/>
      </x:bottom>
    </x:border>
    <x:border>
      <x:left style="thin">
        <x:color theme="0"/>
      </x:left>
      <x:top style="thin">
        <x:color rgb="FFDEEAE8"/>
      </x:top>
      <x:bottom style="thin">
        <x:color rgb="FFDEEAE8"/>
      </x:bottom>
    </x:border>
  </x:borders>
  <x:cellStyleXfs count="3">
    <x:xf numFmtId="0" fontId="0" fillId="0" borderId="0"/>
    <x:xf numFmtId="164" fontId="1" fillId="0" borderId="0" applyFont="0" applyFill="0" applyBorder="0" applyAlignment="0" applyProtection="0"/>
    <x:xf numFmtId="9" fontId="1" fillId="0" borderId="0" applyFont="0" applyFill="0" applyBorder="0" applyAlignment="0" applyProtection="0"/>
  </x:cellStyleXfs>
  <x:cellXfs count="74">
    <x:xf numFmtId="0" fontId="0" fillId="0" borderId="0" xfId="0"/>
    <x:xf numFmtId="0" fontId="2" fillId="0" borderId="0" xfId="0" applyFont="1"/>
    <x:xf numFmtId="0" fontId="2" fillId="0" borderId="0" xfId="0" applyFont="1" applyAlignment="1">
      <x:alignment horizontal="center"/>
    </x:xf>
    <x:xf numFmtId="165" fontId="2" fillId="0" borderId="0" xfId="1" applyNumberFormat="1" applyFont="1"/>
    <x:xf numFmtId="165" fontId="2" fillId="0" borderId="0" xfId="1" applyNumberFormat="1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/>
    <x:xf numFmtId="0" fontId="4" fillId="0" borderId="0" xfId="0" applyFont="1" applyAlignment="1">
      <x:alignment horizontal="center"/>
    </x:xf>
    <x:xf numFmtId="0" fontId="4" fillId="4" borderId="6" xfId="0" applyFont="1" applyFill="1" applyBorder="1"/>
    <x:xf numFmtId="0" fontId="4" fillId="4" borderId="7" xfId="0" applyFont="1" applyFill="1" applyBorder="1"/>
    <x:xf numFmtId="165" fontId="4" fillId="4" borderId="3" xfId="1" applyNumberFormat="1" applyFont="1" applyFill="1" applyBorder="1"/>
    <x:xf numFmtId="0" fontId="5" fillId="0" borderId="0" xfId="0" applyFont="1"/>
    <x:xf numFmtId="0" fontId="5" fillId="0" borderId="0" xfId="0" applyFont="1" applyAlignment="1">
      <x:alignment horizontal="center"/>
    </x:xf>
    <x:xf numFmtId="164" fontId="5" fillId="4" borderId="8" xfId="1" applyFont="1" applyFill="1" applyBorder="1"/>
    <x:xf numFmtId="164" fontId="5" fillId="4" borderId="9" xfId="1" applyFont="1" applyFill="1" applyBorder="1"/>
    <x:xf numFmtId="166" fontId="5" fillId="4" borderId="4" xfId="1" applyNumberFormat="1" applyFont="1" applyFill="1" applyBorder="1"/>
    <x:xf numFmtId="0" fontId="4" fillId="4" borderId="8" xfId="0" applyFont="1" applyFill="1" applyBorder="1"/>
    <x:xf numFmtId="0" fontId="4" fillId="4" borderId="9" xfId="0" applyFont="1" applyFill="1" applyBorder="1"/>
    <x:xf numFmtId="166" fontId="4" fillId="4" borderId="4" xfId="1" applyNumberFormat="1" applyFont="1" applyFill="1" applyBorder="1"/>
    <x:xf numFmtId="167" fontId="4" fillId="0" borderId="0" xfId="1" applyNumberFormat="1" applyFont="1"/>
    <x:xf numFmtId="164" fontId="4" fillId="4" borderId="8" xfId="1" applyFont="1" applyFill="1" applyBorder="1"/>
    <x:xf numFmtId="164" fontId="4" fillId="4" borderId="9" xfId="1" applyFont="1" applyFill="1" applyBorder="1"/>
    <x:xf numFmtId="167" fontId="5" fillId="0" borderId="0" xfId="1" applyNumberFormat="1" applyFont="1"/>
    <x:xf numFmtId="164" fontId="4" fillId="4" borderId="9" xfId="1" applyFont="1" applyFill="1" applyBorder="1" applyAlignment="1">
      <x:alignment horizontal="left"/>
    </x:xf>
    <x:xf numFmtId="0" fontId="4" fillId="4" borderId="10" xfId="0" applyFont="1" applyFill="1" applyBorder="1"/>
    <x:xf numFmtId="0" fontId="4" fillId="4" borderId="11" xfId="0" applyFont="1" applyFill="1" applyBorder="1"/>
    <x:xf numFmtId="168" fontId="4" fillId="4" borderId="5" xfId="1" applyNumberFormat="1" applyFont="1" applyFill="1" applyBorder="1"/>
    <x:xf numFmtId="167" fontId="4" fillId="0" borderId="0" xfId="1" applyNumberFormat="1" applyFont="1" applyFill="1"/>
    <x:xf numFmtId="0" fontId="6" fillId="3" borderId="2" xfId="0" applyFont="1" applyFill="1" applyBorder="1" applyAlignment="1">
      <x:alignment horizontal="center" vertical="center"/>
    </x:xf>
    <x:xf numFmtId="165" fontId="6" fillId="2" borderId="14" xfId="1" applyNumberFormat="1" applyFont="1" applyFill="1" applyBorder="1" applyAlignment="1">
      <x:alignment horizontal="center" vertical="center"/>
    </x:xf>
    <x:xf numFmtId="165" fontId="4" fillId="4" borderId="9" xfId="1" applyNumberFormat="1" applyFont="1" applyFill="1" applyBorder="1" applyAlignment="1">
      <x:alignment horizontal="left"/>
    </x:xf>
    <x:xf numFmtId="165" fontId="5" fillId="4" borderId="9" xfId="1" applyNumberFormat="1" applyFont="1" applyFill="1" applyBorder="1"/>
    <x:xf numFmtId="165" fontId="4" fillId="4" borderId="9" xfId="1" applyNumberFormat="1" applyFont="1" applyFill="1" applyBorder="1"/>
    <x:xf numFmtId="165" fontId="2" fillId="0" borderId="0" xfId="0" applyNumberFormat="1" applyFont="1"/>
    <x:xf numFmtId="165" fontId="7" fillId="4" borderId="9" xfId="1" applyNumberFormat="1" applyFont="1" applyFill="1" applyBorder="1"/>
    <x:xf numFmtId="0" fontId="2" fillId="0" borderId="0" xfId="0" applyFont="1" applyAlignment="1">
      <x:alignment horizontal="right"/>
    </x:xf>
    <x:xf numFmtId="9" fontId="5" fillId="4" borderId="4" xfId="2" applyFont="1" applyFill="1" applyBorder="1"/>
    <x:xf numFmtId="0" fontId="8" fillId="0" borderId="0" xfId="0" applyFont="1"/>
    <x:xf numFmtId="165" fontId="6" fillId="2" borderId="14" xfId="1" applyNumberFormat="1" applyFont="1" applyFill="1" applyBorder="1" applyAlignment="1">
      <x:alignment horizontal="right" vertical="center"/>
    </x:xf>
    <x:xf numFmtId="165" fontId="4" fillId="4" borderId="3" xfId="1" applyNumberFormat="1" applyFont="1" applyFill="1" applyBorder="1" applyAlignment="1">
      <x:alignment horizontal="right"/>
    </x:xf>
    <x:xf numFmtId="9" fontId="5" fillId="4" borderId="4" xfId="2" applyFont="1" applyFill="1" applyBorder="1" applyAlignment="1">
      <x:alignment horizontal="right"/>
    </x:xf>
    <x:xf numFmtId="166" fontId="4" fillId="4" borderId="4" xfId="1" applyNumberFormat="1" applyFont="1" applyFill="1" applyBorder="1" applyAlignment="1">
      <x:alignment horizontal="right"/>
    </x:xf>
    <x:xf numFmtId="166" fontId="5" fillId="4" borderId="4" xfId="1" applyNumberFormat="1" applyFont="1" applyFill="1" applyBorder="1" applyAlignment="1">
      <x:alignment horizontal="right"/>
    </x:xf>
    <x:xf numFmtId="0" fontId="4" fillId="0" borderId="0" xfId="0" applyFont="1" applyAlignment="1">
      <x:alignment horizontal="right"/>
    </x:xf>
    <x:xf numFmtId="0" fontId="9" fillId="0" borderId="0" xfId="0" applyFont="1" applyAlignment="1">
      <x:alignment horizontal="right"/>
    </x:xf>
    <x:xf numFmtId="0" fontId="5" fillId="0" borderId="0" xfId="0" applyFont="1" applyAlignment="1">
      <x:alignment horizontal="right"/>
    </x:xf>
    <x:xf numFmtId="9" fontId="5" fillId="0" borderId="0" xfId="2" applyFont="1"/>
    <x:xf numFmtId="43" fontId="2" fillId="0" borderId="0" xfId="0" applyNumberFormat="1" applyFont="1"/>
    <x:xf numFmtId="165" fontId="4" fillId="4" borderId="4" xfId="1" applyNumberFormat="1" applyFont="1" applyFill="1" applyBorder="1"/>
    <x:xf numFmtId="9" fontId="4" fillId="0" borderId="0" xfId="2" applyFont="1"/>
    <x:xf numFmtId="164" fontId="4" fillId="0" borderId="0" xfId="1" applyFont="1"/>
    <x:xf numFmtId="9" fontId="2" fillId="0" borderId="0" xfId="2" applyFont="1"/>
    <x:xf numFmtId="43" fontId="5" fillId="0" borderId="0" xfId="0" applyNumberFormat="1" applyFont="1"/>
    <x:xf numFmtId="0" fontId="10" fillId="0" borderId="0" xfId="0" applyFont="1"/>
    <x:xf numFmtId="9" fontId="2" fillId="0" borderId="0" xfId="2" applyFont="1" applyFill="1"/>
    <x:xf numFmtId="10" fontId="4" fillId="0" borderId="0" xfId="2" applyNumberFormat="1" applyFont="1"/>
    <x:xf numFmtId="0" fontId="4" fillId="0" borderId="0" xfId="2" applyNumberFormat="1" applyFont="1"/>
    <x:xf numFmtId="164" fontId="11" fillId="0" borderId="0" xfId="1" applyFont="1"/>
    <x:xf numFmtId="164" fontId="4" fillId="0" borderId="8" xfId="1" applyFont="1" applyFill="1" applyBorder="1"/>
    <x:xf numFmtId="164" fontId="4" fillId="0" borderId="9" xfId="1" applyFont="1" applyFill="1" applyBorder="1" applyAlignment="1">
      <x:alignment horizontal="left"/>
    </x:xf>
    <x:xf numFmtId="165" fontId="4" fillId="0" borderId="9" xfId="1" applyNumberFormat="1" applyFont="1" applyFill="1" applyBorder="1" applyAlignment="1">
      <x:alignment horizontal="left"/>
    </x:xf>
    <x:xf numFmtId="166" fontId="4" fillId="0" borderId="4" xfId="1" applyNumberFormat="1" applyFont="1" applyFill="1" applyBorder="1"/>
    <x:xf numFmtId="9" fontId="5" fillId="0" borderId="4" xfId="2" applyFont="1" applyFill="1" applyBorder="1" applyAlignment="1">
      <x:alignment horizontal="right"/>
    </x:xf>
    <x:xf numFmtId="165" fontId="4" fillId="0" borderId="9" xfId="1" applyNumberFormat="1" applyFont="1" applyFill="1" applyBorder="1"/>
    <x:xf numFmtId="9" fontId="5" fillId="0" borderId="4" xfId="2" applyFont="1" applyFill="1" applyBorder="1"/>
    <x:xf numFmtId="10" fontId="12" fillId="0" borderId="0" xfId="2" applyNumberFormat="1" applyFont="1" applyAlignment="1">
      <x:alignment horizontal="left"/>
    </x:xf>
    <x:xf numFmtId="0" fontId="6" fillId="2" borderId="1" xfId="0" applyFont="1" applyFill="1" applyBorder="1" applyAlignment="1">
      <x:alignment horizontal="center" vertical="center"/>
    </x:xf>
    <x:xf numFmtId="0" fontId="6" fillId="2" borderId="2" xfId="0" applyFont="1" applyFill="1" applyBorder="1" applyAlignment="1">
      <x:alignment horizontal="center" vertical="center"/>
    </x:xf>
    <x:xf numFmtId="165" fontId="6" fillId="2" borderId="12" xfId="1" applyNumberFormat="1" applyFont="1" applyFill="1" applyBorder="1" applyAlignment="1">
      <x:alignment horizontal="center" vertical="center"/>
    </x:xf>
    <x:xf numFmtId="165" fontId="6" fillId="2" borderId="13" xfId="1" applyNumberFormat="1" applyFont="1" applyFill="1" applyBorder="1" applyAlignment="1">
      <x:alignment horizontal="center" vertical="center"/>
    </x:xf>
    <x:xf numFmtId="165" fontId="6" fillId="2" borderId="15" xfId="1" applyNumberFormat="1" applyFont="1" applyFill="1" applyBorder="1" applyAlignment="1">
      <x:alignment horizontal="center" vertical="center"/>
    </x:xf>
    <x:xf numFmtId="165" fontId="6" fillId="2" borderId="14" xfId="1" applyNumberFormat="1" applyFont="1" applyFill="1" applyBorder="1" applyAlignment="1">
      <x:alignment horizontal="center" vertical="center"/>
    </x:xf>
    <x:xf numFmtId="165" fontId="6" fillId="2" borderId="16" xfId="1" applyNumberFormat="1" applyFont="1" applyFill="1" applyBorder="1" applyAlignment="1">
      <x:alignment horizontal="center" vertical="center"/>
    </x:xf>
  </x:cellXfs>
  <x:cellStyles count="3">
    <x:cellStyle name="Comma" xfId="1"/>
    <x:cellStyle name="Normal" xfId="0"/>
    <x:cellStyle name="Percent" xfId="2"/>
  </x:cellStyles>
  <x:dxfs count="84"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ont>
        <x:color rgb="FFFF0000"/>
      </x:font>
    </x:dxf>
    <x:dxf>
      <x:font>
        <x:color rgb="FFFF0000"/>
      </x:font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ont>
        <x:color rgb="FFFF0000"/>
      </x:font>
    </x:dxf>
    <x:dxf>
      <x:font>
        <x:color rgb="FFFF0000"/>
      </x:font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ont>
        <x:color rgb="FFFF0000"/>
      </x:font>
    </x:dxf>
    <x:dxf>
      <x:font>
        <x:color rgb="FFFF0000"/>
      </x:font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ont>
        <x:color rgb="FFFF0000"/>
      </x:font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ont>
        <x:color rgb="FFFF0000"/>
      </x:font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color rgb="FF9C0006"/>
      </x:font>
      <x:fill>
        <x:patternFill>
          <x:bgColor rgb="FFFFC7CE"/>
        </x:patternFill>
      </x:fill>
    </x:dxf>
    <x:dxf>
      <x:font>
        <x:color rgb="FFFF0000"/>
      </x:font>
    </x:dxf>
    <x:dxf>
      <x:font>
        <x:color rgb="FFFF0000"/>
      </x:font>
    </x:dxf>
    <x:dxf>
      <x:font>
        <x:color rgb="FFFF0000"/>
      </x:font>
    </x:dxf>
    <x:dxf>
      <x:font>
        <x:color rgb="FFFF0000"/>
      </x:font>
    </x:dxf>
    <x:dxf>
      <x:font>
        <x:color rgb="FFFF0000"/>
      </x:font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ont>
        <x:color rgb="FFFF0000"/>
      </x:font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color rgb="FFFF0000"/>
      </x:font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<?xml version="1.0" encoding="utf-8"?>
<Relationships xmlns="http://schemas.openxmlformats.org/package/2006/relationships"><Relationship Type="http://schemas.openxmlformats.org/officeDocument/2006/relationships/styles" Target="/xl/styles.xml" Id="Ra9348de5774346ad"/><Relationship Type="http://schemas.openxmlformats.org/officeDocument/2006/relationships/theme" Target="/xl/theme/theme1.xml" Id="R2ecf1e87aebe4601"/><Relationship Type="http://schemas.openxmlformats.org/officeDocument/2006/relationships/sharedStrings" Target="/xl/sharedStrings.xml" Id="R55f64a98468e4ecc"/><Relationship Type="http://schemas.openxmlformats.org/officeDocument/2006/relationships/worksheet" Target="/xl/worksheets/sheet1.xml" Id="Ra6fd4de2394f4fd4"/><Relationship Type="http://schemas.openxmlformats.org/officeDocument/2006/relationships/worksheet" Target="/xl/worksheets/sheet2.xml" Id="R374003c3b4ed49eb"/><Relationship Type="http://schemas.openxmlformats.org/officeDocument/2006/relationships/worksheet" Target="/xl/worksheets/sheet3.xml" Id="Ree046b7cd99e4926"/><Relationship Type="http://schemas.openxmlformats.org/officeDocument/2006/relationships/worksheet" Target="/xl/worksheets/sheet4.xml" Id="R72acbd62c2af455b"/><Relationship Type="http://schemas.openxmlformats.org/officeDocument/2006/relationships/worksheet" Target="/xl/worksheets/sheet5.xml" Id="Rd8b64ef9893e4762"/><Relationship Type="http://schemas.openxmlformats.org/officeDocument/2006/relationships/worksheet" Target="/xl/worksheets/sheet6.xml" Id="Rff767a0873e5455f"/><Relationship Type="http://schemas.openxmlformats.org/officeDocument/2006/relationships/worksheet" Target="/xl/worksheets/sheet7.xml" Id="Rbcba578b366e47fe"/></Relationships>
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/>

</file>

<file path=xl/worksheets/_rels/sheet2.xml.rels><?xml version="1.0" encoding="utf-8"?>
<Relationships xmlns="http://schemas.openxmlformats.org/package/2006/relationships"/>

</file>

<file path=xl/worksheets/_rels/sheet3.xml.rels><?xml version="1.0" encoding="utf-8"?>
<Relationships xmlns="http://schemas.openxmlformats.org/package/2006/relationships"/>

</file>

<file path=xl/worksheets/_rels/sheet4.xml.rels><?xml version="1.0" encoding="utf-8"?>
<Relationships xmlns="http://schemas.openxmlformats.org/package/2006/relationships"/>

</file>

<file path=xl/worksheets/_rels/sheet5.xml.rels><?xml version="1.0" encoding="utf-8"?>
<Relationships xmlns="http://schemas.openxmlformats.org/package/2006/relationships"/>

</file>

<file path=xl/worksheets/_rels/sheet6.xml.rels><?xml version="1.0" encoding="utf-8"?>
<Relationships xmlns="http://schemas.openxmlformats.org/package/2006/relationships"/>

</file>

<file path=xl/worksheets/_rels/sheet7.xml.rels><?xml version="1.0" encoding="utf-8"?>
<Relationships xmlns="http://schemas.openxmlformats.org/package/2006/relationships"/>

</file>

<file path=xl/worksheets/sheet1.xml><?xml version="1.0" encoding="utf-8"?>
<x:worksheet xmlns:x="http://schemas.openxmlformats.org/spreadsheetml/2006/main">
  <x:sheetPr>
    <x:tabColor rgb="FF80ABAC"/>
  </x:sheetPr>
  <x:sheetViews>
    <x:sheetView showGridLines="0" workbookViewId="0">
      <x:pane xSplit="5" ySplit="7" topLeftCell="F8" activePane="bottomRight" state="frozen"/>
    </x:sheetView>
  </x:sheetViews>
  <x:sheetFormatPr defaultColWidth="8.85546875" defaultRowHeight="16.5"/>
  <x:cols>
    <x:col min="1" max="1" width="9" style="1" hidden="1" customWidth="1"/>
    <x:col min="2" max="2" width="3.85546875" style="1" hidden="1" customWidth="1"/>
    <x:col min="3" max="3" width="12" style="2" hidden="1" customWidth="1"/>
    <x:col min="4" max="4" width="4" style="1" customWidth="1"/>
    <x:col min="5" max="5" width="66.140625" style="1" customWidth="1"/>
    <x:col min="6" max="6" width="27.5703125" style="1" customWidth="1"/>
    <x:col min="7" max="7" width="23.5703125" style="1" customWidth="1"/>
    <x:col min="8" max="10" width="26.28515625" style="1" customWidth="1"/>
    <x:col min="11" max="11" width="27.5703125" style="1" customWidth="1"/>
    <x:col min="12" max="12" width="26.28515625" style="1" customWidth="1"/>
    <x:col min="13" max="13" width="22.28515625" style="1" customWidth="1"/>
    <x:col min="14" max="14" width="26.28515625" style="1" customWidth="1"/>
    <x:col min="15" max="17" width="26.28515625" style="1" customWidth="1"/>
    <x:col min="18" max="18" width="28.85546875" style="3" customWidth="1"/>
    <x:col min="19" max="19" width="10.28515625" style="1" customWidth="1"/>
    <x:col min="20" max="20" width="31.5703125" style="1" customWidth="1"/>
    <x:col min="21" max="21" width="23.5703125" style="1" customWidth="1"/>
    <x:col min="22" max="22" width="24.85546875" style="1" customWidth="1"/>
    <x:col min="23" max="16384" width="8.85546875" style="1" customWidth="0"/>
  </x:cols>
  <x:sheetData>
    <x:row r="1">
      <x:c r="D1" s="1" t="s">
        <x:v>0</x:v>
      </x:c>
    </x:row>
    <x:row r="2">
      <x:c r="D2" s="1" t="inlineStr">
        <x:is>
          <x:t>LABA RUGI RKA TAHUN 2026</x:t>
        </x:is>
      </x:c>
    </x:row>
    <x:row r="4" s="2" customFormat="1" ht="16.5" hidden="1" customHeight="1">
      <x:c r="R4" s="4"/>
    </x:row>
    <x:row r="5" s="5" customFormat="1" ht="33" customHeight="1">
      <x:c r="C5" s="6"/>
      <x:c r="D5" s="67" t="s">
        <x:v>2</x:v>
      </x:c>
      <x:c r="E5" s="67"/>
      <x:c r="F5" s="69" t="s">
        <x:v>3</x:v>
      </x:c>
      <x:c r="G5" s="70"/>
      <x:c r="H5" s="70"/>
      <x:c r="I5" s="70"/>
      <x:c r="J5" s="70"/>
      <x:c r="K5" s="71"/>
      <x:c r="L5" s="70" t="s">
        <x:v>4</x:v>
      </x:c>
      <x:c r="M5" s="70"/>
      <x:c r="N5" s="70"/>
      <x:c r="O5" s="70"/>
      <x:c r="P5" s="70"/>
      <x:c r="Q5" s="70"/>
      <x:c r="R5" s="72"/>
      <x:c r="S5" s="30" t="s">
        <x:v>5</x:v>
      </x:c>
    </x:row>
    <x:row r="6" s="5" customFormat="1">
      <x:c r="C6" s="6"/>
      <x:c r="D6" s="68"/>
      <x:c r="E6" s="68"/>
      <x:c r="F6" s="29" t="s">
        <x:v>6</x:v>
      </x:c>
      <x:c r="G6" s="29" t="s">
        <x:v>7</x:v>
      </x:c>
      <x:c r="H6" s="29" t="s">
        <x:v>8</x:v>
      </x:c>
      <x:c r="I6" s="29" t="s">
        <x:v>9</x:v>
      </x:c>
      <x:c r="J6" s="29" t="s">
        <x:v>10</x:v>
      </x:c>
      <x:c r="K6" s="29" t="s">
        <x:v>11</x:v>
      </x:c>
      <x:c r="L6" s="29" t="s">
        <x:v>6</x:v>
      </x:c>
      <x:c r="M6" s="29" t="s">
        <x:v>7</x:v>
      </x:c>
      <x:c r="N6" s="29" t="s">
        <x:v>8</x:v>
      </x:c>
      <x:c r="O6" s="29" t="s">
        <x:v>9</x:v>
      </x:c>
      <x:c r="P6" s="29" t="s">
        <x:v>10</x:v>
      </x:c>
      <x:c r="Q6" s="29" t="s">
        <x:v>12</x:v>
      </x:c>
      <x:c r="R6" s="29" t="s">
        <x:v>11</x:v>
      </x:c>
      <x:c r="S6" s="29" t="s">
        <x:v>5</x:v>
      </x:c>
    </x:row>
    <x:row r="7">
      <x:c r="D7" s="68"/>
      <x:c r="E7" s="68"/>
      <x:c r="F7" s="29" t="s">
        <x:v>13</x:v>
      </x:c>
      <x:c r="G7" s="29" t="s">
        <x:v>14</x:v>
      </x:c>
      <x:c r="H7" s="29" t="s">
        <x:v>15</x:v>
      </x:c>
      <x:c r="I7" s="29" t="s">
        <x:v>16</x:v>
      </x:c>
      <x:c r="J7" s="29" t="s">
        <x:v>17</x:v>
      </x:c>
      <x:c r="K7" s="29" t="s">
        <x:v>18</x:v>
      </x:c>
      <x:c r="L7" s="29" t="s">
        <x:v>19</x:v>
      </x:c>
      <x:c r="M7" s="29" t="s">
        <x:v>20</x:v>
      </x:c>
      <x:c r="N7" s="29" t="s">
        <x:v>21</x:v>
      </x:c>
      <x:c r="O7" s="29" t="s">
        <x:v>22</x:v>
      </x:c>
      <x:c r="P7" s="29" t="s">
        <x:v>23</x:v>
      </x:c>
      <x:c r="Q7" s="29" t="s">
        <x:v>24</x:v>
      </x:c>
      <x:c r="R7" s="29" t="s">
        <x:v>25</x:v>
      </x:c>
      <x:c r="S7" s="29" t="s">
        <x:v>26</x:v>
      </x:c>
    </x:row>
    <x:row r="8" s="7" customFormat="1">
      <x:c r="C8" s="8"/>
      <x:c r="D8" s="9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1"/>
      <x:c r="S8" s="11"/>
    </x:row>
    <x:row r="9" s="12" customFormat="1">
      <x:c r="C9" s="13" t="s">
        <x:v>27</x:v>
      </x:c>
      <x:c r="D9" s="14" t="s">
        <x:v>28</x:v>
      </x:c>
      <x:c r="E9" s="15"/>
      <x:c r="F9" s="32">
        <x:f>KANWIL!F9+SURABAYA!F9+KEDIRI!F9+MALANG!F9+MADIUN!F9+BANYUWANGI!F9</x:f>
        <x:v>29155734228583.00</x:v>
      </x:c>
      <x:c r="G9" s="32">
        <x:f>KANWIL!G9+SURABAYA!G9+KEDIRI!G9+MALANG!G9+MADIUN!G9+BANYUWANGI!G9</x:f>
        <x:v>0.00</x:v>
      </x:c>
      <x:c r="H9" s="32">
        <x:f>KANWIL!H9+SURABAYA!H9+KEDIRI!H9+MALANG!H9+MADIUN!H9+BANYUWANGI!H9</x:f>
        <x:v>6633105465239.00</x:v>
      </x:c>
      <x:c r="I9" s="32">
        <x:f>KANWIL!I9+SURABAYA!I9+KEDIRI!I9+MALANG!I9+MADIUN!I9+BANYUWANGI!I9</x:f>
        <x:v>2866310409375.00</x:v>
      </x:c>
      <x:c r="J9" s="32">
        <x:f>KANWIL!J9+SURABAYA!J9+KEDIRI!J9+MALANG!J9+MADIUN!J9+BANYUWANGI!J9</x:f>
        <x:v>5889752816264.00</x:v>
      </x:c>
      <x:c r="K9" s="32">
        <x:f>SUM(F9:J9)</x:f>
        <x:v>44544902919461.00</x:v>
      </x:c>
      <x:c r="L9" s="32"/>
      <x:c r="M9" s="32"/>
      <x:c r="N9" s="32"/>
      <x:c r="O9" s="32"/>
      <x:c r="P9" s="32"/>
      <x:c r="Q9" s="32"/>
      <x:c r="R9" s="16"/>
      <x:c r="S9" s="37"/>
      <x:c r="T9" s="53"/>
    </x:row>
    <x:row r="10" s="7" customFormat="1">
      <x:c r="C10" s="8"/>
      <x:c r="D10" s="17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9"/>
      <x:c r="S10" s="19"/>
    </x:row>
    <x:row r="11" s="12" customFormat="1">
      <x:c r="C11" s="13" t="s">
        <x:v>29</x:v>
      </x:c>
      <x:c r="D11" s="14" t="s">
        <x:v>30</x:v>
      </x:c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6"/>
      <x:c r="S11" s="16"/>
    </x:row>
    <x:row r="12" s="20" customFormat="1">
      <x:c r="A12" s="20">
        <x:v>7</x:v>
      </x:c>
      <x:c r="B12" s="7">
        <x:v>8</x:v>
      </x:c>
      <x:c r="C12" s="8"/>
      <x:c r="D12" s="21"/>
      <x:c r="E12" s="22" t="s">
        <x:v>31</x:v>
      </x:c>
      <x:c r="F12" s="33">
        <x:f>KANWIL!F12+SURABAYA!F12+KEDIRI!F12+MALANG!F12+MADIUN!F12+BANYUWANGI!F12</x:f>
        <x:v>1054205218156.00</x:v>
      </x:c>
      <x:c r="G12" s="33">
        <x:f>KANWIL!G12+SURABAYA!G12+KEDIRI!G12+MALANG!G12+MADIUN!G12+BANYUWANGI!G12</x:f>
        <x:v>0.00</x:v>
      </x:c>
      <x:c r="H12" s="33">
        <x:f>KANWIL!H12+SURABAYA!H12+KEDIRI!H12+MALANG!H12+MADIUN!H12+BANYUWANGI!H12</x:f>
        <x:v>21616987266.00</x:v>
      </x:c>
      <x:c r="I12" s="33">
        <x:f>KANWIL!I12+SURABAYA!I12+KEDIRI!I12+MALANG!I12+MADIUN!I12+BANYUWANGI!I12</x:f>
        <x:v>27821631504.00</x:v>
      </x:c>
      <x:c r="J12" s="33">
        <x:f>KANWIL!J12+SURABAYA!J12+KEDIRI!J12+MALANG!J12+MADIUN!J12+BANYUWANGI!J12</x:f>
        <x:v>122415438555.00</x:v>
      </x:c>
      <x:c r="K12" s="33">
        <x:f>SUM(F12:J12)</x:f>
        <x:v>1226059275481.00</x:v>
      </x:c>
      <x:c r="L12" s="33">
        <x:f>KANWIL!L12+SURABAYA!L12+KEDIRI!L12+MALANG!L12+MADIUN!L12+BANYUWANGI!L12</x:f>
        <x:v>545512304688.68999309</x:v>
      </x:c>
      <x:c r="M12" s="33">
        <x:f>KANWIL!M12+SURABAYA!M12+KEDIRI!M12+MALANG!M12+MADIUN!M12+BANYUWANGI!M12</x:f>
        <x:v>400000.00</x:v>
      </x:c>
      <x:c r="N12" s="33">
        <x:f>KANWIL!N12+SURABAYA!N12+KEDIRI!N12+MALANG!N12+MADIUN!N12+BANYUWANGI!N12</x:f>
        <x:v>5691070778.26999972652</x:v>
      </x:c>
      <x:c r="O12" s="33">
        <x:f>KANWIL!O12+SURABAYA!O12+KEDIRI!O12+MALANG!O12+MADIUN!O12+BANYUWANGI!O12</x:f>
        <x:v>10105603600.9099998100</x:v>
      </x:c>
      <x:c r="P12" s="33">
        <x:f>KANWIL!P12+SURABAYA!P12+KEDIRI!P12+MALANG!P12+MADIUN!P12+BANYUWANGI!P12</x:f>
        <x:v>192531541755.4199980076</x:v>
      </x:c>
      <x:c r="Q12" s="33">
        <x:f>N12+O12+P12</x:f>
        <x:v>208328216134.59999754412</x:v>
      </x:c>
      <x:c r="R12" s="19">
        <x:f>SUM(L12:P12)</x:f>
        <x:v>753840920823.28999063412</x:v>
      </x:c>
      <x:c r="S12" s="37">
        <x:f>IF(K12=0,0,R12/K12)</x:f>
        <x:v>0.614848674855094406</x:v>
      </x:c>
    </x:row>
    <x:row r="13" s="20" customFormat="1">
      <x:c r="A13" s="20">
        <x:v>12</x:v>
      </x:c>
      <x:c r="B13" s="7">
        <x:v>10</x:v>
      </x:c>
      <x:c r="C13" s="8"/>
      <x:c r="D13" s="21"/>
      <x:c r="E13" s="22" t="s">
        <x:v>32</x:v>
      </x:c>
      <x:c r="F13" s="33">
        <x:f>KANWIL!F13+SURABAYA!F13+KEDIRI!F13+MALANG!F13+MADIUN!F13+BANYUWANGI!F13</x:f>
        <x:v>0.00</x:v>
      </x:c>
      <x:c r="G13" s="33">
        <x:f>KANWIL!G13+SURABAYA!G13+KEDIRI!G13+MALANG!G13+MADIUN!G13+BANYUWANGI!G13</x:f>
        <x:v>0.00</x:v>
      </x:c>
      <x:c r="H13" s="33">
        <x:f>KANWIL!H13+SURABAYA!H13+KEDIRI!H13+MALANG!H13+MADIUN!H13+BANYUWANGI!H13</x:f>
        <x:v>0.00</x:v>
      </x:c>
      <x:c r="I13" s="33">
        <x:f>KANWIL!I13+SURABAYA!I13+KEDIRI!I13+MALANG!I13+MADIUN!I13+BANYUWANGI!I13</x:f>
        <x:v>0.00</x:v>
      </x:c>
      <x:c r="J13" s="33">
        <x:f>KANWIL!J13+SURABAYA!J13+KEDIRI!J13+MALANG!J13+MADIUN!J13+BANYUWANGI!J13</x:f>
        <x:v>0.00</x:v>
      </x:c>
      <x:c r="K13" s="33">
        <x:f>SUM(F13:J13)</x:f>
        <x:v>0.00</x:v>
      </x:c>
      <x:c r="L13" s="33"/>
      <x:c r="M13" s="33"/>
      <x:c r="N13" s="33"/>
      <x:c r="O13" s="33"/>
      <x:c r="P13" s="33"/>
      <x:c r="Q13" s="33"/>
      <x:c r="R13" s="19"/>
      <x:c r="S13" s="37"/>
    </x:row>
    <x:row r="14" s="20" customFormat="1">
      <x:c r="A14" s="20">
        <x:v>9</x:v>
      </x:c>
      <x:c r="B14" s="7">
        <x:v>9</x:v>
      </x:c>
      <x:c r="C14" s="8"/>
      <x:c r="D14" s="21"/>
      <x:c r="E14" s="22" t="s">
        <x:v>33</x:v>
      </x:c>
      <x:c r="F14" s="33">
        <x:f>KANWIL!F14+SURABAYA!F14+KEDIRI!F14+MALANG!F14+MADIUN!F14+BANYUWANGI!F14</x:f>
        <x:v>94927046114.00</x:v>
      </x:c>
      <x:c r="G14" s="33">
        <x:f>KANWIL!G14+SURABAYA!G14+KEDIRI!G14+MALANG!G14+MADIUN!G14+BANYUWANGI!G14</x:f>
        <x:v>0.00</x:v>
      </x:c>
      <x:c r="H14" s="33">
        <x:f>KANWIL!H14+SURABAYA!H14+KEDIRI!H14+MALANG!H14+MADIUN!H14+BANYUWANGI!H14</x:f>
        <x:v>2624698636.00</x:v>
      </x:c>
      <x:c r="I14" s="33">
        <x:f>KANWIL!I14+SURABAYA!I14+KEDIRI!I14+MALANG!I14+MADIUN!I14+BANYUWANGI!I14</x:f>
        <x:v>4151753688.00</x:v>
      </x:c>
      <x:c r="J14" s="33">
        <x:f>KANWIL!J14+SURABAYA!J14+KEDIRI!J14+MALANG!J14+MADIUN!J14+BANYUWANGI!J14</x:f>
        <x:v>72171043143.00</x:v>
      </x:c>
      <x:c r="K14" s="33">
        <x:f>SUM(F14:J14)</x:f>
        <x:v>173874541581.00</x:v>
      </x:c>
      <x:c r="L14" s="33">
        <x:f>KANWIL!L14+SURABAYA!L14+KEDIRI!L14+MALANG!L14+MADIUN!L14+BANYUWANGI!L14</x:f>
        <x:v>57760209530.389998413</x:v>
      </x:c>
      <x:c r="M14" s="33"/>
      <x:c r="N14" s="33">
        <x:f>KANWIL!N14+SURABAYA!N14+KEDIRI!N14+MALANG!N14+MADIUN!N14+BANYUWANGI!N14</x:f>
        <x:v>588015252.36000002097</x:v>
      </x:c>
      <x:c r="O14" s="33">
        <x:f>KANWIL!O14+SURABAYA!O14+KEDIRI!O14+MALANG!O14+MADIUN!O14+BANYUWANGI!O14</x:f>
        <x:v>1124854556.629999991003</x:v>
      </x:c>
      <x:c r="P14" s="33">
        <x:f>KANWIL!P14+SURABAYA!P14+KEDIRI!P14+MALANG!P14+MADIUN!P14+BANYUWANGI!P14</x:f>
        <x:v>25041921762.789999791349</x:v>
      </x:c>
      <x:c r="Q14" s="33">
        <x:f>N14+O14+P14</x:f>
        <x:v>26754791571.779999803322</x:v>
      </x:c>
      <x:c r="R14" s="19">
        <x:f>SUM(L14:P14)</x:f>
        <x:v>84515001102.169998216322</x:v>
      </x:c>
      <x:c r="S14" s="37">
        <x:f>IF(K14=0,0,R14/K14)</x:f>
        <x:v>0.486068865135143549</x:v>
      </x:c>
      <x:c r="T14" s="56"/>
    </x:row>
    <x:row r="15" s="23" customFormat="1">
      <x:c r="B15" s="12"/>
      <x:c r="C15" s="13" t="s">
        <x:v>34</x:v>
      </x:c>
      <x:c r="D15" s="14"/>
      <x:c r="E15" s="15" t="s">
        <x:v>35</x:v>
      </x:c>
      <x:c r="F15" s="32">
        <x:f>F12-F13-F14</x:f>
        <x:v>959278172042.00</x:v>
      </x:c>
      <x:c r="G15" s="32">
        <x:f>G12-G13-G14</x:f>
        <x:v>0.00</x:v>
      </x:c>
      <x:c r="H15" s="32">
        <x:f>H12-H13-H14</x:f>
        <x:v>18992288630.00</x:v>
      </x:c>
      <x:c r="I15" s="32">
        <x:f>I12-I13-I14</x:f>
        <x:v>23669877816.00</x:v>
      </x:c>
      <x:c r="J15" s="32">
        <x:f>J12-J13-J14</x:f>
        <x:v>50244395412.00</x:v>
      </x:c>
      <x:c r="K15" s="32">
        <x:f>K12-K13-K14</x:f>
        <x:v>1052184733900.00</x:v>
      </x:c>
      <x:c r="L15" s="32">
        <x:f>L12-L13-L14</x:f>
        <x:v>487752095158.299994677</x:v>
      </x:c>
      <x:c r="M15" s="32">
        <x:f>M12-M13-M14</x:f>
        <x:v>400000.00</x:v>
      </x:c>
      <x:c r="N15" s="32">
        <x:f>N12-N13-N14</x:f>
        <x:v>5103055525.90999970555</x:v>
      </x:c>
      <x:c r="O15" s="32">
        <x:f>O12-O13-O14</x:f>
        <x:v>8980749044.279999818997</x:v>
      </x:c>
      <x:c r="P15" s="32">
        <x:f>P12-P13-P14</x:f>
        <x:v>167489619992.629998216251</x:v>
      </x:c>
      <x:c r="Q15" s="32">
        <x:f>Q12-Q13-Q14</x:f>
        <x:v>181573424562.819997740798</x:v>
      </x:c>
      <x:c r="R15" s="16">
        <x:f>R12-R13-R14</x:f>
        <x:v>669325919721.119992417798</x:v>
      </x:c>
      <x:c r="S15" s="37">
        <x:f>IF(K15=0,0,R15/K15)</x:f>
        <x:v>0.636129662554800912</x:v>
      </x:c>
    </x:row>
    <x:row r="16" s="20" customFormat="1">
      <x:c r="B16" s="7"/>
      <x:c r="C16" s="8" t="s">
        <x:v>36</x:v>
      </x:c>
      <x:c r="D16" s="21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19"/>
      <x:c r="S16" s="19"/>
    </x:row>
    <x:row r="17" s="23" customFormat="1">
      <x:c r="B17" s="12"/>
      <x:c r="C17" s="13" t="s">
        <x:v>29</x:v>
      </x:c>
      <x:c r="D17" s="14" t="s">
        <x:v>37</x:v>
      </x:c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6"/>
      <x:c r="S17" s="16"/>
    </x:row>
    <x:row r="18" s="20" customFormat="1">
      <x:c r="A18" s="20">
        <x:v>22</x:v>
      </x:c>
      <x:c r="B18" s="7">
        <x:v>13</x:v>
      </x:c>
      <x:c r="C18" s="8"/>
      <x:c r="D18" s="21"/>
      <x:c r="E18" s="22" t="s">
        <x:v>38</x:v>
      </x:c>
      <x:c r="F18" s="33">
        <x:f>KANWIL!F18+SURABAYA!F18+KEDIRI!F18+MALANG!F18+MADIUN!F18+BANYUWANGI!F18</x:f>
        <x:v>809802922564.00</x:v>
      </x:c>
      <x:c r="G18" s="33">
        <x:f>KANWIL!G18+SURABAYA!G18+KEDIRI!G18+MALANG!G18+MADIUN!G18+BANYUWANGI!G18</x:f>
        <x:v>34965416239.00</x:v>
      </x:c>
      <x:c r="H18" s="33">
        <x:f>KANWIL!H18+SURABAYA!H18+KEDIRI!H18+MALANG!H18+MADIUN!H18+BANYUWANGI!H18</x:f>
        <x:v>5658069138.00</x:v>
      </x:c>
      <x:c r="I18" s="33">
        <x:f>KANWIL!I18+SURABAYA!I18+KEDIRI!I18+MALANG!I18+MADIUN!I18+BANYUWANGI!I18</x:f>
        <x:v>9169963227.00</x:v>
      </x:c>
      <x:c r="J18" s="33">
        <x:f>KANWIL!J18+SURABAYA!J18+KEDIRI!J18+MALANG!J18+MADIUN!J18+BANYUWANGI!J18</x:f>
        <x:v>102940478187.00</x:v>
      </x:c>
      <x:c r="K18" s="33">
        <x:f>SUM(F18:J18)</x:f>
        <x:v>962536849355.00</x:v>
      </x:c>
      <x:c r="L18" s="33">
        <x:f>KANWIL!L18+SURABAYA!L18+KEDIRI!L18+MALANG!L18+MADIUN!L18+BANYUWANGI!L18</x:f>
        <x:v>332599488720.19999600002</x:v>
      </x:c>
      <x:c r="M18" s="33">
        <x:f>KANWIL!M18+SURABAYA!M18+KEDIRI!M18+MALANG!M18+MADIUN!M18+BANYUWANGI!M18</x:f>
        <x:v>6502385476.60000002</x:v>
      </x:c>
      <x:c r="N18" s="33">
        <x:f>KANWIL!N18+SURABAYA!N18+KEDIRI!N18+MALANG!N18+MADIUN!N18+BANYUWANGI!N18</x:f>
        <x:v>2186523623.50</x:v>
      </x:c>
      <x:c r="O18" s="33">
        <x:f>KANWIL!O18+SURABAYA!O18+KEDIRI!O18+MALANG!O18+MADIUN!O18+BANYUWANGI!O18</x:f>
        <x:v>962365100.0499999784</x:v>
      </x:c>
      <x:c r="P18" s="33">
        <x:f>KANWIL!P18+SURABAYA!P18+KEDIRI!P18+MALANG!P18+MADIUN!P18+BANYUWANGI!P18</x:f>
        <x:v>178946649222.289994803</x:v>
      </x:c>
      <x:c r="Q18" s="33">
        <x:f>N18+O18+P18</x:f>
        <x:v>182095537945.8399947814</x:v>
      </x:c>
      <x:c r="R18" s="19">
        <x:f>SUM(L18:P18)</x:f>
        <x:v>521197412142.63999080142</x:v>
      </x:c>
      <x:c r="S18" s="37">
        <x:f>IF(K18=0,0,R18/K18)</x:f>
        <x:v>0.541483074120119737</x:v>
      </x:c>
    </x:row>
    <x:row r="19" s="20" customFormat="1">
      <x:c r="A19" s="20">
        <x:v>24</x:v>
      </x:c>
      <x:c r="B19" s="7">
        <x:v>14</x:v>
      </x:c>
      <x:c r="C19" s="8"/>
      <x:c r="D19" s="21"/>
      <x:c r="E19" s="22" t="s">
        <x:v>39</x:v>
      </x:c>
      <x:c r="F19" s="33">
        <x:f>KANWIL!F19+SURABAYA!F19+KEDIRI!F19+MALANG!F19+MADIUN!F19+BANYUWANGI!F19</x:f>
        <x:v>9715485499.00</x:v>
      </x:c>
      <x:c r="G19" s="33">
        <x:f>KANWIL!G19+SURABAYA!G19+KEDIRI!G19+MALANG!G19+MADIUN!G19+BANYUWANGI!G19</x:f>
        <x:v>-10323848200.00</x:v>
      </x:c>
      <x:c r="H19" s="33">
        <x:f>KANWIL!H19+SURABAYA!H19+KEDIRI!H19+MALANG!H19+MADIUN!H19+BANYUWANGI!H19</x:f>
        <x:v>677983388.00</x:v>
      </x:c>
      <x:c r="I19" s="33">
        <x:f>KANWIL!I19+SURABAYA!I19+KEDIRI!I19+MALANG!I19+MADIUN!I19+BANYUWANGI!I19</x:f>
        <x:v>397223586.00</x:v>
      </x:c>
      <x:c r="J19" s="33">
        <x:f>KANWIL!J19+SURABAYA!J19+KEDIRI!J19+MALANG!J19+MADIUN!J19+BANYUWANGI!J19</x:f>
        <x:v>31382109977.00</x:v>
      </x:c>
      <x:c r="K19" s="33">
        <x:f>SUM(F19:J19)</x:f>
        <x:v>31848954250.00</x:v>
      </x:c>
      <x:c r="L19" s="33">
        <x:f>KANWIL!L19+SURABAYA!L19+KEDIRI!L19+MALANG!L19+MADIUN!L19+BANYUWANGI!L19</x:f>
        <x:v>79489582933.5200007</x:v>
      </x:c>
      <x:c r="M19" s="33">
        <x:f>KANWIL!M19+SURABAYA!M19+KEDIRI!M19+MALANG!M19+MADIUN!M19+BANYUWANGI!M19</x:f>
        <x:v>-9031783629.01999981</x:v>
      </x:c>
      <x:c r="N19" s="33">
        <x:f>KANWIL!N19+SURABAYA!N19+KEDIRI!N19+MALANG!N19+MADIUN!N19+BANYUWANGI!N19</x:f>
        <x:v>0.00</x:v>
      </x:c>
      <x:c r="O19" s="33">
        <x:f>KANWIL!O19+SURABAYA!O19+KEDIRI!O19+MALANG!O19+MADIUN!O19+BANYUWANGI!O19</x:f>
        <x:v>0.00</x:v>
      </x:c>
      <x:c r="P19" s="33">
        <x:f>KANWIL!P19+SURABAYA!P19+KEDIRI!P19+MALANG!P19+MADIUN!P19+BANYUWANGI!P19</x:f>
        <x:v>0.00</x:v>
      </x:c>
      <x:c r="Q19" s="33">
        <x:f>KANWIL!Q19+SURABAYA!Q19+KEDIRI!Q19+MALANG!Q19+MADIUN!Q19+BANYUWANGI!Q19</x:f>
        <x:v>15236456760.7000000</x:v>
      </x:c>
      <x:c r="R19" s="19">
        <x:f>SUM(L19:Q19)</x:f>
        <x:v>85694256065.20000089</x:v>
      </x:c>
      <x:c r="S19" s="37">
        <x:f>IF(K19=0,0,R19/K19)</x:f>
        <x:v>2.690645833848689110</x:v>
      </x:c>
    </x:row>
    <x:row r="20" s="20" customFormat="1">
      <x:c r="A20" s="20">
        <x:v>32</x:v>
      </x:c>
      <x:c r="B20" s="7">
        <x:v>15</x:v>
      </x:c>
      <x:c r="C20" s="8"/>
      <x:c r="D20" s="21"/>
      <x:c r="E20" s="22" t="s">
        <x:v>40</x:v>
      </x:c>
      <x:c r="F20" s="33">
        <x:f>KANWIL!F20+SURABAYA!F20+KEDIRI!F20+MALANG!F20+MADIUN!F20+BANYUWANGI!F20</x:f>
        <x:v>208858906675.00</x:v>
      </x:c>
      <x:c r="G20" s="33">
        <x:f>KANWIL!G20+SURABAYA!G20+KEDIRI!G20+MALANG!G20+MADIUN!G20+BANYUWANGI!G20</x:f>
        <x:v>34248988772.00</x:v>
      </x:c>
      <x:c r="H20" s="33">
        <x:f>KANWIL!H20+SURABAYA!H20+KEDIRI!H20+MALANG!H20+MADIUN!H20+BANYUWANGI!H20</x:f>
        <x:v>147999934.00</x:v>
      </x:c>
      <x:c r="I20" s="33">
        <x:f>KANWIL!I20+SURABAYA!I20+KEDIRI!I20+MALANG!I20+MADIUN!I20+BANYUWANGI!I20</x:f>
        <x:v>301999866.00</x:v>
      </x:c>
      <x:c r="J20" s="33">
        <x:f>KANWIL!J20+SURABAYA!J20+KEDIRI!J20+MALANG!J20+MADIUN!J20+BANYUWANGI!J20</x:f>
        <x:v>83496959312.00</x:v>
      </x:c>
      <x:c r="K20" s="33">
        <x:f>SUM(F20:J20)</x:f>
        <x:v>327054854559.00</x:v>
      </x:c>
      <x:c r="L20" s="33">
        <x:f>KANWIL!L20+SURABAYA!L20+KEDIRI!L20+MALANG!L20+MADIUN!L20+BANYUWANGI!L20</x:f>
        <x:v>108310093371.25999915</x:v>
      </x:c>
      <x:c r="M20" s="33">
        <x:f>KANWIL!M20+SURABAYA!M20+KEDIRI!M20+MALANG!M20+MADIUN!M20+BANYUWANGI!M20</x:f>
        <x:v>12937903286.04999999</x:v>
      </x:c>
      <x:c r="N20" s="33"/>
      <x:c r="O20" s="33">
        <x:f>KANWIL!O20+SURABAYA!O20+KEDIRI!O20+MALANG!O20+MADIUN!O20+BANYUWANGI!O20</x:f>
        <x:v>101363368.23</x:v>
      </x:c>
      <x:c r="P20" s="33">
        <x:f>KANWIL!P20+SURABAYA!P20+KEDIRI!P20+MALANG!P20+MADIUN!P20+BANYUWANGI!P20</x:f>
        <x:v>46403825824.520002575</x:v>
      </x:c>
      <x:c r="Q20" s="33">
        <x:f>KANWIL!Q20+SURABAYA!Q20+KEDIRI!Q20+MALANG!Q20+MADIUN!Q20+BANYUWANGI!Q20</x:f>
        <x:v>40738256479.560002431</x:v>
      </x:c>
      <x:c r="R20" s="19">
        <x:v>161986253136.870001571</x:v>
      </x:c>
      <x:c r="S20" s="37">
        <x:f>IF(K20=0,0,R20/K20)</x:f>
        <x:v>0.495287719716901575</x:v>
      </x:c>
    </x:row>
    <x:row r="21" s="20" customFormat="1">
      <x:c r="A21" s="20">
        <x:v>37</x:v>
      </x:c>
      <x:c r="B21" s="7">
        <x:v>16</x:v>
      </x:c>
      <x:c r="C21" s="8"/>
      <x:c r="D21" s="21"/>
      <x:c r="E21" s="22" t="s">
        <x:v>41</x:v>
      </x:c>
      <x:c r="F21" s="33">
        <x:f>KANWIL!F21+SURABAYA!F21+KEDIRI!F21+MALANG!F21+MADIUN!F21+BANYUWANGI!F21</x:f>
        <x:v>14979526236.00</x:v>
      </x:c>
      <x:c r="G21" s="33">
        <x:f>KANWIL!G21+SURABAYA!G21+KEDIRI!G21+MALANG!G21+MADIUN!G21+BANYUWANGI!G21</x:f>
        <x:v>0.00</x:v>
      </x:c>
      <x:c r="H21" s="33">
        <x:f>KANWIL!H21+SURABAYA!H21+KEDIRI!H21+MALANG!H21+MADIUN!H21+BANYUWANGI!H21</x:f>
        <x:v>456146159.00</x:v>
      </x:c>
      <x:c r="I21" s="33">
        <x:f>KANWIL!I21+SURABAYA!I21+KEDIRI!I21+MALANG!I21+MADIUN!I21+BANYUWANGI!I21</x:f>
        <x:v>634577379.00</x:v>
      </x:c>
      <x:c r="J21" s="33">
        <x:f>KANWIL!J21+SURABAYA!J21+KEDIRI!J21+MALANG!J21+MADIUN!J21+BANYUWANGI!J21</x:f>
        <x:v>11015252139.00</x:v>
      </x:c>
      <x:c r="K21" s="33">
        <x:f>SUM(F21:J21)</x:f>
        <x:v>27085501913.00</x:v>
      </x:c>
      <x:c r="L21" s="33">
        <x:f>KANWIL!L21+SURABAYA!L21+KEDIRI!L21+MALANG!L21+MADIUN!L21+BANYUWANGI!L21</x:f>
        <x:v>9495424207.889999946397</x:v>
      </x:c>
      <x:c r="M21" s="33"/>
      <x:c r="N21" s="33">
        <x:f>KANWIL!N21+SURABAYA!N21+KEDIRI!N21+MALANG!N21+MADIUN!N21+BANYUWANGI!N21</x:f>
        <x:v>89860143.76999999862</x:v>
      </x:c>
      <x:c r="O21" s="33">
        <x:f>KANWIL!O21+SURABAYA!O21+KEDIRI!O21+MALANG!O21+MADIUN!O21+BANYUWANGI!O21</x:f>
        <x:v>-11303878.7300000049019</x:v>
      </x:c>
      <x:c r="P21" s="33">
        <x:f>KANWIL!P21+SURABAYA!P21+KEDIRI!P21+MALANG!P21+MADIUN!P21+BANYUWANGI!P21</x:f>
        <x:v>3633245721.509999973246</x:v>
      </x:c>
      <x:c r="Q21" s="33">
        <x:f>N21+O21+P21</x:f>
        <x:v>3711801986.5499999669641</x:v>
      </x:c>
      <x:c r="R21" s="19">
        <x:f>SUM(L21:P21)</x:f>
        <x:v>13207226194.4399999133611</x:v>
      </x:c>
      <x:c r="S21" s="37">
        <x:f>IF(K21=0,0,R21/K21)</x:f>
        <x:v>0.487612385285023605</x:v>
      </x:c>
    </x:row>
    <x:row r="22" s="23" customFormat="1">
      <x:c r="B22" s="12"/>
      <x:c r="C22" s="13" t="s">
        <x:v>34</x:v>
      </x:c>
      <x:c r="D22" s="14"/>
      <x:c r="E22" s="15" t="s">
        <x:v>42</x:v>
      </x:c>
      <x:c r="F22" s="32">
        <x:f>F18+F19-F20-F21</x:f>
        <x:v>595679975152.00</x:v>
      </x:c>
      <x:c r="G22" s="32">
        <x:f>G18+G19-G20-G21</x:f>
        <x:v>-9607420733.00</x:v>
      </x:c>
      <x:c r="H22" s="32">
        <x:f>H18+H19-H20-H21</x:f>
        <x:v>5731906433.00</x:v>
      </x:c>
      <x:c r="I22" s="32">
        <x:f>I18+I19-I20-I21</x:f>
        <x:v>8630609568.00</x:v>
      </x:c>
      <x:c r="J22" s="32">
        <x:f>J18+J19-J20-J21</x:f>
        <x:v>39810376713.00</x:v>
      </x:c>
      <x:c r="K22" s="32">
        <x:f>K18+K19-K20-K21</x:f>
        <x:v>640245447133.00</x:v>
      </x:c>
      <x:c r="L22" s="32">
        <x:f>L18+L19-L20-L21</x:f>
        <x:v>294283554074.569997603623</x:v>
      </x:c>
      <x:c r="M22" s="32">
        <x:f>M18+M19-M20-M21</x:f>
        <x:v>-15467301438.46999978</x:v>
      </x:c>
      <x:c r="N22" s="32">
        <x:f>N18+N19-N20-N21</x:f>
        <x:v>2096663479.73000000138</x:v>
      </x:c>
      <x:c r="O22" s="32">
        <x:f>O18+O19-O20-O21</x:f>
        <x:v>872305610.5499999833019</x:v>
      </x:c>
      <x:c r="P22" s="32">
        <x:f>P18+P19-P20-P21</x:f>
        <x:v>128909577676.259992254754</x:v>
      </x:c>
      <x:c r="Q22" s="32">
        <x:f>Q18+Q19-Q20-Q21</x:f>
        <x:v>152881936240.4299923834359</x:v>
      </x:c>
      <x:c r="R22" s="16">
        <x:f>R18+R19-R20-R21</x:f>
        <x:v>431698188876.5299902070589</x:v>
      </x:c>
      <x:c r="S22" s="37">
        <x:f>IF(K22=0,0,R22/K22)</x:f>
        <x:v>0.674269830124777291</x:v>
      </x:c>
    </x:row>
    <x:row r="23" s="20" customFormat="1">
      <x:c r="B23" s="7"/>
      <x:c r="C23" s="8"/>
      <x:c r="D23" s="21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19"/>
      <x:c r="S23" s="19"/>
      <x:c r="U23" s="50"/>
    </x:row>
    <x:row r="24" s="23" customFormat="1">
      <x:c r="B24" s="12"/>
      <x:c r="C24" s="13" t="s">
        <x:v>27</x:v>
      </x:c>
      <x:c r="D24" s="14" t="s">
        <x:v>43</x:v>
      </x:c>
      <x:c r="E24" s="15"/>
      <x:c r="F24" s="32">
        <x:f>F15-F22</x:f>
        <x:v>363598196890.00</x:v>
      </x:c>
      <x:c r="G24" s="32">
        <x:f>G15-G22</x:f>
        <x:v>9607420733.00</x:v>
      </x:c>
      <x:c r="H24" s="32">
        <x:f>H15-H22</x:f>
        <x:v>13260382197.00</x:v>
      </x:c>
      <x:c r="I24" s="32">
        <x:f>I15-I22</x:f>
        <x:v>15039268248.00</x:v>
      </x:c>
      <x:c r="J24" s="32">
        <x:f>J15-J22</x:f>
        <x:v>10434018699.00</x:v>
      </x:c>
      <x:c r="K24" s="32">
        <x:f>K15-K22</x:f>
        <x:v>411939286767.00</x:v>
      </x:c>
      <x:c r="L24" s="32">
        <x:f>L15-L22</x:f>
        <x:v>193468541083.729997073377</x:v>
      </x:c>
      <x:c r="M24" s="32">
        <x:f>M15-M22</x:f>
        <x:v>15467701438.46999978</x:v>
      </x:c>
      <x:c r="N24" s="32">
        <x:f>N15-N22</x:f>
        <x:v>3006392046.17999970417</x:v>
      </x:c>
      <x:c r="O24" s="32">
        <x:f>O15-O22</x:f>
        <x:v>8108443433.7299998356951</x:v>
      </x:c>
      <x:c r="P24" s="32">
        <x:f>P15-P22</x:f>
        <x:v>38580042316.370005961497</x:v>
      </x:c>
      <x:c r="Q24" s="32">
        <x:f>Q15-Q22</x:f>
        <x:v>28691488322.3900053573621</x:v>
      </x:c>
      <x:c r="R24" s="16">
        <x:f>R15-R22</x:f>
        <x:v>237627730844.5900022107391</x:v>
      </x:c>
      <x:c r="S24" s="37">
        <x:f>IF(K24=0,0,R24/K24)</x:f>
        <x:v>0.576851343093664103</x:v>
      </x:c>
    </x:row>
    <x:row r="25" s="20" customFormat="1">
      <x:c r="B25" s="7"/>
      <x:c r="C25" s="8"/>
      <x:c r="D25" s="21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19"/>
      <x:c r="S25" s="19"/>
    </x:row>
    <x:row r="26" s="23" customFormat="1">
      <x:c r="B26" s="12">
        <x:v>19</x:v>
      </x:c>
      <x:c r="C26" s="13" t="s">
        <x:v>27</x:v>
      </x:c>
      <x:c r="D26" s="14" t="s">
        <x:v>44</x:v>
      </x:c>
      <x:c r="E26" s="15"/>
      <x:c r="F26" s="15">
        <x:v>0.00</x:v>
      </x:c>
      <x:c r="G26" s="15">
        <x:v>0.00</x:v>
      </x:c>
      <x:c r="H26" s="15">
        <x:v>0.00</x:v>
      </x:c>
      <x:c r="I26" s="15">
        <x:v>0.00</x:v>
      </x:c>
      <x:c r="J26" s="15">
        <x:v>0.00</x:v>
      </x:c>
      <x:c r="K26" s="15">
        <x:v>0.00</x:v>
      </x:c>
      <x:c r="L26" s="15"/>
      <x:c r="M26" s="15"/>
      <x:c r="N26" s="15"/>
      <x:c r="O26" s="15"/>
      <x:c r="P26" s="15"/>
      <x:c r="Q26" s="15"/>
      <x:c r="R26" s="19"/>
      <x:c r="S26" s="19"/>
    </x:row>
    <x:row r="27" s="20" customFormat="1">
      <x:c r="B27" s="7"/>
      <x:c r="C27" s="8"/>
      <x:c r="D27" s="21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19"/>
      <x:c r="S27" s="19"/>
    </x:row>
    <x:row r="28" s="23" customFormat="1">
      <x:c r="B28" s="12"/>
      <x:c r="C28" s="13" t="s">
        <x:v>27</x:v>
      </x:c>
      <x:c r="D28" s="14" t="s">
        <x:v>45</x:v>
      </x:c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6"/>
      <x:c r="S28" s="16"/>
    </x:row>
    <x:row r="29" s="23" customFormat="1">
      <x:c r="B29" s="12"/>
      <x:c r="C29" s="13" t="s">
        <x:v>29</x:v>
      </x:c>
      <x:c r="D29" s="14"/>
      <x:c r="E29" s="15" t="s">
        <x:v>46</x:v>
      </x:c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6"/>
      <x:c r="S29" s="16"/>
    </x:row>
    <x:row r="30" s="20" customFormat="1">
      <x:c r="A30" s="20">
        <x:v>94</x:v>
      </x:c>
      <x:c r="B30" s="7"/>
      <x:c r="C30" s="8"/>
      <x:c r="D30" s="21"/>
      <x:c r="E30" s="24" t="s">
        <x:v>47</x:v>
      </x:c>
      <x:c r="F30" s="33">
        <x:f>KANWIL!F30+SURABAYA!F30+KEDIRI!F30+MALANG!F30+MADIUN!F30+BANYUWANGI!F30</x:f>
        <x:v>8079970152.00</x:v>
      </x:c>
      <x:c r="G30" s="33">
        <x:f>KANWIL!G30+SURABAYA!G30+KEDIRI!G30+MALANG!G30+MADIUN!G30+BANYUWANGI!G30</x:f>
        <x:v>0.00</x:v>
      </x:c>
      <x:c r="H30" s="33">
        <x:f>KANWIL!H30+SURABAYA!H30+KEDIRI!H30+MALANG!H30+MADIUN!H30+BANYUWANGI!H30</x:f>
        <x:v>165683692.00</x:v>
      </x:c>
      <x:c r="I30" s="33">
        <x:f>KANWIL!I30+SURABAYA!I30+KEDIRI!I30+MALANG!I30+MADIUN!I30+BANYUWANGI!I30</x:f>
        <x:v>213239272.00</x:v>
      </x:c>
      <x:c r="J30" s="33">
        <x:f>KANWIL!J30+SURABAYA!J30+KEDIRI!J30+MALANG!J30+MADIUN!J30+BANYUWANGI!J30</x:f>
        <x:v>938254784.00</x:v>
      </x:c>
      <x:c r="K30" s="33">
        <x:f>SUM(F30:J30)</x:f>
        <x:v>9397147900.00</x:v>
      </x:c>
      <x:c r="L30" s="33">
        <x:f>KANWIL!L30+SURABAYA!L30+KEDIRI!L30+MALANG!L30+MADIUN!L30+BANYUWANGI!L30</x:f>
        <x:v>3842537230.46000001</x:v>
      </x:c>
      <x:c r="M30" s="33"/>
      <x:c r="N30" s="33">
        <x:f>KANWIL!N30+SURABAYA!N30+KEDIRI!N30+MALANG!N30+MADIUN!N30+BANYUWANGI!N30</x:f>
        <x:v>45827997.628161199994328788838580526127</x:v>
      </x:c>
      <x:c r="O30" s="33">
        <x:f>KANWIL!O30+SURABAYA!O30+KEDIRI!O30+MALANG!O30+MADIUN!O30+BANYUWANGI!O30</x:f>
        <x:v>87565692.999640611716577312892086970644</x:v>
      </x:c>
      <x:c r="P30" s="33">
        <x:f>KANWIL!P30+SURABAYA!P30+KEDIRI!P30+MALANG!P30+MADIUN!P30+BANYUWANGI!P30</x:f>
        <x:v>1552860045.942198208289093898267161918534</x:v>
      </x:c>
      <x:c r="Q30" s="33">
        <x:f>N30+O30+P30</x:f>
        <x:v>1686253736.57000002</x:v>
      </x:c>
      <x:c r="R30" s="19">
        <x:f>SUM(L30:P30)</x:f>
        <x:v>5528790967.03000003</x:v>
      </x:c>
      <x:c r="S30" s="37">
        <x:f>IF(K30=0,0,R30/K30)</x:f>
        <x:v>0.588347765286316290</x:v>
      </x:c>
    </x:row>
    <x:row r="31" s="20" customFormat="1">
      <x:c r="A31" s="20">
        <x:v>95</x:v>
      </x:c>
      <x:c r="B31" s="7"/>
      <x:c r="C31" s="8"/>
      <x:c r="D31" s="21"/>
      <x:c r="E31" s="24" t="s">
        <x:v>48</x:v>
      </x:c>
      <x:c r="F31" s="33">
        <x:f>KANWIL!F31+SURABAYA!F31+KEDIRI!F31+MALANG!F31+MADIUN!F31+BANYUWANGI!F31</x:f>
        <x:v>252985625.00</x:v>
      </x:c>
      <x:c r="G31" s="33">
        <x:f>KANWIL!G31+SURABAYA!G31+KEDIRI!G31+MALANG!G31+MADIUN!G31+BANYUWANGI!G31</x:f>
        <x:v>0.00</x:v>
      </x:c>
      <x:c r="H31" s="33">
        <x:f>KANWIL!H31+SURABAYA!H31+KEDIRI!H31+MALANG!H31+MADIUN!H31+BANYUWANGI!H31</x:f>
        <x:v>5187593.00</x:v>
      </x:c>
      <x:c r="I31" s="33">
        <x:f>KANWIL!I31+SURABAYA!I31+KEDIRI!I31+MALANG!I31+MADIUN!I31+BANYUWANGI!I31</x:f>
        <x:v>6676569.00</x:v>
      </x:c>
      <x:c r="J31" s="33">
        <x:f>KANWIL!J31+SURABAYA!J31+KEDIRI!J31+MALANG!J31+MADIUN!J31+BANYUWANGI!J31</x:f>
        <x:v>29376961.00</x:v>
      </x:c>
      <x:c r="K31" s="33">
        <x:f>SUM(F31:J31)</x:f>
        <x:v>294226748.00</x:v>
      </x:c>
      <x:c r="L31" s="33">
        <x:f>KANWIL!L31+SURABAYA!L31+KEDIRI!L31+MALANG!L31+MADIUN!L31+BANYUWANGI!L31</x:f>
        <x:v>108817446.159999998</x:v>
      </x:c>
      <x:c r="M31" s="33"/>
      <x:c r="N31" s="33">
        <x:f>KANWIL!N31+SURABAYA!N31+KEDIRI!N31+MALANG!N31+MADIUN!N31+BANYUWANGI!N31</x:f>
        <x:v>1456717.073257167590164261010166076876</x:v>
      </x:c>
      <x:c r="O31" s="33">
        <x:f>KANWIL!O31+SURABAYA!O31+KEDIRI!O31+MALANG!O31+MADIUN!O31+BANYUWANGI!O31</x:f>
        <x:v>2434899.037637901359147051911470397773</x:v>
      </x:c>
      <x:c r="P31" s="33">
        <x:f>KANWIL!P31+SURABAYA!P31+KEDIRI!P31+MALANG!P31+MADIUN!P31+BANYUWANGI!P31</x:f>
        <x:v>42718798.739104931650688687078304469257</x:v>
      </x:c>
      <x:c r="Q31" s="33">
        <x:f>N31+O31+P31</x:f>
        <x:v>46610414.8500000006</x:v>
      </x:c>
      <x:c r="R31" s="19">
        <x:f>SUM(L31:P31)</x:f>
        <x:v>155427861.0099999986</x:v>
      </x:c>
      <x:c r="S31" s="37">
        <x:f>IF(K31=0,0,R31/K31)</x:f>
        <x:v>0.528258773434154255</x:v>
      </x:c>
    </x:row>
    <x:row r="32" s="20" customFormat="1">
      <x:c r="A32" s="20">
        <x:v>96</x:v>
      </x:c>
      <x:c r="B32" s="7"/>
      <x:c r="C32" s="8"/>
      <x:c r="D32" s="21"/>
      <x:c r="E32" s="24" t="s">
        <x:v>49</x:v>
      </x:c>
      <x:c r="F32" s="33">
        <x:f>KANWIL!F32+SURABAYA!F32+KEDIRI!F32+MALANG!F32+MADIUN!F32+BANYUWANGI!F32</x:f>
        <x:v>1203089015.00</x:v>
      </x:c>
      <x:c r="G32" s="33">
        <x:f>KANWIL!G32+SURABAYA!G32+KEDIRI!G32+MALANG!G32+MADIUN!G32+BANYUWANGI!G32</x:f>
        <x:v>0.00</x:v>
      </x:c>
      <x:c r="H32" s="33">
        <x:f>KANWIL!H32+SURABAYA!H32+KEDIRI!H32+MALANG!H32+MADIUN!H32+BANYUWANGI!H32</x:f>
        <x:v>24669920.00</x:v>
      </x:c>
      <x:c r="I32" s="33">
        <x:f>KANWIL!I32+SURABAYA!I32+KEDIRI!I32+MALANG!I32+MADIUN!I32+BANYUWANGI!I32</x:f>
        <x:v>31750838.00</x:v>
      </x:c>
      <x:c r="J32" s="33">
        <x:f>KANWIL!J32+SURABAYA!J32+KEDIRI!J32+MALANG!J32+MADIUN!J32+BANYUWANGI!J32</x:f>
        <x:v>139703984.00</x:v>
      </x:c>
      <x:c r="K32" s="33">
        <x:f>SUM(F32:J32)</x:f>
        <x:v>1399213757.00</x:v>
      </x:c>
      <x:c r="L32" s="33">
        <x:f>KANWIL!L32+SURABAYA!L32+KEDIRI!L32+MALANG!L32+MADIUN!L32+BANYUWANGI!L32</x:f>
        <x:v>32771148.7999999998</x:v>
      </x:c>
      <x:c r="M32" s="33"/>
      <x:c r="N32" s="33">
        <x:f>KANWIL!N32+SURABAYA!N32+KEDIRI!N32+MALANG!N32+MADIUN!N32+BANYUWANGI!N32</x:f>
        <x:v>184268.970935118911095040644062342150</x:v>
      </x:c>
      <x:c r="O32" s="33">
        <x:f>KANWIL!O32+SURABAYA!O32+KEDIRI!O32+MALANG!O32+MADIUN!O32+BANYUWANGI!O32</x:f>
        <x:v>722029.468309365901097670662648871268</x:v>
      </x:c>
      <x:c r="P32" s="33">
        <x:f>KANWIL!P32+SURABAYA!P32+KEDIRI!P32+MALANG!P32+MADIUN!P32+BANYUWANGI!P32</x:f>
        <x:v>12331552.760755515187807288693269035630</x:v>
      </x:c>
      <x:c r="Q32" s="33">
        <x:f>N32+O32+P32</x:f>
        <x:v>13237851.20</x:v>
      </x:c>
      <x:c r="R32" s="19">
        <x:f>SUM(L32:P32)</x:f>
        <x:v>46008999.9999999998</x:v>
      </x:c>
      <x:c r="S32" s="37">
        <x:f>IF(K32=0,0,R32/K32)</x:f>
        <x:v>0.032882038051602718</x:v>
      </x:c>
    </x:row>
    <x:row r="33" s="20" customFormat="1">
      <x:c r="A33" s="20">
        <x:v>97</x:v>
      </x:c>
      <x:c r="B33" s="7"/>
      <x:c r="C33" s="8"/>
      <x:c r="D33" s="21"/>
      <x:c r="E33" s="24" t="s">
        <x:v>50</x:v>
      </x:c>
      <x:c r="F33" s="33">
        <x:f>KANWIL!F33+SURABAYA!F33+KEDIRI!F33+MALANG!F33+MADIUN!F33+BANYUWANGI!F33</x:f>
        <x:v>55120357.00</x:v>
      </x:c>
      <x:c r="G33" s="33">
        <x:f>KANWIL!G33+SURABAYA!G33+KEDIRI!G33+MALANG!G33+MADIUN!G33+BANYUWANGI!G33</x:f>
        <x:v>0.00</x:v>
      </x:c>
      <x:c r="H33" s="33">
        <x:f>KANWIL!H33+SURABAYA!H33+KEDIRI!H33+MALANG!H33+MADIUN!H33+BANYUWANGI!H33</x:f>
        <x:v>1130269.00</x:v>
      </x:c>
      <x:c r="I33" s="33">
        <x:f>KANWIL!I33+SURABAYA!I33+KEDIRI!I33+MALANG!I33+MADIUN!I33+BANYUWANGI!I33</x:f>
        <x:v>1454687.00</x:v>
      </x:c>
      <x:c r="J33" s="33">
        <x:f>KANWIL!J33+SURABAYA!J33+KEDIRI!J33+MALANG!J33+MADIUN!J33+BANYUWANGI!J33</x:f>
        <x:v>6400635.00</x:v>
      </x:c>
      <x:c r="K33" s="33">
        <x:f>SUM(F33:J33)</x:f>
        <x:v>64105948.00</x:v>
      </x:c>
      <x:c r="L33" s="33"/>
      <x:c r="M33" s="33"/>
      <x:c r="N33" s="33"/>
      <x:c r="O33" s="33"/>
      <x:c r="P33" s="33"/>
      <x:c r="Q33" s="33"/>
      <x:c r="R33" s="19"/>
      <x:c r="S33" s="37"/>
    </x:row>
    <x:row r="34" s="20" customFormat="1">
      <x:c r="A34" s="20">
        <x:v>100</x:v>
      </x:c>
      <x:c r="B34" s="7"/>
      <x:c r="C34" s="8"/>
      <x:c r="D34" s="21"/>
      <x:c r="E34" s="24" t="s">
        <x:v>51</x:v>
      </x:c>
      <x:c r="F34" s="33">
        <x:f>KANWIL!F34+SURABAYA!F34+KEDIRI!F34+MALANG!F34+MADIUN!F34+BANYUWANGI!F34</x:f>
        <x:v>873635539.00</x:v>
      </x:c>
      <x:c r="G34" s="33">
        <x:f>KANWIL!G34+SURABAYA!G34+KEDIRI!G34+MALANG!G34+MADIUN!G34+BANYUWANGI!G34</x:f>
        <x:v>0.00</x:v>
      </x:c>
      <x:c r="H34" s="33">
        <x:f>KANWIL!H34+SURABAYA!H34+KEDIRI!H34+MALANG!H34+MADIUN!H34+BANYUWANGI!H34</x:f>
        <x:v>17914319.00</x:v>
      </x:c>
      <x:c r="I34" s="33">
        <x:f>KANWIL!I34+SURABAYA!I34+KEDIRI!I34+MALANG!I34+MADIUN!I34+BANYUWANGI!I34</x:f>
        <x:v>23056200.00</x:v>
      </x:c>
      <x:c r="J34" s="33">
        <x:f>KANWIL!J34+SURABAYA!J34+KEDIRI!J34+MALANG!J34+MADIUN!J34+BANYUWANGI!J34</x:f>
        <x:v>101447493.00</x:v>
      </x:c>
      <x:c r="K34" s="33">
        <x:f>SUM(F34:J34)</x:f>
        <x:v>1016053551.00</x:v>
      </x:c>
      <x:c r="L34" s="33"/>
      <x:c r="M34" s="33"/>
      <x:c r="N34" s="33"/>
      <x:c r="O34" s="33"/>
      <x:c r="P34" s="33"/>
      <x:c r="Q34" s="33"/>
      <x:c r="R34" s="19"/>
      <x:c r="S34" s="37"/>
    </x:row>
    <x:row r="35" s="20" customFormat="1">
      <x:c r="A35" s="20">
        <x:v>101</x:v>
      </x:c>
      <x:c r="B35" s="7"/>
      <x:c r="C35" s="8"/>
      <x:c r="D35" s="21"/>
      <x:c r="E35" s="24" t="s">
        <x:v>52</x:v>
      </x:c>
      <x:c r="F35" s="33">
        <x:f>KANWIL!F35+SURABAYA!F35+KEDIRI!F35+MALANG!F35+MADIUN!F35+BANYUWANGI!F35</x:f>
        <x:v>9945044587.00</x:v>
      </x:c>
      <x:c r="G35" s="33">
        <x:f>KANWIL!G35+SURABAYA!G35+KEDIRI!G35+MALANG!G35+MADIUN!G35+BANYUWANGI!G35</x:f>
        <x:v>0.00</x:v>
      </x:c>
      <x:c r="H35" s="33">
        <x:f>KANWIL!H35+SURABAYA!H35+KEDIRI!H35+MALANG!H35+MADIUN!H35+BANYUWANGI!H35</x:f>
        <x:v>203927943.00</x:v>
      </x:c>
      <x:c r="I35" s="33">
        <x:f>KANWIL!I35+SURABAYA!I35+KEDIRI!I35+MALANG!I35+MADIUN!I35+BANYUWANGI!I35</x:f>
        <x:v>262460630.00</x:v>
      </x:c>
      <x:c r="J35" s="33">
        <x:f>KANWIL!J35+SURABAYA!J35+KEDIRI!J35+MALANG!J35+MADIUN!J35+BANYUWANGI!J35</x:f>
        <x:v>1154829224.00</x:v>
      </x:c>
      <x:c r="K35" s="33">
        <x:f>SUM(F35:J35)</x:f>
        <x:v>11566262384.00</x:v>
      </x:c>
      <x:c r="L35" s="33">
        <x:f>KANWIL!L35+SURABAYA!L35+KEDIRI!L35+MALANG!L35+MADIUN!L35+BANYUWANGI!L35</x:f>
        <x:v>4990491345.48000008</x:v>
      </x:c>
      <x:c r="M35" s="33"/>
      <x:c r="N35" s="33">
        <x:f>KANWIL!N35+SURABAYA!N35+KEDIRI!N35+MALANG!N35+MADIUN!N35+BANYUWANGI!N35</x:f>
        <x:v>60963587.788695564166835568775344074904</x:v>
      </x:c>
      <x:c r="O35" s="33">
        <x:f>KANWIL!O35+SURABAYA!O35+KEDIRI!O35+MALANG!O35+MADIUN!O35+BANYUWANGI!O35</x:f>
        <x:v>113456445.689970426002487017274317206423</x:v>
      </x:c>
      <x:c r="P35" s="33">
        <x:f>KANWIL!P35+SURABAYA!P35+KEDIRI!P35+MALANG!P35+MADIUN!P35+BANYUWANGI!P35</x:f>
        <x:v>2017072604.161334049830677413947536523382</x:v>
      </x:c>
      <x:c r="Q35" s="33">
        <x:f>N35+O35+P35</x:f>
        <x:v>2191492637.64000004</x:v>
      </x:c>
      <x:c r="R35" s="19">
        <x:f>SUM(L35:P35)</x:f>
        <x:v>7181983983.12000012</x:v>
      </x:c>
      <x:c r="S35" s="37">
        <x:f>IF(K35=0,0,R35/K35)</x:f>
        <x:v>0.620942508882997524</x:v>
      </x:c>
    </x:row>
    <x:row r="36" s="20" customFormat="1">
      <x:c r="A36" s="20">
        <x:v>102</x:v>
      </x:c>
      <x:c r="B36" s="7"/>
      <x:c r="C36" s="8"/>
      <x:c r="D36" s="21"/>
      <x:c r="E36" s="24" t="s">
        <x:v>53</x:v>
      </x:c>
      <x:c r="F36" s="33">
        <x:f>KANWIL!F36+SURABAYA!F36+KEDIRI!F36+MALANG!F36+MADIUN!F36+BANYUWANGI!F36</x:f>
        <x:v>0.00</x:v>
      </x:c>
      <x:c r="G36" s="33">
        <x:f>KANWIL!G36+SURABAYA!G36+KEDIRI!G36+MALANG!G36+MADIUN!G36+BANYUWANGI!G36</x:f>
        <x:v>0.00</x:v>
      </x:c>
      <x:c r="H36" s="33">
        <x:f>KANWIL!H36+SURABAYA!H36+KEDIRI!H36+MALANG!H36+MADIUN!H36+BANYUWANGI!H36</x:f>
        <x:v>0.00</x:v>
      </x:c>
      <x:c r="I36" s="33">
        <x:f>KANWIL!I36+SURABAYA!I36+KEDIRI!I36+MALANG!I36+MADIUN!I36+BANYUWANGI!I36</x:f>
        <x:v>0.00</x:v>
      </x:c>
      <x:c r="J36" s="33">
        <x:f>KANWIL!J36+SURABAYA!J36+KEDIRI!J36+MALANG!J36+MADIUN!J36+BANYUWANGI!J36</x:f>
        <x:v>0.00</x:v>
      </x:c>
      <x:c r="K36" s="33">
        <x:f>SUM(F36:J36)</x:f>
        <x:v>0.00</x:v>
      </x:c>
      <x:c r="L36" s="33"/>
      <x:c r="M36" s="33"/>
      <x:c r="N36" s="33"/>
      <x:c r="O36" s="33"/>
      <x:c r="P36" s="33"/>
      <x:c r="Q36" s="33"/>
      <x:c r="R36" s="19"/>
      <x:c r="S36" s="37"/>
    </x:row>
    <x:row r="37" s="20" customFormat="1">
      <x:c r="A37" s="20">
        <x:v>103</x:v>
      </x:c>
      <x:c r="B37" s="7"/>
      <x:c r="C37" s="8"/>
      <x:c r="D37" s="21"/>
      <x:c r="E37" s="24" t="s">
        <x:v>54</x:v>
      </x:c>
      <x:c r="F37" s="33">
        <x:f>KANWIL!F37+SURABAYA!F37+KEDIRI!F37+MALANG!F37+MADIUN!F37+BANYUWANGI!F37</x:f>
        <x:v>0.00</x:v>
      </x:c>
      <x:c r="G37" s="33">
        <x:f>KANWIL!G37+SURABAYA!G37+KEDIRI!G37+MALANG!G37+MADIUN!G37+BANYUWANGI!G37</x:f>
        <x:v>0.00</x:v>
      </x:c>
      <x:c r="H37" s="33">
        <x:f>KANWIL!H37+SURABAYA!H37+KEDIRI!H37+MALANG!H37+MADIUN!H37+BANYUWANGI!H37</x:f>
        <x:v>0.00</x:v>
      </x:c>
      <x:c r="I37" s="33">
        <x:f>KANWIL!I37+SURABAYA!I37+KEDIRI!I37+MALANG!I37+MADIUN!I37+BANYUWANGI!I37</x:f>
        <x:v>0.00</x:v>
      </x:c>
      <x:c r="J37" s="33">
        <x:f>KANWIL!J37+SURABAYA!J37+KEDIRI!J37+MALANG!J37+MADIUN!J37+BANYUWANGI!J37</x:f>
        <x:v>0.00</x:v>
      </x:c>
      <x:c r="K37" s="33">
        <x:f>SUM(F37:J37)</x:f>
        <x:v>0.00</x:v>
      </x:c>
      <x:c r="L37" s="33"/>
      <x:c r="M37" s="33"/>
      <x:c r="N37" s="33"/>
      <x:c r="O37" s="33"/>
      <x:c r="P37" s="33"/>
      <x:c r="Q37" s="33"/>
      <x:c r="R37" s="19"/>
      <x:c r="S37" s="37"/>
    </x:row>
    <x:row r="38" s="20" customFormat="1">
      <x:c r="A38" s="20">
        <x:v>104</x:v>
      </x:c>
      <x:c r="B38" s="7"/>
      <x:c r="C38" s="8"/>
      <x:c r="D38" s="21"/>
      <x:c r="E38" s="24" t="s">
        <x:v>55</x:v>
      </x:c>
      <x:c r="F38" s="33">
        <x:f>KANWIL!F38+SURABAYA!F38+KEDIRI!F38+MALANG!F38+MADIUN!F38+BANYUWANGI!F38</x:f>
        <x:v>1321025775.00</x:v>
      </x:c>
      <x:c r="G38" s="33">
        <x:f>KANWIL!G38+SURABAYA!G38+KEDIRI!G38+MALANG!G38+MADIUN!G38+BANYUWANGI!G38</x:f>
        <x:v>0.00</x:v>
      </x:c>
      <x:c r="H38" s="33">
        <x:f>KANWIL!H38+SURABAYA!H38+KEDIRI!H38+MALANG!H38+MADIUN!H38+BANYUWANGI!H38</x:f>
        <x:v>27088272.00</x:v>
      </x:c>
      <x:c r="I38" s="33">
        <x:f>KANWIL!I38+SURABAYA!I38+KEDIRI!I38+MALANG!I38+MADIUN!I38+BANYUWANGI!I38</x:f>
        <x:v>34863319.00</x:v>
      </x:c>
      <x:c r="J38" s="33">
        <x:f>KANWIL!J38+SURABAYA!J38+KEDIRI!J38+MALANG!J38+MADIUN!J38+BANYUWANGI!J38</x:f>
        <x:v>153398927.00</x:v>
      </x:c>
      <x:c r="K38" s="33">
        <x:f>SUM(F38:J38)</x:f>
        <x:v>1536376293.00</x:v>
      </x:c>
      <x:c r="L38" s="33"/>
      <x:c r="M38" s="33"/>
      <x:c r="N38" s="33"/>
      <x:c r="O38" s="33"/>
      <x:c r="P38" s="33"/>
      <x:c r="Q38" s="33"/>
      <x:c r="R38" s="19"/>
      <x:c r="S38" s="37"/>
    </x:row>
    <x:row r="39" s="20" customFormat="1">
      <x:c r="A39" s="20">
        <x:v>105</x:v>
      </x:c>
      <x:c r="B39" s="7"/>
      <x:c r="C39" s="8"/>
      <x:c r="D39" s="21"/>
      <x:c r="E39" s="24" t="s">
        <x:v>56</x:v>
      </x:c>
      <x:c r="F39" s="33">
        <x:f>KANWIL!F39+SURABAYA!F39+KEDIRI!F39+MALANG!F39+MADIUN!F39+BANYUWANGI!F39</x:f>
        <x:v>335276936.00</x:v>
      </x:c>
      <x:c r="G39" s="33">
        <x:f>KANWIL!G39+SURABAYA!G39+KEDIRI!G39+MALANG!G39+MADIUN!G39+BANYUWANGI!G39</x:f>
        <x:v>0.00</x:v>
      </x:c>
      <x:c r="H39" s="33">
        <x:f>KANWIL!H39+SURABAYA!H39+KEDIRI!H39+MALANG!H39+MADIUN!H39+BANYUWANGI!H39</x:f>
        <x:v>6875015.00</x:v>
      </x:c>
      <x:c r="I39" s="33">
        <x:f>KANWIL!I39+SURABAYA!I39+KEDIRI!I39+MALANG!I39+MADIUN!I39+BANYUWANGI!I39</x:f>
        <x:v>8848326.00</x:v>
      </x:c>
      <x:c r="J39" s="33">
        <x:f>KANWIL!J39+SURABAYA!J39+KEDIRI!J39+MALANG!J39+MADIUN!J39+BANYUWANGI!J39</x:f>
        <x:v>38932718.00</x:v>
      </x:c>
      <x:c r="K39" s="33">
        <x:f>SUM(F39:J39)</x:f>
        <x:v>389932995.00</x:v>
      </x:c>
      <x:c r="L39" s="33"/>
      <x:c r="M39" s="33"/>
      <x:c r="N39" s="33"/>
      <x:c r="O39" s="33"/>
      <x:c r="P39" s="33"/>
      <x:c r="Q39" s="33"/>
      <x:c r="R39" s="19"/>
      <x:c r="S39" s="37"/>
    </x:row>
    <x:row r="40" s="20" customFormat="1">
      <x:c r="A40" s="20">
        <x:v>106</x:v>
      </x:c>
      <x:c r="B40" s="7"/>
      <x:c r="C40" s="8"/>
      <x:c r="D40" s="21"/>
      <x:c r="E40" s="24" t="s">
        <x:v>57</x:v>
      </x:c>
      <x:c r="F40" s="33">
        <x:f>KANWIL!F40+SURABAYA!F40+KEDIRI!F40+MALANG!F40+MADIUN!F40+BANYUWANGI!F40</x:f>
        <x:v>475623528.00</x:v>
      </x:c>
      <x:c r="G40" s="33">
        <x:f>KANWIL!G40+SURABAYA!G40+KEDIRI!G40+MALANG!G40+MADIUN!G40+BANYUWANGI!G40</x:f>
        <x:v>0.00</x:v>
      </x:c>
      <x:c r="H40" s="33">
        <x:f>KANWIL!H40+SURABAYA!H40+KEDIRI!H40+MALANG!H40+MADIUN!H40+BANYUWANGI!H40</x:f>
        <x:v>9752891.00</x:v>
      </x:c>
      <x:c r="I40" s="33">
        <x:f>KANWIL!I40+SURABAYA!I40+KEDIRI!I40+MALANG!I40+MADIUN!I40+BANYUWANGI!I40</x:f>
        <x:v>12552226.00</x:v>
      </x:c>
      <x:c r="J40" s="33">
        <x:f>KANWIL!J40+SURABAYA!J40+KEDIRI!J40+MALANG!J40+MADIUN!J40+BANYUWANGI!J40</x:f>
        <x:v>55229913.00</x:v>
      </x:c>
      <x:c r="K40" s="33">
        <x:f>SUM(F40:J40)</x:f>
        <x:v>553158558.00</x:v>
      </x:c>
      <x:c r="L40" s="33"/>
      <x:c r="M40" s="33"/>
      <x:c r="N40" s="33"/>
      <x:c r="O40" s="33"/>
      <x:c r="P40" s="33"/>
      <x:c r="Q40" s="33"/>
      <x:c r="R40" s="19"/>
      <x:c r="S40" s="37"/>
    </x:row>
    <x:row r="41" s="20" customFormat="1">
      <x:c r="A41" s="20">
        <x:v>107</x:v>
      </x:c>
      <x:c r="B41" s="7"/>
      <x:c r="C41" s="8"/>
      <x:c r="D41" s="21"/>
      <x:c r="E41" s="24" t="s">
        <x:v>58</x:v>
      </x:c>
      <x:c r="F41" s="33">
        <x:f>KANWIL!F41+SURABAYA!F41+KEDIRI!F41+MALANG!F41+MADIUN!F41+BANYUWANGI!F41</x:f>
        <x:v>69028547.00</x:v>
      </x:c>
      <x:c r="G41" s="33">
        <x:f>KANWIL!G41+SURABAYA!G41+KEDIRI!G41+MALANG!G41+MADIUN!G41+BANYUWANGI!G41</x:f>
        <x:v>0.00</x:v>
      </x:c>
      <x:c r="H41" s="33">
        <x:f>KANWIL!H41+SURABAYA!H41+KEDIRI!H41+MALANG!H41+MADIUN!H41+BANYUWANGI!H41</x:f>
        <x:v>1415464.00</x:v>
      </x:c>
      <x:c r="I41" s="33">
        <x:f>KANWIL!I41+SURABAYA!I41+KEDIRI!I41+MALANG!I41+MADIUN!I41+BANYUWANGI!I41</x:f>
        <x:v>1821739.00</x:v>
      </x:c>
      <x:c r="J41" s="33">
        <x:f>KANWIL!J41+SURABAYA!J41+KEDIRI!J41+MALANG!J41+MADIUN!J41+BANYUWANGI!J41</x:f>
        <x:v>8015669.00</x:v>
      </x:c>
      <x:c r="K41" s="33">
        <x:f>SUM(F41:J41)</x:f>
        <x:v>80281419.00</x:v>
      </x:c>
      <x:c r="L41" s="33"/>
      <x:c r="M41" s="33"/>
      <x:c r="N41" s="33"/>
      <x:c r="O41" s="33"/>
      <x:c r="P41" s="33"/>
      <x:c r="Q41" s="33"/>
      <x:c r="R41" s="19"/>
      <x:c r="S41" s="37"/>
    </x:row>
    <x:row r="42" s="20" customFormat="1">
      <x:c r="A42" s="20">
        <x:v>108</x:v>
      </x:c>
      <x:c r="B42" s="7"/>
      <x:c r="C42" s="8"/>
      <x:c r="D42" s="21"/>
      <x:c r="E42" s="24" t="s">
        <x:v>59</x:v>
      </x:c>
      <x:c r="F42" s="33">
        <x:f>KANWIL!F42+SURABAYA!F42+KEDIRI!F42+MALANG!F42+MADIUN!F42+BANYUWANGI!F42</x:f>
        <x:v>159944196.00</x:v>
      </x:c>
      <x:c r="G42" s="33">
        <x:f>KANWIL!G42+SURABAYA!G42+KEDIRI!G42+MALANG!G42+MADIUN!G42+BANYUWANGI!G42</x:f>
        <x:v>0.00</x:v>
      </x:c>
      <x:c r="H42" s="33">
        <x:f>KANWIL!H42+SURABAYA!H42+KEDIRI!H42+MALANG!H42+MADIUN!H42+BANYUWANGI!H42</x:f>
        <x:v>3279733.00</x:v>
      </x:c>
      <x:c r="I42" s="33">
        <x:f>KANWIL!I42+SURABAYA!I42+KEDIRI!I42+MALANG!I42+MADIUN!I42+BANYUWANGI!I42</x:f>
        <x:v>4221101.00</x:v>
      </x:c>
      <x:c r="J42" s="33">
        <x:f>KANWIL!J42+SURABAYA!J42+KEDIRI!J42+MALANG!J42+MADIUN!J42+BANYUWANGI!J42</x:f>
        <x:v>18572892.00</x:v>
      </x:c>
      <x:c r="K42" s="33">
        <x:f>SUM(F42:J42)</x:f>
        <x:v>186017922.00</x:v>
      </x:c>
      <x:c r="L42" s="33"/>
      <x:c r="M42" s="33"/>
      <x:c r="N42" s="33"/>
      <x:c r="O42" s="33"/>
      <x:c r="P42" s="33"/>
      <x:c r="Q42" s="33"/>
      <x:c r="R42" s="19"/>
      <x:c r="S42" s="37"/>
    </x:row>
    <x:row r="43" s="20" customFormat="1">
      <x:c r="A43" s="20">
        <x:v>109</x:v>
      </x:c>
      <x:c r="B43" s="7"/>
      <x:c r="C43" s="8"/>
      <x:c r="D43" s="21"/>
      <x:c r="E43" s="24" t="s">
        <x:v>60</x:v>
      </x:c>
      <x:c r="F43" s="33">
        <x:f>KANWIL!F43+SURABAYA!F43+KEDIRI!F43+MALANG!F43+MADIUN!F43+BANYUWANGI!F43</x:f>
        <x:v>2027967651.00</x:v>
      </x:c>
      <x:c r="G43" s="33">
        <x:f>KANWIL!G43+SURABAYA!G43+KEDIRI!G43+MALANG!G43+MADIUN!G43+BANYUWANGI!G43</x:f>
        <x:v>0.00</x:v>
      </x:c>
      <x:c r="H43" s="33">
        <x:f>KANWIL!H43+SURABAYA!H43+KEDIRI!H43+MALANG!H43+MADIUN!H43+BANYUWANGI!H43</x:f>
        <x:v>41584457.00</x:v>
      </x:c>
      <x:c r="I43" s="33">
        <x:f>KANWIL!I43+SURABAYA!I43+KEDIRI!I43+MALANG!I43+MADIUN!I43+BANYUWANGI!I43</x:f>
        <x:v>53520289.00</x:v>
      </x:c>
      <x:c r="J43" s="33">
        <x:f>KANWIL!J43+SURABAYA!J43+KEDIRI!J43+MALANG!J43+MADIUN!J43+BANYUWANGI!J43</x:f>
        <x:v>235489774.00</x:v>
      </x:c>
      <x:c r="K43" s="33">
        <x:f>SUM(F43:J43)</x:f>
        <x:v>2358562171.00</x:v>
      </x:c>
      <x:c r="L43" s="33">
        <x:f>KANWIL!L43+SURABAYA!L43+KEDIRI!L43+MALANG!L43+MADIUN!L43+BANYUWANGI!L43</x:f>
        <x:v>1507369058.63000002</x:v>
      </x:c>
      <x:c r="M43" s="33"/>
      <x:c r="N43" s="33">
        <x:f>KANWIL!N43+SURABAYA!N43+KEDIRI!N43+MALANG!N43+MADIUN!N43+BANYUWANGI!N43</x:f>
        <x:v>19178717.024337627848464886387753950866</x:v>
      </x:c>
      <x:c r="O43" s="33">
        <x:f>KANWIL!O43+SURABAYA!O43+KEDIRI!O43+MALANG!O43+MADIUN!O43+BANYUWANGI!O43</x:f>
        <x:v>35692601.853013258853346090666957128530</x:v>
      </x:c>
      <x:c r="P43" s="33">
        <x:f>KANWIL!P43+SURABAYA!P43+KEDIRI!P43+MALANG!P43+MADIUN!P43+BANYUWANGI!P43</x:f>
        <x:v>634556890.372649099298189022944407369618</x:v>
      </x:c>
      <x:c r="Q43" s="33">
        <x:f>N43+O43+P43</x:f>
        <x:v>689428209.249999986</x:v>
      </x:c>
      <x:c r="R43" s="19">
        <x:f>SUM(L43:P43)</x:f>
        <x:v>2196797267.880000006</x:v>
      </x:c>
      <x:c r="S43" s="37">
        <x:f>IF(K43=0,0,R43/K43)</x:f>
        <x:v>0.931413763389830950</x:v>
      </x:c>
    </x:row>
    <x:row r="44" s="20" customFormat="1">
      <x:c r="A44" s="20">
        <x:v>110</x:v>
      </x:c>
      <x:c r="B44" s="7"/>
      <x:c r="C44" s="8"/>
      <x:c r="D44" s="21"/>
      <x:c r="E44" s="24" t="s">
        <x:v>61</x:v>
      </x:c>
      <x:c r="F44" s="33">
        <x:f>KANWIL!F44+SURABAYA!F44+KEDIRI!F44+MALANG!F44+MADIUN!F44+BANYUWANGI!F44</x:f>
        <x:v>6863069834.00</x:v>
      </x:c>
      <x:c r="G44" s="33">
        <x:f>KANWIL!G44+SURABAYA!G44+KEDIRI!G44+MALANG!G44+MADIUN!G44+BANYUWANGI!G44</x:f>
        <x:v>0.00</x:v>
      </x:c>
      <x:c r="H44" s="33">
        <x:f>KANWIL!H44+SURABAYA!H44+KEDIRI!H44+MALANG!H44+MADIUN!H44+BANYUWANGI!H44</x:f>
        <x:v>140730562.00</x:v>
      </x:c>
      <x:c r="I44" s="33">
        <x:f>KANWIL!I44+SURABAYA!I44+KEDIRI!I44+MALANG!I44+MADIUN!I44+BANYUWANGI!I44</x:f>
        <x:v>181123936.00</x:v>
      </x:c>
      <x:c r="J44" s="33">
        <x:f>KANWIL!J44+SURABAYA!J44+KEDIRI!J44+MALANG!J44+MADIUN!J44+BANYUWANGI!J44</x:f>
        <x:v>796947017.00</x:v>
      </x:c>
      <x:c r="K44" s="33">
        <x:f>SUM(F44:J44)</x:f>
        <x:v>7981871349.00</x:v>
      </x:c>
      <x:c r="L44" s="33">
        <x:f>KANWIL!L44+SURABAYA!L44+KEDIRI!L44+MALANG!L44+MADIUN!L44+BANYUWANGI!L44</x:f>
        <x:v>981196774.07999999</x:v>
      </x:c>
      <x:c r="M44" s="33"/>
      <x:c r="N44" s="33">
        <x:f>KANWIL!N44+SURABAYA!N44+KEDIRI!N44+MALANG!N44+MADIUN!N44+BANYUWANGI!N44</x:f>
        <x:v>11178206.133693800604162152797405002613</x:v>
      </x:c>
      <x:c r="O44" s="33">
        <x:f>KANWIL!O44+SURABAYA!O44+KEDIRI!O44+MALANG!O44+MADIUN!O44+BANYUWANGI!O44</x:f>
        <x:v>28157711.976174338366248519809922788824</x:v>
      </x:c>
      <x:c r="P44" s="33">
        <x:f>KANWIL!P44+SURABAYA!P44+KEDIRI!P44+MALANG!P44+MADIUN!P44+BANYUWANGI!P44</x:f>
        <x:v>431731763.490131864029589327391986320251</x:v>
      </x:c>
      <x:c r="Q44" s="33">
        <x:f>N44+O44+P44</x:f>
        <x:v>471067681.600000003</x:v>
      </x:c>
      <x:c r="R44" s="19">
        <x:f>SUM(L44:P44)</x:f>
        <x:v>1452264455.679999993</x:v>
      </x:c>
      <x:c r="S44" s="37">
        <x:f>IF(K44=0,0,R44/K44)</x:f>
        <x:v>0.181945359951453659</x:v>
      </x:c>
    </x:row>
    <x:row r="45" s="20" customFormat="1">
      <x:c r="A45" s="20">
        <x:v>111</x:v>
      </x:c>
      <x:c r="B45" s="7"/>
      <x:c r="C45" s="8"/>
      <x:c r="D45" s="21"/>
      <x:c r="E45" s="24" t="s">
        <x:v>62</x:v>
      </x:c>
      <x:c r="F45" s="33">
        <x:f>KANWIL!F45+SURABAYA!F45+KEDIRI!F45+MALANG!F45+MADIUN!F45+BANYUWANGI!F45</x:f>
        <x:v>313456462.00</x:v>
      </x:c>
      <x:c r="G45" s="33">
        <x:f>KANWIL!G45+SURABAYA!G45+KEDIRI!G45+MALANG!G45+MADIUN!G45+BANYUWANGI!G45</x:f>
        <x:v>0.00</x:v>
      </x:c>
      <x:c r="H45" s="33">
        <x:f>KANWIL!H45+SURABAYA!H45+KEDIRI!H45+MALANG!H45+MADIUN!H45+BANYUWANGI!H45</x:f>
        <x:v>6427576.00</x:v>
      </x:c>
      <x:c r="I45" s="33">
        <x:f>KANWIL!I45+SURABAYA!I45+KEDIRI!I45+MALANG!I45+MADIUN!I45+BANYUWANGI!I45</x:f>
        <x:v>8272461.00</x:v>
      </x:c>
      <x:c r="J45" s="33">
        <x:f>KANWIL!J45+SURABAYA!J45+KEDIRI!J45+MALANG!J45+MADIUN!J45+BANYUWANGI!J45</x:f>
        <x:v>36398899.00</x:v>
      </x:c>
      <x:c r="K45" s="33">
        <x:f>SUM(F45:J45)</x:f>
        <x:v>364555398.00</x:v>
      </x:c>
      <x:c r="L45" s="33">
        <x:f>KANWIL!L45+SURABAYA!L45+KEDIRI!L45+MALANG!L45+MADIUN!L45+BANYUWANGI!L45</x:f>
        <x:v>178401298.599999999</x:v>
      </x:c>
      <x:c r="M45" s="33"/>
      <x:c r="N45" s="33">
        <x:f>KANWIL!N45+SURABAYA!N45+KEDIRI!N45+MALANG!N45+MADIUN!N45+BANYUWANGI!N45</x:f>
        <x:v>1869203.516476715438896604434640683381</x:v>
      </x:c>
      <x:c r="O45" s="33">
        <x:f>KANWIL!O45+SURABAYA!O45+KEDIRI!O45+MALANG!O45+MADIUN!O45+BANYUWANGI!O45</x:f>
        <x:v>3876255.700684844499765949159849468604</x:v>
      </x:c>
      <x:c r="P45" s="33">
        <x:f>KANWIL!P45+SURABAYA!P45+KEDIRI!P45+MALANG!P45+MADIUN!P45+BANYUWANGI!P45</x:f>
        <x:v>72569909.182838440061337446405408468469</x:v>
      </x:c>
      <x:c r="Q45" s="33">
        <x:f>N45+O45+P45</x:f>
        <x:v>78315368.400000000</x:v>
      </x:c>
      <x:c r="R45" s="19">
        <x:f>SUM(L45:P45)</x:f>
        <x:v>256716666.999999999</x:v>
      </x:c>
      <x:c r="S45" s="37">
        <x:f>IF(K45=0,0,R45/K45)</x:f>
        <x:v>0.704191100744584226</x:v>
      </x:c>
    </x:row>
    <x:row r="46" s="20" customFormat="1">
      <x:c r="A46" s="20">
        <x:v>112</x:v>
      </x:c>
      <x:c r="B46" s="7"/>
      <x:c r="C46" s="8"/>
      <x:c r="D46" s="21"/>
      <x:c r="E46" s="24" t="s">
        <x:v>63</x:v>
      </x:c>
      <x:c r="F46" s="33">
        <x:f>KANWIL!F46+SURABAYA!F46+KEDIRI!F46+MALANG!F46+MADIUN!F46+BANYUWANGI!F46</x:f>
        <x:v>4718703168.00</x:v>
      </x:c>
      <x:c r="G46" s="33">
        <x:f>KANWIL!G46+SURABAYA!G46+KEDIRI!G46+MALANG!G46+MADIUN!G46+BANYUWANGI!G46</x:f>
        <x:v>0.00</x:v>
      </x:c>
      <x:c r="H46" s="33">
        <x:f>KANWIL!H46+SURABAYA!H46+KEDIRI!H46+MALANG!H46+MADIUN!H46+BANYUWANGI!H46</x:f>
        <x:v>96759287.00</x:v>
      </x:c>
      <x:c r="I46" s="33">
        <x:f>KANWIL!I46+SURABAYA!I46+KEDIRI!I46+MALANG!I46+MADIUN!I46+BANYUWANGI!I46</x:f>
        <x:v>124531748.00</x:v>
      </x:c>
      <x:c r="J46" s="33">
        <x:f>KANWIL!J46+SURABAYA!J46+KEDIRI!J46+MALANG!J46+MADIUN!J46+BANYUWANGI!J46</x:f>
        <x:v>547940862.00</x:v>
      </x:c>
      <x:c r="K46" s="33">
        <x:f>SUM(F46:J46)</x:f>
        <x:v>5487935065.00</x:v>
      </x:c>
      <x:c r="L46" s="33">
        <x:f>KANWIL!L46+SURABAYA!L46+KEDIRI!L46+MALANG!L46+MADIUN!L46+BANYUWANGI!L46</x:f>
        <x:v>2325539304.63000000</x:v>
      </x:c>
      <x:c r="M46" s="33"/>
      <x:c r="N46" s="33">
        <x:f>KANWIL!N46+SURABAYA!N46+KEDIRI!N46+MALANG!N46+MADIUN!N46+BANYUWANGI!N46</x:f>
        <x:v>27118691.605015179678882847907721908410</x:v>
      </x:c>
      <x:c r="O46" s="33">
        <x:f>KANWIL!O46+SURABAYA!O46+KEDIRI!O46+MALANG!O46+MADIUN!O46+BANYUWANGI!O46</x:f>
        <x:v>52577543.566493025387515098770081788636</x:v>
      </x:c>
      <x:c r="P46" s="33">
        <x:f>KANWIL!P46+SURABAYA!P46+KEDIRI!P46+MALANG!P46+MADIUN!P46+BANYUWANGI!P46</x:f>
        <x:v>942122794.198491794933602053320882820999</x:v>
      </x:c>
      <x:c r="Q46" s="33">
        <x:f>N46+O46+P46</x:f>
        <x:v>1021819029.37000000</x:v>
      </x:c>
      <x:c r="R46" s="19">
        <x:f>SUM(L46:P46)</x:f>
        <x:v>3347358334.00000000</x:v>
      </x:c>
      <x:c r="S46" s="37">
        <x:f>IF(K46=0,0,R46/K46)</x:f>
        <x:v>0.609948604411921918</x:v>
      </x:c>
    </x:row>
    <x:row r="47" s="20" customFormat="1">
      <x:c r="A47" s="20">
        <x:v>113</x:v>
      </x:c>
      <x:c r="B47" s="7"/>
      <x:c r="C47" s="8"/>
      <x:c r="D47" s="21"/>
      <x:c r="E47" s="24" t="s">
        <x:v>64</x:v>
      </x:c>
      <x:c r="F47" s="33">
        <x:f>KANWIL!F47+SURABAYA!F47+KEDIRI!F47+MALANG!F47+MADIUN!F47+BANYUWANGI!F47</x:f>
        <x:v>109801507.00</x:v>
      </x:c>
      <x:c r="G47" s="33">
        <x:f>KANWIL!G47+SURABAYA!G47+KEDIRI!G47+MALANG!G47+MADIUN!G47+BANYUWANGI!G47</x:f>
        <x:v>0.00</x:v>
      </x:c>
      <x:c r="H47" s="33">
        <x:f>KANWIL!H47+SURABAYA!H47+KEDIRI!H47+MALANG!H47+MADIUN!H47+BANYUWANGI!H47</x:f>
        <x:v>2251533.00</x:v>
      </x:c>
      <x:c r="I47" s="33">
        <x:f>KANWIL!I47+SURABAYA!I47+KEDIRI!I47+MALANG!I47+MADIUN!I47+BANYUWANGI!I47</x:f>
        <x:v>2897782.00</x:v>
      </x:c>
      <x:c r="J47" s="33">
        <x:f>KANWIL!J47+SURABAYA!J47+KEDIRI!J47+MALANG!J47+MADIUN!J47+BANYUWANGI!J47</x:f>
        <x:v>12750269.00</x:v>
      </x:c>
      <x:c r="K47" s="33">
        <x:f>SUM(F47:J47)</x:f>
        <x:v>127701091.00</x:v>
      </x:c>
      <x:c r="L47" s="33"/>
      <x:c r="M47" s="33"/>
      <x:c r="N47" s="33"/>
      <x:c r="O47" s="33"/>
      <x:c r="P47" s="33"/>
      <x:c r="Q47" s="33"/>
      <x:c r="R47" s="19"/>
      <x:c r="S47" s="37"/>
    </x:row>
    <x:row r="48" s="20" customFormat="1">
      <x:c r="A48" s="20">
        <x:v>114</x:v>
      </x:c>
      <x:c r="B48" s="7"/>
      <x:c r="C48" s="8"/>
      <x:c r="D48" s="21"/>
      <x:c r="E48" s="24" t="s">
        <x:v>65</x:v>
      </x:c>
      <x:c r="F48" s="33">
        <x:f>KANWIL!F48+SURABAYA!F48+KEDIRI!F48+MALANG!F48+MADIUN!F48+BANYUWANGI!F48</x:f>
        <x:v>1053484460.00</x:v>
      </x:c>
      <x:c r="G48" s="33">
        <x:f>KANWIL!G48+SURABAYA!G48+KEDIRI!G48+MALANG!G48+MADIUN!G48+BANYUWANGI!G48</x:f>
        <x:v>0.00</x:v>
      </x:c>
      <x:c r="H48" s="33">
        <x:f>KANWIL!H48+SURABAYA!H48+KEDIRI!H48+MALANG!H48+MADIUN!H48+BANYUWANGI!H48</x:f>
        <x:v>21602207.00</x:v>
      </x:c>
      <x:c r="I48" s="33">
        <x:f>KANWIL!I48+SURABAYA!I48+KEDIRI!I48+MALANG!I48+MADIUN!I48+BANYUWANGI!I48</x:f>
        <x:v>27802609.00</x:v>
      </x:c>
      <x:c r="J48" s="33">
        <x:f>KANWIL!J48+SURABAYA!J48+KEDIRI!J48+MALANG!J48+MADIUN!J48+BANYUWANGI!J48</x:f>
        <x:v>122331745.00</x:v>
      </x:c>
      <x:c r="K48" s="33">
        <x:f>SUM(F48:J48)</x:f>
        <x:v>1225221021.00</x:v>
      </x:c>
      <x:c r="L48" s="33"/>
      <x:c r="M48" s="33"/>
      <x:c r="N48" s="33"/>
      <x:c r="O48" s="33"/>
      <x:c r="P48" s="33"/>
      <x:c r="Q48" s="33"/>
      <x:c r="R48" s="19"/>
      <x:c r="S48" s="37"/>
    </x:row>
    <x:row r="49" s="20" customFormat="1">
      <x:c r="A49" s="20">
        <x:v>115</x:v>
      </x:c>
      <x:c r="B49" s="7"/>
      <x:c r="C49" s="8"/>
      <x:c r="D49" s="21"/>
      <x:c r="E49" s="24" t="s">
        <x:v>66</x:v>
      </x:c>
      <x:c r="F49" s="33">
        <x:f>KANWIL!F49+SURABAYA!F49+KEDIRI!F49+MALANG!F49+MADIUN!F49+BANYUWANGI!F49</x:f>
        <x:v>1290953987.00</x:v>
      </x:c>
      <x:c r="G49" s="33">
        <x:f>KANWIL!G49+SURABAYA!G49+KEDIRI!G49+MALANG!G49+MADIUN!G49+BANYUWANGI!G49</x:f>
        <x:v>0.00</x:v>
      </x:c>
      <x:c r="H49" s="33">
        <x:f>KANWIL!H49+SURABAYA!H49+KEDIRI!H49+MALANG!H49+MADIUN!H49+BANYUWANGI!H49</x:f>
        <x:v>26471636.00</x:v>
      </x:c>
      <x:c r="I49" s="33">
        <x:f>KANWIL!I49+SURABAYA!I49+KEDIRI!I49+MALANG!I49+MADIUN!I49+BANYUWANGI!I49</x:f>
        <x:v>34069692.00</x:v>
      </x:c>
      <x:c r="J49" s="33">
        <x:f>KANWIL!J49+SURABAYA!J49+KEDIRI!J49+MALANG!J49+MADIUN!J49+BANYUWANGI!J49</x:f>
        <x:v>149906959.00</x:v>
      </x:c>
      <x:c r="K49" s="33">
        <x:f>SUM(F49:J49)</x:f>
        <x:v>1501402274.00</x:v>
      </x:c>
      <x:c r="L49" s="33">
        <x:f>KANWIL!L49+SURABAYA!L49+KEDIRI!L49+MALANG!L49+MADIUN!L49+BANYUWANGI!L49</x:f>
        <x:v>691848060.599999997</x:v>
      </x:c>
      <x:c r="M49" s="33"/>
      <x:c r="N49" s="33">
        <x:f>KANWIL!N49+SURABAYA!N49+KEDIRI!N49+MALANG!N49+MADIUN!N49+BANYUWANGI!N49</x:f>
        <x:v>8064422.067250321606516955900108101577</x:v>
      </x:c>
      <x:c r="O49" s="33">
        <x:f>KANWIL!O49+SURABAYA!O49+KEDIRI!O49+MALANG!O49+MADIUN!O49+BANYUWANGI!O49</x:f>
        <x:v>15664395.881070947622615401274784284097</x:v>
      </x:c>
      <x:c r="P49" s="33">
        <x:f>KANWIL!P49+SURABAYA!P49+KEDIRI!P49+MALANG!P49+MADIUN!P49+BANYUWANGI!P49</x:f>
        <x:v>272473121.451678732770867642824714294807</x:v>
      </x:c>
      <x:c r="Q49" s="33">
        <x:f>N49+O49+P49</x:f>
        <x:v>296201939.400000002</x:v>
      </x:c>
      <x:c r="R49" s="19">
        <x:f>SUM(L49:P49)</x:f>
        <x:v>988049999.999999999</x:v>
      </x:c>
      <x:c r="S49" s="37">
        <x:f>IF(K49=0,0,R49/K49)</x:f>
        <x:v>0.658084789872910502</x:v>
      </x:c>
    </x:row>
    <x:row r="50" s="20" customFormat="1">
      <x:c r="A50" s="20">
        <x:v>124</x:v>
      </x:c>
      <x:c r="B50" s="7"/>
      <x:c r="C50" s="8"/>
      <x:c r="D50" s="21"/>
      <x:c r="E50" s="24" t="s">
        <x:v>67</x:v>
      </x:c>
      <x:c r="F50" s="33">
        <x:f>KANWIL!F50+SURABAYA!F50+KEDIRI!F50+MALANG!F50+MADIUN!F50+BANYUWANGI!F50</x:f>
        <x:v>267732673.00</x:v>
      </x:c>
      <x:c r="G50" s="33">
        <x:f>KANWIL!G50+SURABAYA!G50+KEDIRI!G50+MALANG!G50+MADIUN!G50+BANYUWANGI!G50</x:f>
        <x:v>0.00</x:v>
      </x:c>
      <x:c r="H50" s="33">
        <x:f>KANWIL!H50+SURABAYA!H50+KEDIRI!H50+MALANG!H50+MADIUN!H50+BANYUWANGI!H50</x:f>
        <x:v>5489988.00</x:v>
      </x:c>
      <x:c r="I50" s="33">
        <x:f>KANWIL!I50+SURABAYA!I50+KEDIRI!I50+MALANG!I50+MADIUN!I50+BANYUWANGI!I50</x:f>
        <x:v>7065759.00</x:v>
      </x:c>
      <x:c r="J50" s="33">
        <x:f>KANWIL!J50+SURABAYA!J50+KEDIRI!J50+MALANG!J50+MADIUN!J50+BANYUWANGI!J50</x:f>
        <x:v>31089406.00</x:v>
      </x:c>
      <x:c r="K50" s="33">
        <x:f>SUM(F50:J50)</x:f>
        <x:v>311377826.00</x:v>
      </x:c>
      <x:c r="L50" s="33"/>
      <x:c r="M50" s="33"/>
      <x:c r="N50" s="33"/>
      <x:c r="O50" s="33"/>
      <x:c r="P50" s="33"/>
      <x:c r="Q50" s="33"/>
      <x:c r="R50" s="19"/>
      <x:c r="S50" s="37"/>
    </x:row>
    <x:row r="51" s="20" customFormat="1">
      <x:c r="A51" s="20">
        <x:v>143</x:v>
      </x:c>
      <x:c r="B51" s="7"/>
      <x:c r="C51" s="8"/>
      <x:c r="D51" s="21"/>
      <x:c r="E51" s="24" t="s">
        <x:v>68</x:v>
      </x:c>
      <x:c r="F51" s="33">
        <x:f>KANWIL!F51+SURABAYA!F51+KEDIRI!F51+MALANG!F51+MADIUN!F51+BANYUWANGI!F51</x:f>
        <x:v>0.00</x:v>
      </x:c>
      <x:c r="G51" s="33">
        <x:f>KANWIL!G51+SURABAYA!G51+KEDIRI!G51+MALANG!G51+MADIUN!G51+BANYUWANGI!G51</x:f>
        <x:v>0.00</x:v>
      </x:c>
      <x:c r="H51" s="33">
        <x:f>KANWIL!H51+SURABAYA!H51+KEDIRI!H51+MALANG!H51+MADIUN!H51+BANYUWANGI!H51</x:f>
        <x:v>0.00</x:v>
      </x:c>
      <x:c r="I51" s="33">
        <x:f>KANWIL!I51+SURABAYA!I51+KEDIRI!I51+MALANG!I51+MADIUN!I51+BANYUWANGI!I51</x:f>
        <x:v>0.00</x:v>
      </x:c>
      <x:c r="J51" s="33">
        <x:f>KANWIL!J51+SURABAYA!J51+KEDIRI!J51+MALANG!J51+MADIUN!J51+BANYUWANGI!J51</x:f>
        <x:v>0.00</x:v>
      </x:c>
      <x:c r="K51" s="33">
        <x:f>SUM(F51:J51)</x:f>
        <x:v>0.00</x:v>
      </x:c>
      <x:c r="L51" s="33">
        <x:f>KANWIL!L51+SURABAYA!L51+KEDIRI!L51+MALANG!L51+MADIUN!L51+BANYUWANGI!L51</x:f>
        <x:v>-867581.56</x:v>
      </x:c>
      <x:c r="M51" s="33"/>
      <x:c r="N51" s="33">
        <x:f>KANWIL!N51+SURABAYA!N51+KEDIRI!N51+MALANG!N51+MADIUN!N51+BANYUWANGI!N51</x:f>
        <x:v>6236.093466839135110638320492389380</x:v>
      </x:c>
      <x:c r="O51" s="33">
        <x:f>KANWIL!O51+SURABAYA!O51+KEDIRI!O51+MALANG!O51+MADIUN!O51+BANYUWANGI!O51</x:f>
        <x:v>11786.252027214538030570013773793109</x:v>
      </x:c>
      <x:c r="P51" s="33">
        <x:f>KANWIL!P51+SURABAYA!P51+KEDIRI!P51+MALANG!P51+MADIUN!P51+BANYUWANGI!P51</x:f>
        <x:v>849559.214505946326858791665732949928</x:v>
      </x:c>
      <x:c r="Q51" s="33">
        <x:f>N51+O51+P51</x:f>
        <x:v>867581.56</x:v>
      </x:c>
      <x:c r="R51" s="19">
        <x:f>SUM(L51:P51)</x:f>
        <x:v>0.00</x:v>
      </x:c>
      <x:c r="S51" s="37">
        <x:v>0.00</x:v>
      </x:c>
    </x:row>
    <x:row r="52" s="20" customFormat="1">
      <x:c r="A52" s="20">
        <x:v>0</x:v>
      </x:c>
      <x:c r="B52" s="7"/>
      <x:c r="C52" s="8"/>
      <x:c r="D52" s="21"/>
      <x:c r="E52" s="24" t="s">
        <x:v>69</x:v>
      </x:c>
      <x:c r="F52" s="33">
        <x:f>KANWIL!F52+SURABAYA!F52+KEDIRI!F52+MALANG!F52+MADIUN!F52+BANYUWANGI!F52</x:f>
        <x:v>610008373.00</x:v>
      </x:c>
      <x:c r="G52" s="33">
        <x:f>KANWIL!G52+SURABAYA!G52+KEDIRI!G52+MALANG!G52+MADIUN!G52+BANYUWANGI!G52</x:f>
        <x:v>0.00</x:v>
      </x:c>
      <x:c r="H52" s="33">
        <x:f>KANWIL!H52+SURABAYA!H52+KEDIRI!H52+MALANG!H52+MADIUN!H52+BANYUWANGI!H52</x:f>
        <x:v>12508516.00</x:v>
      </x:c>
      <x:c r="I52" s="33">
        <x:f>KANWIL!I52+SURABAYA!I52+KEDIRI!I52+MALANG!I52+MADIUN!I52+BANYUWANGI!I52</x:f>
        <x:v>16098789.00</x:v>
      </x:c>
      <x:c r="J52" s="33">
        <x:f>KANWIL!J52+SURABAYA!J52+KEDIRI!J52+MALANG!J52+MADIUN!J52+BANYUWANGI!J52</x:f>
        <x:v>70834826.00</x:v>
      </x:c>
      <x:c r="K52" s="33">
        <x:f>SUM(F52:J52)</x:f>
        <x:v>709450504.00</x:v>
      </x:c>
      <x:c r="L52" s="33">
        <x:f>KANWIL!L52+SURABAYA!L52+KEDIRI!L52+MALANG!L52+MADIUN!L52+BANYUWANGI!L52</x:f>
        <x:v>412267853.730000007</x:v>
      </x:c>
      <x:c r="M52" s="33"/>
      <x:c r="N52" s="33">
        <x:f>KANWIL!N52+SURABAYA!N52+KEDIRI!N52+MALANG!N52+MADIUN!N52+BANYUWANGI!N52</x:f>
        <x:v>4889444.281580070749464737792927259395</x:v>
      </x:c>
      <x:c r="O52" s="33">
        <x:f>KANWIL!O52+SURABAYA!O52+KEDIRI!O52+MALANG!O52+MADIUN!O52+BANYUWANGI!O52</x:f>
        <x:v>9432623.792946974387141990894543931625</x:v>
      </x:c>
      <x:c r="P52" s="33">
        <x:f>KANWIL!P52+SURABAYA!P52+KEDIRI!P52+MALANG!P52+MADIUN!P52+BANYUWANGI!P52</x:f>
        <x:v>168260413.195472957863393271312292155298</x:v>
      </x:c>
      <x:c r="Q52" s="33">
        <x:f>N52+O52+P52</x:f>
        <x:v>182582481.270000003</x:v>
      </x:c>
      <x:c r="R52" s="19">
        <x:f>SUM(L52:P52)</x:f>
        <x:v>594850335.000000010</x:v>
      </x:c>
      <x:c r="S52" s="37">
        <x:f>IF(K52=0,0,R52/K52)</x:f>
        <x:v>0.838466294189848105</x:v>
      </x:c>
    </x:row>
    <x:row r="53" s="23" customFormat="1">
      <x:c r="B53" s="12">
        <x:v>21</x:v>
      </x:c>
      <x:c r="C53" s="8" t="s">
        <x:v>34</x:v>
      </x:c>
      <x:c r="D53" s="14"/>
      <x:c r="E53" s="15" t="s">
        <x:v>70</x:v>
      </x:c>
      <x:c r="F53" s="32">
        <x:f>SUM(F30:F52)</x:f>
        <x:v>40025922372.00</x:v>
      </x:c>
      <x:c r="G53" s="32">
        <x:f>SUM(G30:G52)</x:f>
        <x:v>0.00</x:v>
      </x:c>
      <x:c r="H53" s="32">
        <x:f>SUM(H30:H52)</x:f>
        <x:v>820750873.00</x:v>
      </x:c>
      <x:c r="I53" s="32">
        <x:f>SUM(I30:I52)</x:f>
        <x:v>1056327972.00</x:v>
      </x:c>
      <x:c r="J53" s="32">
        <x:f>SUM(J30:J52)</x:f>
        <x:v>4647852957.00</x:v>
      </x:c>
      <x:c r="K53" s="32">
        <x:f>SUM(K30:K52)</x:f>
        <x:v>46550854174.00</x:v>
      </x:c>
      <x:c r="L53" s="32">
        <x:f>SUM(L30:L52)</x:f>
        <x:v>15070371939.6100001008</x:v>
      </x:c>
      <x:c r="M53" s="32"/>
      <x:c r="N53" s="32">
        <x:f>SUM(N30:N52)</x:f>
        <x:v>180737492.182869605723922482809202315679</x:v>
      </x:c>
      <x:c r="O53" s="32">
        <x:f>SUM(O30:O52)</x:f>
        <x:v>349591986.217968908633972673330436629533</x:v>
      </x:c>
      <x:c r="P53" s="32">
        <x:f>SUM(P30:P52)</x:f>
        <x:v>6147547452.709161540242104843851696326173</x:v>
      </x:c>
      <x:c r="Q53" s="32">
        <x:f>SUM(Q30:Q52)</x:f>
        <x:v>6677876931.1100000546</x:v>
      </x:c>
      <x:c r="R53" s="16">
        <x:f>SUM(R30:R52)</x:f>
        <x:v>21748248870.7200001554</x:v>
      </x:c>
      <x:c r="S53" s="37">
        <x:f>IF(K53=0,0,R53/K53)</x:f>
        <x:v>0.467193336333386271</x:v>
      </x:c>
    </x:row>
    <x:row r="54" s="20" customFormat="1">
      <x:c r="B54" s="7"/>
      <x:c r="C54" s="8" t="s">
        <x:v>36</x:v>
      </x:c>
      <x:c r="D54" s="21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19"/>
      <x:c r="S54" s="19"/>
    </x:row>
    <x:row r="55" s="20" customFormat="1">
      <x:c r="B55" s="7"/>
      <x:c r="C55" s="8" t="s">
        <x:v>29</x:v>
      </x:c>
      <x:c r="D55" s="21"/>
      <x:c r="E55" s="22" t="s">
        <x:v>71</x:v>
      </x:c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19"/>
      <x:c r="S55" s="19"/>
    </x:row>
    <x:row r="56" s="20" customFormat="1">
      <x:c r="A56" s="20">
        <x:v>169</x:v>
      </x:c>
      <x:c r="B56" s="7"/>
      <x:c r="C56" s="8"/>
      <x:c r="D56" s="21"/>
      <x:c r="E56" s="24" t="s">
        <x:v>72</x:v>
      </x:c>
      <x:c r="F56" s="33">
        <x:f>KANWIL!F56+SURABAYA!F56+KEDIRI!F56+MALANG!F56+MADIUN!F56+BANYUWANGI!F56</x:f>
        <x:v>436599.00</x:v>
      </x:c>
      <x:c r="G56" s="33">
        <x:f>KANWIL!G56+SURABAYA!G56+KEDIRI!G56+MALANG!G56+MADIUN!G56+BANYUWANGI!G56</x:f>
        <x:v>0.00</x:v>
      </x:c>
      <x:c r="H56" s="33">
        <x:f>KANWIL!H56+SURABAYA!H56+KEDIRI!H56+MALANG!H56+MADIUN!H56+BANYUWANGI!H56</x:f>
        <x:v>8953.00</x:v>
      </x:c>
      <x:c r="I56" s="33">
        <x:f>KANWIL!I56+SURABAYA!I56+KEDIRI!I56+MALANG!I56+MADIUN!I56+BANYUWANGI!I56</x:f>
        <x:v>11522.00</x:v>
      </x:c>
      <x:c r="J56" s="33">
        <x:f>KANWIL!J56+SURABAYA!J56+KEDIRI!J56+MALANG!J56+MADIUN!J56+BANYUWANGI!J56</x:f>
        <x:v>50698.00</x:v>
      </x:c>
      <x:c r="K56" s="33">
        <x:f>SUM(F56:J56)</x:f>
        <x:v>507772.00</x:v>
      </x:c>
      <x:c r="L56" s="33"/>
      <x:c r="M56" s="33"/>
      <x:c r="N56" s="33"/>
      <x:c r="O56" s="33"/>
      <x:c r="P56" s="33"/>
      <x:c r="Q56" s="33"/>
      <x:c r="R56" s="19"/>
      <x:c r="S56" s="37"/>
    </x:row>
    <x:row r="57" s="20" customFormat="1">
      <x:c r="A57" s="20">
        <x:v>171</x:v>
      </x:c>
      <x:c r="B57" s="7"/>
      <x:c r="C57" s="8"/>
      <x:c r="D57" s="21"/>
      <x:c r="E57" s="24" t="s">
        <x:v>73</x:v>
      </x:c>
      <x:c r="F57" s="33">
        <x:f>KANWIL!F57+SURABAYA!F57+KEDIRI!F57+MALANG!F57+MADIUN!F57+BANYUWANGI!F57</x:f>
        <x:v>8349505.00</x:v>
      </x:c>
      <x:c r="G57" s="33">
        <x:f>KANWIL!G57+SURABAYA!G57+KEDIRI!G57+MALANG!G57+MADIUN!G57+BANYUWANGI!G57</x:f>
        <x:v>0.00</x:v>
      </x:c>
      <x:c r="H57" s="33">
        <x:f>KANWIL!H57+SURABAYA!H57+KEDIRI!H57+MALANG!H57+MADIUN!H57+BANYUWANGI!H57</x:f>
        <x:v>171211.00</x:v>
      </x:c>
      <x:c r="I57" s="33">
        <x:f>KANWIL!I57+SURABAYA!I57+KEDIRI!I57+MALANG!I57+MADIUN!I57+BANYUWANGI!I57</x:f>
        <x:v>220353.00</x:v>
      </x:c>
      <x:c r="J57" s="33">
        <x:f>KANWIL!J57+SURABAYA!J57+KEDIRI!J57+MALANG!J57+MADIUN!J57+BANYUWANGI!J57</x:f>
        <x:v>969554.00</x:v>
      </x:c>
      <x:c r="K57" s="33">
        <x:f>SUM(F57:J57)</x:f>
        <x:v>9710623.00</x:v>
      </x:c>
      <x:c r="L57" s="33"/>
      <x:c r="M57" s="33"/>
      <x:c r="N57" s="33"/>
      <x:c r="O57" s="33"/>
      <x:c r="P57" s="33"/>
      <x:c r="Q57" s="33"/>
      <x:c r="R57" s="19"/>
      <x:c r="S57" s="37"/>
    </x:row>
    <x:row r="58" s="20" customFormat="1">
      <x:c r="A58" s="20">
        <x:v>175</x:v>
      </x:c>
      <x:c r="B58" s="7"/>
      <x:c r="C58" s="8"/>
      <x:c r="D58" s="21"/>
      <x:c r="E58" s="24" t="s">
        <x:v>74</x:v>
      </x:c>
      <x:c r="F58" s="33">
        <x:f>KANWIL!F58+SURABAYA!F58+KEDIRI!F58+MALANG!F58+MADIUN!F58+BANYUWANGI!F58</x:f>
        <x:v>2646050.00</x:v>
      </x:c>
      <x:c r="G58" s="33">
        <x:f>KANWIL!G58+SURABAYA!G58+KEDIRI!G58+MALANG!G58+MADIUN!G58+BANYUWANGI!G58</x:f>
        <x:v>0.00</x:v>
      </x:c>
      <x:c r="H58" s="33">
        <x:f>KANWIL!H58+SURABAYA!H58+KEDIRI!H58+MALANG!H58+MADIUN!H58+BANYUWANGI!H58</x:f>
        <x:v>54259.00</x:v>
      </x:c>
      <x:c r="I58" s="33">
        <x:f>KANWIL!I58+SURABAYA!I58+KEDIRI!I58+MALANG!I58+MADIUN!I58+BANYUWANGI!I58</x:f>
        <x:v>69832.00</x:v>
      </x:c>
      <x:c r="J58" s="33">
        <x:f>KANWIL!J58+SURABAYA!J58+KEDIRI!J58+MALANG!J58+MADIUN!J58+BANYUWANGI!J58</x:f>
        <x:v>307262.00</x:v>
      </x:c>
      <x:c r="K58" s="33">
        <x:f>SUM(F58:J58)</x:f>
        <x:v>3077403.00</x:v>
      </x:c>
      <x:c r="L58" s="33"/>
      <x:c r="M58" s="33"/>
      <x:c r="N58" s="33"/>
      <x:c r="O58" s="33"/>
      <x:c r="P58" s="33"/>
      <x:c r="Q58" s="33"/>
      <x:c r="R58" s="19"/>
      <x:c r="S58" s="37"/>
    </x:row>
    <x:row r="59" s="20" customFormat="1">
      <x:c r="A59" s="20">
        <x:v>176</x:v>
      </x:c>
      <x:c r="B59" s="7"/>
      <x:c r="C59" s="8"/>
      <x:c r="D59" s="21"/>
      <x:c r="E59" s="24" t="s">
        <x:v>75</x:v>
      </x:c>
      <x:c r="F59" s="33">
        <x:f>KANWIL!F59+SURABAYA!F59+KEDIRI!F59+MALANG!F59+MADIUN!F59+BANYUWANGI!F59</x:f>
        <x:v>0.00</x:v>
      </x:c>
      <x:c r="G59" s="33">
        <x:f>KANWIL!G59+SURABAYA!G59+KEDIRI!G59+MALANG!G59+MADIUN!G59+BANYUWANGI!G59</x:f>
        <x:v>0.00</x:v>
      </x:c>
      <x:c r="H59" s="33">
        <x:f>KANWIL!H59+SURABAYA!H59+KEDIRI!H59+MALANG!H59+MADIUN!H59+BANYUWANGI!H59</x:f>
        <x:v>0.00</x:v>
      </x:c>
      <x:c r="I59" s="33">
        <x:f>KANWIL!I59+SURABAYA!I59+KEDIRI!I59+MALANG!I59+MADIUN!I59+BANYUWANGI!I59</x:f>
        <x:v>0.00</x:v>
      </x:c>
      <x:c r="J59" s="33">
        <x:f>KANWIL!J59+SURABAYA!J59+KEDIRI!J59+MALANG!J59+MADIUN!J59+BANYUWANGI!J59</x:f>
        <x:v>0.00</x:v>
      </x:c>
      <x:c r="K59" s="33">
        <x:f>SUM(F59:J59)</x:f>
        <x:v>0.00</x:v>
      </x:c>
      <x:c r="L59" s="33"/>
      <x:c r="M59" s="33"/>
      <x:c r="N59" s="33"/>
      <x:c r="O59" s="33"/>
      <x:c r="P59" s="33"/>
      <x:c r="Q59" s="33"/>
      <x:c r="R59" s="19"/>
      <x:c r="S59" s="37"/>
    </x:row>
    <x:row r="60" s="20" customFormat="1">
      <x:c r="A60" s="20">
        <x:v>177</x:v>
      </x:c>
      <x:c r="B60" s="7"/>
      <x:c r="C60" s="8"/>
      <x:c r="D60" s="21"/>
      <x:c r="E60" s="24" t="s">
        <x:v>76</x:v>
      </x:c>
      <x:c r="F60" s="33">
        <x:f>KANWIL!F60+SURABAYA!F60+KEDIRI!F60+MALANG!F60+MADIUN!F60+BANYUWANGI!F60</x:f>
        <x:v>1891926.00</x:v>
      </x:c>
      <x:c r="G60" s="33">
        <x:f>KANWIL!G60+SURABAYA!G60+KEDIRI!G60+MALANG!G60+MADIUN!G60+BANYUWANGI!G60</x:f>
        <x:v>0.00</x:v>
      </x:c>
      <x:c r="H60" s="33">
        <x:f>KANWIL!H60+SURABAYA!H60+KEDIRI!H60+MALANG!H60+MADIUN!H60+BANYUWANGI!H60</x:f>
        <x:v>38795.00</x:v>
      </x:c>
      <x:c r="I60" s="33">
        <x:f>KANWIL!I60+SURABAYA!I60+KEDIRI!I60+MALANG!I60+MADIUN!I60+BANYUWANGI!I60</x:f>
        <x:v>49930.00</x:v>
      </x:c>
      <x:c r="J60" s="33">
        <x:f>KANWIL!J60+SURABAYA!J60+KEDIRI!J60+MALANG!J60+MADIUN!J60+BANYUWANGI!J60</x:f>
        <x:v>219692.00</x:v>
      </x:c>
      <x:c r="K60" s="33">
        <x:f>SUM(F60:J60)</x:f>
        <x:v>2200343.00</x:v>
      </x:c>
      <x:c r="L60" s="33">
        <x:f>KANWIL!L60+SURABAYA!L60+KEDIRI!L60+MALANG!L60+MADIUN!L60+BANYUWANGI!L60</x:f>
        <x:v>2743895.00</x:v>
      </x:c>
      <x:c r="M60" s="33"/>
      <x:c r="N60" s="33">
        <x:f>KANWIL!N60+SURABAYA!N60+KEDIRI!N60+MALANG!N60+MADIUN!N60+BANYUWANGI!N60</x:f>
        <x:v>30216.367038496672569444572762418320</x:v>
      </x:c>
      <x:c r="O60" s="33">
        <x:f>KANWIL!O60+SURABAYA!O60+KEDIRI!O60+MALANG!O60+MADIUN!O60+BANYUWANGI!O60</x:f>
        <x:v>53655.039525527291759050127896111200</x:v>
      </x:c>
      <x:c r="P60" s="33">
        <x:f>KANWIL!P60+SURABAYA!P60+KEDIRI!P60+MALANG!P60+MADIUN!P60+BANYUWANGI!P60</x:f>
        <x:v>1022233.593435976035671505299340364375</x:v>
      </x:c>
      <x:c r="Q60" s="33">
        <x:f>N60+O60+P60</x:f>
        <x:v>1106105.00</x:v>
      </x:c>
      <x:c r="R60" s="19">
        <x:f>SUM(L60:P60)</x:f>
        <x:v>3850000.00</x:v>
      </x:c>
      <x:c r="S60" s="37">
        <x:f>IF(K60=0,0,R60/K60)</x:f>
        <x:v>1.749727201622656104</x:v>
      </x:c>
    </x:row>
    <x:row r="61" s="20" customFormat="1">
      <x:c r="A61" s="20">
        <x:v>179</x:v>
      </x:c>
      <x:c r="B61" s="7"/>
      <x:c r="C61" s="8"/>
      <x:c r="D61" s="21"/>
      <x:c r="E61" s="24" t="s">
        <x:v>77</x:v>
      </x:c>
      <x:c r="F61" s="33">
        <x:f>KANWIL!F61+SURABAYA!F61+KEDIRI!F61+MALANG!F61+MADIUN!F61+BANYUWANGI!F61</x:f>
        <x:v>873828187.00</x:v>
      </x:c>
      <x:c r="G61" s="33">
        <x:f>KANWIL!G61+SURABAYA!G61+KEDIRI!G61+MALANG!G61+MADIUN!G61+BANYUWANGI!G61</x:f>
        <x:v>0.00</x:v>
      </x:c>
      <x:c r="H61" s="33">
        <x:f>KANWIL!H61+SURABAYA!H61+KEDIRI!H61+MALANG!H61+MADIUN!H61+BANYUWANGI!H61</x:f>
        <x:v>17918270.00</x:v>
      </x:c>
      <x:c r="I61" s="33">
        <x:f>KANWIL!I61+SURABAYA!I61+KEDIRI!I61+MALANG!I61+MADIUN!I61+BANYUWANGI!I61</x:f>
        <x:v>23061285.00</x:v>
      </x:c>
      <x:c r="J61" s="33">
        <x:f>KANWIL!J61+SURABAYA!J61+KEDIRI!J61+MALANG!J61+MADIUN!J61+BANYUWANGI!J61</x:f>
        <x:v>101469864.00</x:v>
      </x:c>
      <x:c r="K61" s="33">
        <x:f>SUM(F61:J61)</x:f>
        <x:v>1016277606.00</x:v>
      </x:c>
      <x:c r="L61" s="33">
        <x:f>KANWIL!L61+SURABAYA!L61+KEDIRI!L61+MALANG!L61+MADIUN!L61+BANYUWANGI!L61</x:f>
        <x:v>438385033.939999987</x:v>
      </x:c>
      <x:c r="M61" s="33"/>
      <x:c r="N61" s="33">
        <x:f>KANWIL!N61+SURABAYA!N61+KEDIRI!N61+MALANG!N61+MADIUN!N61+BANYUWANGI!N61</x:f>
        <x:v>5883924.852429121035919897556263179711</x:v>
      </x:c>
      <x:c r="O61" s="33">
        <x:f>KANWIL!O61+SURABAYA!O61+KEDIRI!O61+MALANG!O61+MADIUN!O61+BANYUWANGI!O61</x:f>
        <x:v>9514983.089844681458747035515568734876</x:v>
      </x:c>
      <x:c r="P61" s="33">
        <x:f>KANWIL!P61+SURABAYA!P61+KEDIRI!P61+MALANG!P61+MADIUN!P61+BANYUWANGI!P61</x:f>
        <x:v>177961234.157726198505333066927930631481</x:v>
      </x:c>
      <x:c r="Q61" s="33">
        <x:f>N61+O61+P61</x:f>
        <x:v>193360142.100000001</x:v>
      </x:c>
      <x:c r="R61" s="19">
        <x:f>SUM(L61:P61)</x:f>
        <x:v>631745176.039999988</x:v>
      </x:c>
      <x:c r="S61" s="37">
        <x:f>IF(K61=0,0,R61/K61)</x:f>
        <x:v>0.621626583435707416</x:v>
      </x:c>
    </x:row>
    <x:row r="62" s="20" customFormat="1">
      <x:c r="A62" s="20">
        <x:v>180</x:v>
      </x:c>
      <x:c r="B62" s="7"/>
      <x:c r="C62" s="8"/>
      <x:c r="D62" s="21"/>
      <x:c r="E62" s="24" t="s">
        <x:v>78</x:v>
      </x:c>
      <x:c r="F62" s="33">
        <x:f>KANWIL!F62+SURABAYA!F62+KEDIRI!F62+MALANG!F62+MADIUN!F62+BANYUWANGI!F62</x:f>
        <x:v>83135894.00</x:v>
      </x:c>
      <x:c r="G62" s="33">
        <x:f>KANWIL!G62+SURABAYA!G62+KEDIRI!G62+MALANG!G62+MADIUN!G62+BANYUWANGI!G62</x:f>
        <x:v>0.00</x:v>
      </x:c>
      <x:c r="H62" s="33">
        <x:f>KANWIL!H62+SURABAYA!H62+KEDIRI!H62+MALANG!H62+MADIUN!H62+BANYUWANGI!H62</x:f>
        <x:v>1704742.00</x:v>
      </x:c>
      <x:c r="I62" s="33">
        <x:f>KANWIL!I62+SURABAYA!I62+KEDIRI!I62+MALANG!I62+MADIUN!I62+BANYUWANGI!I62</x:f>
        <x:v>2194048.00</x:v>
      </x:c>
      <x:c r="J62" s="33">
        <x:f>KANWIL!J62+SURABAYA!J62+KEDIRI!J62+MALANG!J62+MADIUN!J62+BANYUWANGI!J62</x:f>
        <x:v>9653828.00</x:v>
      </x:c>
      <x:c r="K62" s="33">
        <x:f>SUM(F62:J62)</x:f>
        <x:v>96688512.00</x:v>
      </x:c>
      <x:c r="L62" s="33">
        <x:f>KANWIL!L62+SURABAYA!L62+KEDIRI!L62+MALANG!L62+MADIUN!L62+BANYUWANGI!L62</x:f>
        <x:v>35708009.1199999987</x:v>
      </x:c>
      <x:c r="M62" s="33"/>
      <x:c r="N62" s="33">
        <x:f>KANWIL!N62+SURABAYA!N62+KEDIRI!N62+MALANG!N62+MADIUN!N62+BANYUWANGI!N62</x:f>
        <x:v>330085.641985703633691225808928515665</x:v>
      </x:c>
      <x:c r="O62" s="33">
        <x:f>KANWIL!O62+SURABAYA!O62+KEDIRI!O62+MALANG!O62+MADIUN!O62+BANYUWANGI!O62</x:f>
        <x:v>770175.614160041672823289805693766251</x:v>
      </x:c>
      <x:c r="P62" s="33">
        <x:f>KANWIL!P62+SURABAYA!P62+KEDIRI!P62+MALANG!P62+MADIUN!P62+BANYUWANGI!P62</x:f>
        <x:v>14702243.643854254893485484385357102945</x:v>
      </x:c>
      <x:c r="Q62" s="33">
        <x:f>N62+O62+P62</x:f>
        <x:v>15802504.9000000002</x:v>
      </x:c>
      <x:c r="R62" s="19">
        <x:f>SUM(L62:P62)</x:f>
        <x:v>51510514.0199999989</x:v>
      </x:c>
      <x:c r="S62" s="37">
        <x:f>IF(K62=0,0,R62/K62)</x:f>
        <x:v>0.532746992941622670</x:v>
      </x:c>
    </x:row>
    <x:row r="63" s="20" customFormat="1">
      <x:c r="A63" s="20">
        <x:v>181</x:v>
      </x:c>
      <x:c r="B63" s="7"/>
      <x:c r="C63" s="8"/>
      <x:c r="D63" s="21"/>
      <x:c r="E63" s="24" t="s">
        <x:v>79</x:v>
      </x:c>
      <x:c r="F63" s="33">
        <x:f>KANWIL!F63+SURABAYA!F63+KEDIRI!F63+MALANG!F63+MADIUN!F63+BANYUWANGI!F63</x:f>
        <x:v>4313613701.00</x:v>
      </x:c>
      <x:c r="G63" s="33">
        <x:f>KANWIL!G63+SURABAYA!G63+KEDIRI!G63+MALANG!G63+MADIUN!G63+BANYUWANGI!G63</x:f>
        <x:v>0.00</x:v>
      </x:c>
      <x:c r="H63" s="33">
        <x:f>KANWIL!H63+SURABAYA!H63+KEDIRI!H63+MALANG!H63+MADIUN!H63+BANYUWANGI!H63</x:f>
        <x:v>88452734.00</x:v>
      </x:c>
      <x:c r="I63" s="33">
        <x:f>KANWIL!I63+SURABAYA!I63+KEDIRI!I63+MALANG!I63+MADIUN!I63+BANYUWANGI!I63</x:f>
        <x:v>113840995.00</x:v>
      </x:c>
      <x:c r="J63" s="33">
        <x:f>KANWIL!J63+SURABAYA!J63+KEDIRI!J63+MALANG!J63+MADIUN!J63+BANYUWANGI!J63</x:f>
        <x:v>500901441.00</x:v>
      </x:c>
      <x:c r="K63" s="33">
        <x:f>SUM(F63:J63)</x:f>
        <x:v>5016808871.00</x:v>
      </x:c>
      <x:c r="L63" s="33">
        <x:f>KANWIL!L63+SURABAYA!L63+KEDIRI!L63+MALANG!L63+MADIUN!L63+BANYUWANGI!L63</x:f>
        <x:v>2046098753.52000009</x:v>
      </x:c>
      <x:c r="M63" s="33"/>
      <x:c r="N63" s="33">
        <x:f>KANWIL!N63+SURABAYA!N63+KEDIRI!N63+MALANG!N63+MADIUN!N63+BANYUWANGI!N63</x:f>
        <x:v>25485860.700872476099926412473650129098</x:v>
      </x:c>
      <x:c r="O63" s="33">
        <x:f>KANWIL!O63+SURABAYA!O63+KEDIRI!O63+MALANG!O63+MADIUN!O63+BANYUWANGI!O63</x:f>
        <x:v>44953314.058350308947416883438927581136</x:v>
      </x:c>
      <x:c r="P63" s="33">
        <x:f>KANWIL!P63+SURABAYA!P63+KEDIRI!P63+MALANG!P63+MADIUN!P63+BANYUWANGI!P63</x:f>
        <x:v>874373405.300777214952656704086235861383</x:v>
      </x:c>
      <x:c r="Q63" s="33">
        <x:f>N63+O63+P63</x:f>
        <x:v>944812580.06000000</x:v>
      </x:c>
      <x:c r="R63" s="19">
        <x:f>SUM(L63:P63)</x:f>
        <x:v>2990911333.58000009</x:v>
      </x:c>
      <x:c r="S63" s="37">
        <x:f>IF(K63=0,0,R63/K63)</x:f>
        <x:v>0.596178050726461508</x:v>
      </x:c>
    </x:row>
    <x:row r="64" s="20" customFormat="1">
      <x:c r="A64" s="20">
        <x:v>134</x:v>
      </x:c>
      <x:c r="B64" s="7"/>
      <x:c r="C64" s="8"/>
      <x:c r="D64" s="21"/>
      <x:c r="E64" s="24" t="s">
        <x:v>80</x:v>
      </x:c>
      <x:c r="F64" s="33">
        <x:f>KANWIL!F64+SURABAYA!F64+KEDIRI!F64+MALANG!F64+MADIUN!F64+BANYUWANGI!F64</x:f>
        <x:v>0.00</x:v>
      </x:c>
      <x:c r="G64" s="33">
        <x:f>KANWIL!G64+SURABAYA!G64+KEDIRI!G64+MALANG!G64+MADIUN!G64+BANYUWANGI!G64</x:f>
        <x:v>0.00</x:v>
      </x:c>
      <x:c r="H64" s="33">
        <x:f>KANWIL!H64+SURABAYA!H64+KEDIRI!H64+MALANG!H64+MADIUN!H64+BANYUWANGI!H64</x:f>
        <x:v>0.00</x:v>
      </x:c>
      <x:c r="I64" s="33">
        <x:f>KANWIL!I64+SURABAYA!I64+KEDIRI!I64+MALANG!I64+MADIUN!I64+BANYUWANGI!I64</x:f>
        <x:v>0.00</x:v>
      </x:c>
      <x:c r="J64" s="33">
        <x:f>KANWIL!J64+SURABAYA!J64+KEDIRI!J64+MALANG!J64+MADIUN!J64+BANYUWANGI!J64</x:f>
        <x:v>0.00</x:v>
      </x:c>
      <x:c r="K64" s="33">
        <x:f>SUM(F64:J64)</x:f>
        <x:v>0.00</x:v>
      </x:c>
      <x:c r="L64" s="33"/>
      <x:c r="M64" s="33"/>
      <x:c r="N64" s="33"/>
      <x:c r="O64" s="33"/>
      <x:c r="P64" s="33"/>
      <x:c r="Q64" s="33"/>
      <x:c r="R64" s="19"/>
      <x:c r="S64" s="37"/>
    </x:row>
    <x:row r="65" s="20" customFormat="1">
      <x:c r="A65" s="20">
        <x:v>132</x:v>
      </x:c>
      <x:c r="B65" s="7"/>
      <x:c r="C65" s="8"/>
      <x:c r="D65" s="21"/>
      <x:c r="E65" s="24" t="s">
        <x:v>81</x:v>
      </x:c>
      <x:c r="F65" s="33">
        <x:f>KANWIL!F65+SURABAYA!F65+KEDIRI!F65+MALANG!F65+MADIUN!F65+BANYUWANGI!F65</x:f>
        <x:v>0.00</x:v>
      </x:c>
      <x:c r="G65" s="33">
        <x:f>KANWIL!G65+SURABAYA!G65+KEDIRI!G65+MALANG!G65+MADIUN!G65+BANYUWANGI!G65</x:f>
        <x:v>0.00</x:v>
      </x:c>
      <x:c r="H65" s="33">
        <x:f>KANWIL!H65+SURABAYA!H65+KEDIRI!H65+MALANG!H65+MADIUN!H65+BANYUWANGI!H65</x:f>
        <x:v>0.00</x:v>
      </x:c>
      <x:c r="I65" s="33">
        <x:f>KANWIL!I65+SURABAYA!I65+KEDIRI!I65+MALANG!I65+MADIUN!I65+BANYUWANGI!I65</x:f>
        <x:v>0.00</x:v>
      </x:c>
      <x:c r="J65" s="33">
        <x:f>KANWIL!J65+SURABAYA!J65+KEDIRI!J65+MALANG!J65+MADIUN!J65+BANYUWANGI!J65</x:f>
        <x:v>0.00</x:v>
      </x:c>
      <x:c r="K65" s="33">
        <x:f>SUM(F65:J65)</x:f>
        <x:v>0.00</x:v>
      </x:c>
      <x:c r="L65" s="33"/>
      <x:c r="M65" s="33"/>
      <x:c r="N65" s="33"/>
      <x:c r="O65" s="33"/>
      <x:c r="P65" s="33"/>
      <x:c r="Q65" s="33"/>
      <x:c r="R65" s="19"/>
      <x:c r="S65" s="37"/>
    </x:row>
    <x:row r="66" s="20" customFormat="1">
      <x:c r="A66" s="20">
        <x:v>133</x:v>
      </x:c>
      <x:c r="B66" s="7"/>
      <x:c r="C66" s="8"/>
      <x:c r="D66" s="21"/>
      <x:c r="E66" s="24" t="s">
        <x:v>82</x:v>
      </x:c>
      <x:c r="F66" s="33">
        <x:f>KANWIL!F66+SURABAYA!F66+KEDIRI!F66+MALANG!F66+MADIUN!F66+BANYUWANGI!F66</x:f>
        <x:v>0.00</x:v>
      </x:c>
      <x:c r="G66" s="33">
        <x:f>KANWIL!G66+SURABAYA!G66+KEDIRI!G66+MALANG!G66+MADIUN!G66+BANYUWANGI!G66</x:f>
        <x:v>0.00</x:v>
      </x:c>
      <x:c r="H66" s="33">
        <x:f>KANWIL!H66+SURABAYA!H66+KEDIRI!H66+MALANG!H66+MADIUN!H66+BANYUWANGI!H66</x:f>
        <x:v>0.00</x:v>
      </x:c>
      <x:c r="I66" s="33">
        <x:f>KANWIL!I66+SURABAYA!I66+KEDIRI!I66+MALANG!I66+MADIUN!I66+BANYUWANGI!I66</x:f>
        <x:v>0.00</x:v>
      </x:c>
      <x:c r="J66" s="33">
        <x:f>KANWIL!J66+SURABAYA!J66+KEDIRI!J66+MALANG!J66+MADIUN!J66+BANYUWANGI!J66</x:f>
        <x:v>0.00</x:v>
      </x:c>
      <x:c r="K66" s="33">
        <x:f>SUM(F66:J66)</x:f>
        <x:v>0.00</x:v>
      </x:c>
      <x:c r="L66" s="33"/>
      <x:c r="M66" s="33"/>
      <x:c r="N66" s="33"/>
      <x:c r="O66" s="33"/>
      <x:c r="P66" s="33"/>
      <x:c r="Q66" s="33"/>
      <x:c r="R66" s="19"/>
      <x:c r="S66" s="37"/>
    </x:row>
    <x:row r="67" s="20" customFormat="1">
      <x:c r="A67" s="20">
        <x:v>182</x:v>
      </x:c>
      <x:c r="B67" s="7"/>
      <x:c r="C67" s="8"/>
      <x:c r="D67" s="21"/>
      <x:c r="E67" s="24" t="s">
        <x:v>83</x:v>
      </x:c>
      <x:c r="F67" s="33">
        <x:f>KANWIL!F67+SURABAYA!F67+KEDIRI!F67+MALANG!F67+MADIUN!F67+BANYUWANGI!F67</x:f>
        <x:v>0.00</x:v>
      </x:c>
      <x:c r="G67" s="33">
        <x:f>KANWIL!G67+SURABAYA!G67+KEDIRI!G67+MALANG!G67+MADIUN!G67+BANYUWANGI!G67</x:f>
        <x:v>0.00</x:v>
      </x:c>
      <x:c r="H67" s="33">
        <x:f>KANWIL!H67+SURABAYA!H67+KEDIRI!H67+MALANG!H67+MADIUN!H67+BANYUWANGI!H67</x:f>
        <x:v>0.00</x:v>
      </x:c>
      <x:c r="I67" s="33">
        <x:f>KANWIL!I67+SURABAYA!I67+KEDIRI!I67+MALANG!I67+MADIUN!I67+BANYUWANGI!I67</x:f>
        <x:v>0.00</x:v>
      </x:c>
      <x:c r="J67" s="33">
        <x:f>KANWIL!J67+SURABAYA!J67+KEDIRI!J67+MALANG!J67+MADIUN!J67+BANYUWANGI!J67</x:f>
        <x:v>0.00</x:v>
      </x:c>
      <x:c r="K67" s="33">
        <x:f>SUM(F67:J67)</x:f>
        <x:v>0.00</x:v>
      </x:c>
      <x:c r="L67" s="33"/>
      <x:c r="M67" s="33"/>
      <x:c r="N67" s="33"/>
      <x:c r="O67" s="33"/>
      <x:c r="P67" s="33"/>
      <x:c r="Q67" s="33"/>
      <x:c r="R67" s="19"/>
      <x:c r="S67" s="37"/>
    </x:row>
    <x:row r="68" s="20" customFormat="1">
      <x:c r="A68" s="20">
        <x:v>137</x:v>
      </x:c>
      <x:c r="B68" s="7"/>
      <x:c r="C68" s="8"/>
      <x:c r="D68" s="21"/>
      <x:c r="E68" s="24" t="s">
        <x:v>84</x:v>
      </x:c>
      <x:c r="F68" s="33">
        <x:f>KANWIL!F68+SURABAYA!F68+KEDIRI!F68+MALANG!F68+MADIUN!F68+BANYUWANGI!F68</x:f>
        <x:v>0.00</x:v>
      </x:c>
      <x:c r="G68" s="33">
        <x:f>KANWIL!G68+SURABAYA!G68+KEDIRI!G68+MALANG!G68+MADIUN!G68+BANYUWANGI!G68</x:f>
        <x:v>0.00</x:v>
      </x:c>
      <x:c r="H68" s="33">
        <x:f>KANWIL!H68+SURABAYA!H68+KEDIRI!H68+MALANG!H68+MADIUN!H68+BANYUWANGI!H68</x:f>
        <x:v>0.00</x:v>
      </x:c>
      <x:c r="I68" s="33">
        <x:f>KANWIL!I68+SURABAYA!I68+KEDIRI!I68+MALANG!I68+MADIUN!I68+BANYUWANGI!I68</x:f>
        <x:v>0.00</x:v>
      </x:c>
      <x:c r="J68" s="33">
        <x:f>KANWIL!J68+SURABAYA!J68+KEDIRI!J68+MALANG!J68+MADIUN!J68+BANYUWANGI!J68</x:f>
        <x:v>0.00</x:v>
      </x:c>
      <x:c r="K68" s="33">
        <x:f>SUM(F68:J68)</x:f>
        <x:v>0.00</x:v>
      </x:c>
      <x:c r="L68" s="33"/>
      <x:c r="M68" s="33"/>
      <x:c r="N68" s="33"/>
      <x:c r="O68" s="33"/>
      <x:c r="P68" s="33"/>
      <x:c r="Q68" s="33"/>
      <x:c r="R68" s="19"/>
      <x:c r="S68" s="37"/>
    </x:row>
    <x:row r="69" s="20" customFormat="1">
      <x:c r="A69" s="20">
        <x:v>129</x:v>
      </x:c>
      <x:c r="B69" s="7"/>
      <x:c r="C69" s="8"/>
      <x:c r="D69" s="21"/>
      <x:c r="E69" s="24" t="s">
        <x:v>85</x:v>
      </x:c>
      <x:c r="F69" s="33">
        <x:f>KANWIL!F69+SURABAYA!F69+KEDIRI!F69+MALANG!F69+MADIUN!F69+BANYUWANGI!F69</x:f>
        <x:v>0.00</x:v>
      </x:c>
      <x:c r="G69" s="33">
        <x:f>KANWIL!G69+SURABAYA!G69+KEDIRI!G69+MALANG!G69+MADIUN!G69+BANYUWANGI!G69</x:f>
        <x:v>0.00</x:v>
      </x:c>
      <x:c r="H69" s="33">
        <x:f>KANWIL!H69+SURABAYA!H69+KEDIRI!H69+MALANG!H69+MADIUN!H69+BANYUWANGI!H69</x:f>
        <x:v>0.00</x:v>
      </x:c>
      <x:c r="I69" s="33">
        <x:f>KANWIL!I69+SURABAYA!I69+KEDIRI!I69+MALANG!I69+MADIUN!I69+BANYUWANGI!I69</x:f>
        <x:v>0.00</x:v>
      </x:c>
      <x:c r="J69" s="33">
        <x:f>KANWIL!J69+SURABAYA!J69+KEDIRI!J69+MALANG!J69+MADIUN!J69+BANYUWANGI!J69</x:f>
        <x:v>0.00</x:v>
      </x:c>
      <x:c r="K69" s="33">
        <x:f>SUM(F69:J69)</x:f>
        <x:v>0.00</x:v>
      </x:c>
      <x:c r="L69" s="33"/>
      <x:c r="M69" s="33"/>
      <x:c r="N69" s="33"/>
      <x:c r="O69" s="33"/>
      <x:c r="P69" s="33"/>
      <x:c r="Q69" s="33"/>
      <x:c r="R69" s="19"/>
      <x:c r="S69" s="37"/>
    </x:row>
    <x:row r="70" s="20" customFormat="1">
      <x:c r="A70" s="20">
        <x:v>5</x:v>
      </x:c>
      <x:c r="B70" s="7"/>
      <x:c r="C70" s="8"/>
      <x:c r="D70" s="21"/>
      <x:c r="E70" s="24" t="s">
        <x:v>86</x:v>
      </x:c>
      <x:c r="F70" s="33">
        <x:f>KANWIL!F70+SURABAYA!F70+KEDIRI!F70+MALANG!F70+MADIUN!F70+BANYUWANGI!F70</x:f>
        <x:v>0.00</x:v>
      </x:c>
      <x:c r="G70" s="33">
        <x:f>KANWIL!G70+SURABAYA!G70+KEDIRI!G70+MALANG!G70+MADIUN!G70+BANYUWANGI!G70</x:f>
        <x:v>0.00</x:v>
      </x:c>
      <x:c r="H70" s="33">
        <x:f>KANWIL!H70+SURABAYA!H70+KEDIRI!H70+MALANG!H70+MADIUN!H70+BANYUWANGI!H70</x:f>
        <x:v>0.00</x:v>
      </x:c>
      <x:c r="I70" s="33">
        <x:f>KANWIL!I70+SURABAYA!I70+KEDIRI!I70+MALANG!I70+MADIUN!I70+BANYUWANGI!I70</x:f>
        <x:v>0.00</x:v>
      </x:c>
      <x:c r="J70" s="33">
        <x:f>KANWIL!J70+SURABAYA!J70+KEDIRI!J70+MALANG!J70+MADIUN!J70+BANYUWANGI!J70</x:f>
        <x:v>0.00</x:v>
      </x:c>
      <x:c r="K70" s="33">
        <x:f>SUM(F70:J70)</x:f>
        <x:v>0.00</x:v>
      </x:c>
      <x:c r="L70" s="33"/>
      <x:c r="M70" s="33"/>
      <x:c r="N70" s="33"/>
      <x:c r="O70" s="33"/>
      <x:c r="P70" s="33"/>
      <x:c r="Q70" s="33"/>
      <x:c r="R70" s="19"/>
      <x:c r="S70" s="37"/>
    </x:row>
    <x:row r="71" s="20" customFormat="1">
      <x:c r="A71" s="20">
        <x:v>183</x:v>
      </x:c>
      <x:c r="B71" s="7"/>
      <x:c r="C71" s="8"/>
      <x:c r="D71" s="21"/>
      <x:c r="E71" s="24" t="s">
        <x:v>87</x:v>
      </x:c>
      <x:c r="F71" s="33">
        <x:f>KANWIL!F71+SURABAYA!F71+KEDIRI!F71+MALANG!F71+MADIUN!F71+BANYUWANGI!F71</x:f>
        <x:v>630751011.00</x:v>
      </x:c>
      <x:c r="G71" s="33">
        <x:f>KANWIL!G71+SURABAYA!G71+KEDIRI!G71+MALANG!G71+MADIUN!G71+BANYUWANGI!G71</x:f>
        <x:v>0.00</x:v>
      </x:c>
      <x:c r="H71" s="33">
        <x:f>KANWIL!H71+SURABAYA!H71+KEDIRI!H71+MALANG!H71+MADIUN!H71+BANYUWANGI!H71</x:f>
        <x:v>12933856.00</x:v>
      </x:c>
      <x:c r="I71" s="33">
        <x:f>KANWIL!I71+SURABAYA!I71+KEDIRI!I71+MALANG!I71+MADIUN!I71+BANYUWANGI!I71</x:f>
        <x:v>16646213.00</x:v>
      </x:c>
      <x:c r="J71" s="33">
        <x:f>KANWIL!J71+SURABAYA!J71+KEDIRI!J71+MALANG!J71+MADIUN!J71+BANYUWANGI!J71</x:f>
        <x:v>73243484.00</x:v>
      </x:c>
      <x:c r="K71" s="33">
        <x:f>SUM(F71:J71)</x:f>
        <x:v>733574564.00</x:v>
      </x:c>
      <x:c r="L71" s="33">
        <x:f>KANWIL!L71+SURABAYA!L71+KEDIRI!L71+MALANG!L71+MADIUN!L71+BANYUWANGI!L71</x:f>
        <x:v>168772334.459999993</x:v>
      </x:c>
      <x:c r="M71" s="33"/>
      <x:c r="N71" s="33">
        <x:f>KANWIL!N71+SURABAYA!N71+KEDIRI!N71+MALANG!N71+MADIUN!N71+BANYUWANGI!N71</x:f>
        <x:v>1818616.201170470663206791550201021337</x:v>
      </x:c>
      <x:c r="O71" s="33">
        <x:f>KANWIL!O71+SURABAYA!O71+KEDIRI!O71+MALANG!O71+MADIUN!O71+BANYUWANGI!O71</x:f>
        <x:v>3553832.515995992676009089061200080229</x:v>
      </x:c>
      <x:c r="P71" s="33">
        <x:f>KANWIL!P71+SURABAYA!P71+KEDIRI!P71+MALANG!P71+MADIUN!P71+BANYUWANGI!P71</x:f>
        <x:v>67229697.392833537460784119388509815294</x:v>
      </x:c>
      <x:c r="Q71" s="33">
        <x:f>N71+O71+P71</x:f>
        <x:v>72602146.1100000008</x:v>
      </x:c>
      <x:c r="R71" s="19">
        <x:f>SUM(L71:P71)</x:f>
        <x:v>241374480.5699999938</x:v>
      </x:c>
      <x:c r="S71" s="37">
        <x:f>IF(K71=0,0,R71/K71)</x:f>
        <x:v>0.329038781352838719</x:v>
      </x:c>
    </x:row>
    <x:row r="72" s="20" customFormat="1">
      <x:c r="A72" s="20">
        <x:v>184</x:v>
      </x:c>
      <x:c r="B72" s="7"/>
      <x:c r="C72" s="8"/>
      <x:c r="D72" s="21"/>
      <x:c r="E72" s="24" t="s">
        <x:v>88</x:v>
      </x:c>
      <x:c r="F72" s="33">
        <x:f>KANWIL!F72+SURABAYA!F72+KEDIRI!F72+MALANG!F72+MADIUN!F72+BANYUWANGI!F72</x:f>
        <x:v>59450300.00</x:v>
      </x:c>
      <x:c r="G72" s="33">
        <x:f>KANWIL!G72+SURABAYA!G72+KEDIRI!G72+MALANG!G72+MADIUN!G72+BANYUWANGI!G72</x:f>
        <x:v>0.00</x:v>
      </x:c>
      <x:c r="H72" s="33">
        <x:f>KANWIL!H72+SURABAYA!H72+KEDIRI!H72+MALANG!H72+MADIUN!H72+BANYUWANGI!H72</x:f>
        <x:v>1219057.00</x:v>
      </x:c>
      <x:c r="I72" s="33">
        <x:f>KANWIL!I72+SURABAYA!I72+KEDIRI!I72+MALANG!I72+MADIUN!I72+BANYUWANGI!I72</x:f>
        <x:v>1568957.00</x:v>
      </x:c>
      <x:c r="J72" s="33">
        <x:f>KANWIL!J72+SURABAYA!J72+KEDIRI!J72+MALANG!J72+MADIUN!J72+BANYUWANGI!J72</x:f>
        <x:v>6903430.00</x:v>
      </x:c>
      <x:c r="K72" s="33">
        <x:f>SUM(F72:J72)</x:f>
        <x:v>69141744.00</x:v>
      </x:c>
      <x:c r="L72" s="33">
        <x:f>KANWIL!L72+SURABAYA!L72+KEDIRI!L72+MALANG!L72+MADIUN!L72+BANYUWANGI!L72</x:f>
        <x:v>86242562.6199999997</x:v>
      </x:c>
      <x:c r="M72" s="33"/>
      <x:c r="N72" s="33">
        <x:f>KANWIL!N72+SURABAYA!N72+KEDIRI!N72+MALANG!N72+MADIUN!N72+BANYUWANGI!N72</x:f>
        <x:v>948379.965310958556364800371345519139</x:v>
      </x:c>
      <x:c r="O72" s="33">
        <x:f>KANWIL!O72+SURABAYA!O72+KEDIRI!O72+MALANG!O72+MADIUN!O72+BANYUWANGI!O72</x:f>
        <x:v>2091659.200424715019482568832201352890</x:v>
      </x:c>
      <x:c r="P72" s="33">
        <x:f>KANWIL!P72+SURABAYA!P72+KEDIRI!P72+MALANG!P72+MADIUN!P72+BANYUWANGI!P72</x:f>
        <x:v>35324297.224264327024152630796401979315</x:v>
      </x:c>
      <x:c r="Q72" s="33">
        <x:f>N72+O72+P72</x:f>
        <x:v>38364336.3900000006</x:v>
      </x:c>
      <x:c r="R72" s="19">
        <x:f>SUM(L72:P72)</x:f>
        <x:v>124606899.0100000003</x:v>
      </x:c>
      <x:c r="S72" s="37">
        <x:f>IF(K72=0,0,R72/K72)</x:f>
        <x:v>1.802194908621338800</x:v>
      </x:c>
    </x:row>
    <x:row r="73" s="20" customFormat="1">
      <x:c r="A73" s="20">
        <x:v>185</x:v>
      </x:c>
      <x:c r="B73" s="7"/>
      <x:c r="C73" s="8"/>
      <x:c r="D73" s="21"/>
      <x:c r="E73" s="24" t="s">
        <x:v>89</x:v>
      </x:c>
      <x:c r="F73" s="33">
        <x:f>KANWIL!F73+SURABAYA!F73+KEDIRI!F73+MALANG!F73+MADIUN!F73+BANYUWANGI!F73</x:f>
        <x:v>334756308.00</x:v>
      </x:c>
      <x:c r="G73" s="33">
        <x:f>KANWIL!G73+SURABAYA!G73+KEDIRI!G73+MALANG!G73+MADIUN!G73+BANYUWANGI!G73</x:f>
        <x:v>0.00</x:v>
      </x:c>
      <x:c r="H73" s="33">
        <x:f>KANWIL!H73+SURABAYA!H73+KEDIRI!H73+MALANG!H73+MADIUN!H73+BANYUWANGI!H73</x:f>
        <x:v>6864341.00</x:v>
      </x:c>
      <x:c r="I73" s="33">
        <x:f>KANWIL!I73+SURABAYA!I73+KEDIRI!I73+MALANG!I73+MADIUN!I73+BANYUWANGI!I73</x:f>
        <x:v>8834586.00</x:v>
      </x:c>
      <x:c r="J73" s="33">
        <x:f>KANWIL!J73+SURABAYA!J73+KEDIRI!J73+MALANG!J73+MADIUN!J73+BANYUWANGI!J73</x:f>
        <x:v>38872263.00</x:v>
      </x:c>
      <x:c r="K73" s="33">
        <x:f>SUM(F73:J73)</x:f>
        <x:v>389327498.00</x:v>
      </x:c>
      <x:c r="L73" s="33">
        <x:f>KANWIL!L73+SURABAYA!L73+KEDIRI!L73+MALANG!L73+MADIUN!L73+BANYUWANGI!L73</x:f>
        <x:v>283870525.00</x:v>
      </x:c>
      <x:c r="M73" s="33"/>
      <x:c r="N73" s="33">
        <x:f>KANWIL!N73+SURABAYA!N73+KEDIRI!N73+MALANG!N73+MADIUN!N73+BANYUWANGI!N73</x:f>
        <x:v>3299273.658348817426544052724778003375</x:v>
      </x:c>
      <x:c r="O73" s="33">
        <x:f>KANWIL!O73+SURABAYA!O73+KEDIRI!O73+MALANG!O73+MADIUN!O73+BANYUWANGI!O73</x:f>
        <x:v>6790560.264877335894838807706271973365</x:v>
      </x:c>
      <x:c r="P73" s="33">
        <x:f>KANWIL!P73+SURABAYA!P73+KEDIRI!P73+MALANG!P73+MADIUN!P73+BANYUWANGI!P73</x:f>
        <x:v>116769641.076773846678617139568785862475</x:v>
      </x:c>
      <x:c r="Q73" s="33">
        <x:f>N73+O73+P73</x:f>
        <x:v>126859475.00</x:v>
      </x:c>
      <x:c r="R73" s="19">
        <x:f>SUM(L73:P73)</x:f>
        <x:v>410730000.00</x:v>
      </x:c>
      <x:c r="S73" s="37">
        <x:f>IF(K73=0,0,R73/K73)</x:f>
        <x:v>1.054973003730653517</x:v>
      </x:c>
    </x:row>
    <x:row r="74" s="20" customFormat="1">
      <x:c r="A74" s="20">
        <x:v>186</x:v>
      </x:c>
      <x:c r="B74" s="7"/>
      <x:c r="C74" s="8"/>
      <x:c r="D74" s="21"/>
      <x:c r="E74" s="24" t="s">
        <x:v>90</x:v>
      </x:c>
      <x:c r="F74" s="33">
        <x:f>KANWIL!F74+SURABAYA!F74+KEDIRI!F74+MALANG!F74+MADIUN!F74+BANYUWANGI!F74</x:f>
        <x:v>0.00</x:v>
      </x:c>
      <x:c r="G74" s="33">
        <x:f>KANWIL!G74+SURABAYA!G74+KEDIRI!G74+MALANG!G74+MADIUN!G74+BANYUWANGI!G74</x:f>
        <x:v>0.00</x:v>
      </x:c>
      <x:c r="H74" s="33">
        <x:f>KANWIL!H74+SURABAYA!H74+KEDIRI!H74+MALANG!H74+MADIUN!H74+BANYUWANGI!H74</x:f>
        <x:v>0.00</x:v>
      </x:c>
      <x:c r="I74" s="33">
        <x:f>KANWIL!I74+SURABAYA!I74+KEDIRI!I74+MALANG!I74+MADIUN!I74+BANYUWANGI!I74</x:f>
        <x:v>0.00</x:v>
      </x:c>
      <x:c r="J74" s="33">
        <x:f>KANWIL!J74+SURABAYA!J74+KEDIRI!J74+MALANG!J74+MADIUN!J74+BANYUWANGI!J74</x:f>
        <x:v>0.00</x:v>
      </x:c>
      <x:c r="K74" s="33">
        <x:f>SUM(F74:J74)</x:f>
        <x:v>0.00</x:v>
      </x:c>
      <x:c r="L74" s="33"/>
      <x:c r="M74" s="33"/>
      <x:c r="N74" s="33"/>
      <x:c r="O74" s="33"/>
      <x:c r="P74" s="33"/>
      <x:c r="Q74" s="33"/>
      <x:c r="R74" s="19"/>
      <x:c r="S74" s="37"/>
    </x:row>
    <x:row r="75" s="20" customFormat="1">
      <x:c r="A75" s="20">
        <x:v>187</x:v>
      </x:c>
      <x:c r="B75" s="7"/>
      <x:c r="C75" s="8"/>
      <x:c r="D75" s="21"/>
      <x:c r="E75" s="24" t="s">
        <x:v>91</x:v>
      </x:c>
      <x:c r="F75" s="33">
        <x:f>KANWIL!F75+SURABAYA!F75+KEDIRI!F75+MALANG!F75+MADIUN!F75+BANYUWANGI!F75</x:f>
        <x:v>0.00</x:v>
      </x:c>
      <x:c r="G75" s="33">
        <x:f>KANWIL!G75+SURABAYA!G75+KEDIRI!G75+MALANG!G75+MADIUN!G75+BANYUWANGI!G75</x:f>
        <x:v>0.00</x:v>
      </x:c>
      <x:c r="H75" s="33">
        <x:f>KANWIL!H75+SURABAYA!H75+KEDIRI!H75+MALANG!H75+MADIUN!H75+BANYUWANGI!H75</x:f>
        <x:v>0.00</x:v>
      </x:c>
      <x:c r="I75" s="33">
        <x:f>KANWIL!I75+SURABAYA!I75+KEDIRI!I75+MALANG!I75+MADIUN!I75+BANYUWANGI!I75</x:f>
        <x:v>0.00</x:v>
      </x:c>
      <x:c r="J75" s="33">
        <x:f>KANWIL!J75+SURABAYA!J75+KEDIRI!J75+MALANG!J75+MADIUN!J75+BANYUWANGI!J75</x:f>
        <x:v>0.00</x:v>
      </x:c>
      <x:c r="K75" s="33">
        <x:f>SUM(F75:J75)</x:f>
        <x:v>0.00</x:v>
      </x:c>
      <x:c r="L75" s="33">
        <x:f>KANWIL!L75+SURABAYA!L75+KEDIRI!L75+MALANG!L75+MADIUN!L75+BANYUWANGI!L75</x:f>
        <x:v>2645845.4500000002</x:v>
      </x:c>
      <x:c r="M75" s="33"/>
      <x:c r="N75" s="33">
        <x:f>KANWIL!N75+SURABAYA!N75+KEDIRI!N75+MALANG!N75+MADIUN!N75+BANYUWANGI!N75</x:f>
        <x:v>68788.123171444916916194259898938863</x:v>
      </x:c>
      <x:c r="O75" s="33">
        <x:f>KANWIL!O75+SURABAYA!O75+KEDIRI!O75+MALANG!O75+MADIUN!O75+BANYUWANGI!O75</x:f>
        <x:v>63812.573437149893537538607034182449</x:v>
      </x:c>
      <x:c r="P75" s="33">
        <x:f>KANWIL!P75+SURABAYA!P75+KEDIRI!P75+MALANG!P75+MADIUN!P75+BANYUWANGI!P75</x:f>
        <x:v>999713.853391405189546267133065746373</x:v>
      </x:c>
      <x:c r="Q75" s="33">
        <x:f>N75+O75+P75</x:f>
        <x:v>1132314.55</x:v>
      </x:c>
      <x:c r="R75" s="19">
        <x:f>SUM(L75:P75)</x:f>
        <x:v>3778160.0000000002</x:v>
      </x:c>
      <x:c r="S75" s="37">
        <x:v>0.00</x:v>
      </x:c>
    </x:row>
    <x:row r="76" s="20" customFormat="1">
      <x:c r="A76" s="20">
        <x:v>188</x:v>
      </x:c>
      <x:c r="B76" s="7"/>
      <x:c r="C76" s="8"/>
      <x:c r="D76" s="21"/>
      <x:c r="E76" s="24" t="s">
        <x:v>92</x:v>
      </x:c>
      <x:c r="F76" s="33">
        <x:f>KANWIL!F76+SURABAYA!F76+KEDIRI!F76+MALANG!F76+MADIUN!F76+BANYUWANGI!F76</x:f>
        <x:v>0.00</x:v>
      </x:c>
      <x:c r="G76" s="33">
        <x:f>KANWIL!G76+SURABAYA!G76+KEDIRI!G76+MALANG!G76+MADIUN!G76+BANYUWANGI!G76</x:f>
        <x:v>0.00</x:v>
      </x:c>
      <x:c r="H76" s="33">
        <x:f>KANWIL!H76+SURABAYA!H76+KEDIRI!H76+MALANG!H76+MADIUN!H76+BANYUWANGI!H76</x:f>
        <x:v>0.00</x:v>
      </x:c>
      <x:c r="I76" s="33">
        <x:f>KANWIL!I76+SURABAYA!I76+KEDIRI!I76+MALANG!I76+MADIUN!I76+BANYUWANGI!I76</x:f>
        <x:v>0.00</x:v>
      </x:c>
      <x:c r="J76" s="33">
        <x:f>KANWIL!J76+SURABAYA!J76+KEDIRI!J76+MALANG!J76+MADIUN!J76+BANYUWANGI!J76</x:f>
        <x:v>0.00</x:v>
      </x:c>
      <x:c r="K76" s="33">
        <x:f>SUM(F76:J76)</x:f>
        <x:v>0.00</x:v>
      </x:c>
      <x:c r="L76" s="33"/>
      <x:c r="M76" s="33"/>
      <x:c r="N76" s="33"/>
      <x:c r="O76" s="33"/>
      <x:c r="P76" s="33"/>
      <x:c r="Q76" s="33"/>
      <x:c r="R76" s="19"/>
      <x:c r="S76" s="37"/>
    </x:row>
    <x:row r="77" s="20" customFormat="1">
      <x:c r="A77" s="20">
        <x:v>189</x:v>
      </x:c>
      <x:c r="B77" s="7"/>
      <x:c r="C77" s="8"/>
      <x:c r="D77" s="21"/>
      <x:c r="E77" s="24" t="s">
        <x:v>93</x:v>
      </x:c>
      <x:c r="F77" s="33">
        <x:f>KANWIL!F77+SURABAYA!F77+KEDIRI!F77+MALANG!F77+MADIUN!F77+BANYUWANGI!F77</x:f>
        <x:v>693742351.00</x:v>
      </x:c>
      <x:c r="G77" s="33">
        <x:f>KANWIL!G77+SURABAYA!G77+KEDIRI!G77+MALANG!G77+MADIUN!G77+BANYUWANGI!G77</x:f>
        <x:v>0.00</x:v>
      </x:c>
      <x:c r="H77" s="33">
        <x:f>KANWIL!H77+SURABAYA!H77+KEDIRI!H77+MALANG!H77+MADIUN!H77+BANYUWANGI!H77</x:f>
        <x:v>14225522.00</x:v>
      </x:c>
      <x:c r="I77" s="33">
        <x:f>KANWIL!I77+SURABAYA!I77+KEDIRI!I77+MALANG!I77+MADIUN!I77+BANYUWANGI!I77</x:f>
        <x:v>18308622.00</x:v>
      </x:c>
      <x:c r="J77" s="33">
        <x:f>KANWIL!J77+SURABAYA!J77+KEDIRI!J77+MALANG!J77+MADIUN!J77+BANYUWANGI!J77</x:f>
        <x:v>80558105.00</x:v>
      </x:c>
      <x:c r="K77" s="33">
        <x:f>SUM(F77:J77)</x:f>
        <x:v>806834600.00</x:v>
      </x:c>
      <x:c r="L77" s="33">
        <x:f>KANWIL!L77+SURABAYA!L77+KEDIRI!L77+MALANG!L77+MADIUN!L77+BANYUWANGI!L77</x:f>
        <x:v>307661627.000000009</x:v>
      </x:c>
      <x:c r="M77" s="33"/>
      <x:c r="N77" s="33">
        <x:f>KANWIL!N77+SURABAYA!N77+KEDIRI!N77+MALANG!N77+MADIUN!N77+BANYUWANGI!N77</x:f>
        <x:v>4265538.635638891486069264153073920103</x:v>
      </x:c>
      <x:c r="O77" s="33">
        <x:f>KANWIL!O77+SURABAYA!O77+KEDIRI!O77+MALANG!O77+MADIUN!O77+BANYUWANGI!O77</x:f>
        <x:v>7911839.033041247787503833167410209346</x:v>
      </x:c>
      <x:c r="P77" s="33">
        <x:f>KANWIL!P77+SURABAYA!P77+KEDIRI!P77+MALANG!P77+MADIUN!P77+BANYUWANGI!P77</x:f>
        <x:v>122028825.361319858226426902679330294327</x:v>
      </x:c>
      <x:c r="Q77" s="33">
        <x:f>N77+O77+P77</x:f>
        <x:v>134206203.0299999975</x:v>
      </x:c>
      <x:c r="R77" s="19">
        <x:f>SUM(L77:P77)</x:f>
        <x:v>441867830.0300000065</x:v>
      </x:c>
      <x:c r="S77" s="37">
        <x:f>IF(K77=0,0,R77/K77)</x:f>
        <x:v>0.547656025200208328</x:v>
      </x:c>
    </x:row>
    <x:row r="78" s="20" customFormat="1">
      <x:c r="A78" s="20">
        <x:v>190</x:v>
      </x:c>
      <x:c r="B78" s="7"/>
      <x:c r="C78" s="8"/>
      <x:c r="D78" s="21"/>
      <x:c r="E78" s="24" t="s">
        <x:v>94</x:v>
      </x:c>
      <x:c r="F78" s="33">
        <x:f>KANWIL!F78+SURABAYA!F78+KEDIRI!F78+MALANG!F78+MADIUN!F78+BANYUWANGI!F78</x:f>
        <x:v>285126456.00</x:v>
      </x:c>
      <x:c r="G78" s="33">
        <x:f>KANWIL!G78+SURABAYA!G78+KEDIRI!G78+MALANG!G78+MADIUN!G78+BANYUWANGI!G78</x:f>
        <x:v>0.00</x:v>
      </x:c>
      <x:c r="H78" s="33">
        <x:f>KANWIL!H78+SURABAYA!H78+KEDIRI!H78+MALANG!H78+MADIUN!H78+BANYUWANGI!H78</x:f>
        <x:v>5846655.00</x:v>
      </x:c>
      <x:c r="I78" s="33">
        <x:f>KANWIL!I78+SURABAYA!I78+KEDIRI!I78+MALANG!I78+MADIUN!I78+BANYUWANGI!I78</x:f>
        <x:v>7524800.00</x:v>
      </x:c>
      <x:c r="J78" s="33">
        <x:f>KANWIL!J78+SURABAYA!J78+KEDIRI!J78+MALANG!J78+MADIUN!J78+BANYUWANGI!J78</x:f>
        <x:v>33109189.00</x:v>
      </x:c>
      <x:c r="K78" s="33">
        <x:f>SUM(F78:J78)</x:f>
        <x:v>331607100.00</x:v>
      </x:c>
      <x:c r="L78" s="33">
        <x:f>KANWIL!L78+SURABAYA!L78+KEDIRI!L78+MALANG!L78+MADIUN!L78+BANYUWANGI!L78</x:f>
        <x:v>114099377.7000000034</x:v>
      </x:c>
      <x:c r="M78" s="33"/>
      <x:c r="N78" s="33">
        <x:f>KANWIL!N78+SURABAYA!N78+KEDIRI!N78+MALANG!N78+MADIUN!N78+BANYUWANGI!N78</x:f>
        <x:v>1439309.569509389396023271557154432737</x:v>
      </x:c>
      <x:c r="O78" s="33">
        <x:f>KANWIL!O78+SURABAYA!O78+KEDIRI!O78+MALANG!O78+MADIUN!O78+BANYUWANGI!O78</x:f>
        <x:v>2970529.866481727689741686833918519247</x:v>
      </x:c>
      <x:c r="P78" s="33">
        <x:f>KANWIL!P78+SURABAYA!P78+KEDIRI!P78+MALANG!P78+MADIUN!P78+BANYUWANGI!P78</x:f>
        <x:v>46819160.924008882314235041608856930575</x:v>
      </x:c>
      <x:c r="Q78" s="33">
        <x:f>N78+O78+P78</x:f>
        <x:v>51229000.3599999994</x:v>
      </x:c>
      <x:c r="R78" s="19">
        <x:f>SUM(L78:P78)</x:f>
        <x:v>165328378.0600000028</x:v>
      </x:c>
      <x:c r="S78" s="37">
        <x:f>IF(K78=0,0,R78/K78)</x:f>
        <x:v>0.498567063431392158</x:v>
      </x:c>
    </x:row>
    <x:row r="79" s="20" customFormat="1">
      <x:c r="A79" s="20">
        <x:v>192</x:v>
      </x:c>
      <x:c r="B79" s="7"/>
      <x:c r="C79" s="8"/>
      <x:c r="D79" s="21"/>
      <x:c r="E79" s="24" t="s">
        <x:v>95</x:v>
      </x:c>
      <x:c r="F79" s="33">
        <x:f>KANWIL!F79+SURABAYA!F79+KEDIRI!F79+MALANG!F79+MADIUN!F79+BANYUWANGI!F79</x:f>
        <x:v>41861489.00</x:v>
      </x:c>
      <x:c r="G79" s="33">
        <x:f>KANWIL!G79+SURABAYA!G79+KEDIRI!G79+MALANG!G79+MADIUN!G79+BANYUWANGI!G79</x:f>
        <x:v>0.00</x:v>
      </x:c>
      <x:c r="H79" s="33">
        <x:f>KANWIL!H79+SURABAYA!H79+KEDIRI!H79+MALANG!H79+MADIUN!H79+BANYUWANGI!H79</x:f>
        <x:v>858389.00</x:v>
      </x:c>
      <x:c r="I79" s="33">
        <x:f>KANWIL!I79+SURABAYA!I79+KEDIRI!I79+MALANG!I79+MADIUN!I79+BANYUWANGI!I79</x:f>
        <x:v>1104771.00</x:v>
      </x:c>
      <x:c r="J79" s="33">
        <x:f>KANWIL!J79+SURABAYA!J79+KEDIRI!J79+MALANG!J79+MADIUN!J79+BANYUWANGI!J79</x:f>
        <x:v>4861001.00</x:v>
      </x:c>
      <x:c r="K79" s="33">
        <x:f>SUM(F79:J79)</x:f>
        <x:v>48685650.00</x:v>
      </x:c>
      <x:c r="L79" s="33">
        <x:f>KANWIL!L79+SURABAYA!L79+KEDIRI!L79+MALANG!L79+MADIUN!L79+BANYUWANGI!L79</x:f>
        <x:v>13854940.40</x:v>
      </x:c>
      <x:c r="M79" s="33"/>
      <x:c r="N79" s="33">
        <x:f>KANWIL!N79+SURABAYA!N79+KEDIRI!N79+MALANG!N79+MADIUN!N79+BANYUWANGI!N79</x:f>
        <x:v>124025.644574543105092010280496268225</x:v>
      </x:c>
      <x:c r="O79" s="33">
        <x:f>KANWIL!O79+SURABAYA!O79+KEDIRI!O79+MALANG!O79+MADIUN!O79+BANYUWANGI!O79</x:f>
        <x:v>299923.496904917722387566456992843054</x:v>
      </x:c>
      <x:c r="P79" s="33">
        <x:f>KANWIL!P79+SURABAYA!P79+KEDIRI!P79+MALANG!P79+MADIUN!P79+BANYUWANGI!P79</x:f>
        <x:v>5754503.598520539072520423262502707313</x:v>
      </x:c>
      <x:c r="Q79" s="33">
        <x:f>N79+O79+P79</x:f>
        <x:v>6178452.7399999999</x:v>
      </x:c>
      <x:c r="R79" s="19">
        <x:f>SUM(L79:P79)</x:f>
        <x:v>20033393.1399999999</x:v>
      </x:c>
      <x:c r="S79" s="37">
        <x:f>IF(K79=0,0,R79/K79)</x:f>
        <x:v>0.411484557359304022</x:v>
      </x:c>
    </x:row>
    <x:row r="80" s="20" customFormat="1">
      <x:c r="A80" s="20">
        <x:v>193</x:v>
      </x:c>
      <x:c r="B80" s="7"/>
      <x:c r="C80" s="8"/>
      <x:c r="D80" s="21"/>
      <x:c r="E80" s="24" t="s">
        <x:v>96</x:v>
      </x:c>
      <x:c r="F80" s="33">
        <x:f>KANWIL!F80+SURABAYA!F80+KEDIRI!F80+MALANG!F80+MADIUN!F80+BANYUWANGI!F80</x:f>
        <x:v>237252092.00</x:v>
      </x:c>
      <x:c r="G80" s="33">
        <x:f>KANWIL!G80+SURABAYA!G80+KEDIRI!G80+MALANG!G80+MADIUN!G80+BANYUWANGI!G80</x:f>
        <x:v>0.00</x:v>
      </x:c>
      <x:c r="H80" s="33">
        <x:f>KANWIL!H80+SURABAYA!H80+KEDIRI!H80+MALANG!H80+MADIUN!H80+BANYUWANGI!H80</x:f>
        <x:v>4864969.00</x:v>
      </x:c>
      <x:c r="I80" s="33">
        <x:f>KANWIL!I80+SURABAYA!I80+KEDIRI!I80+MALANG!I80+MADIUN!I80+BANYUWANGI!I80</x:f>
        <x:v>6261343.00</x:v>
      </x:c>
      <x:c r="J80" s="33">
        <x:f>KANWIL!J80+SURABAYA!J80+KEDIRI!J80+MALANG!J80+MADIUN!J80+BANYUWANGI!J80</x:f>
        <x:v>27549967.00</x:v>
      </x:c>
      <x:c r="K80" s="33">
        <x:f>SUM(F80:J80)</x:f>
        <x:v>275928371.00</x:v>
      </x:c>
      <x:c r="L80" s="33">
        <x:f>KANWIL!L80+SURABAYA!L80+KEDIRI!L80+MALANG!L80+MADIUN!L80+BANYUWANGI!L80</x:f>
        <x:v>306615697.320000008</x:v>
      </x:c>
      <x:c r="M80" s="33"/>
      <x:c r="N80" s="33">
        <x:f>KANWIL!N80+SURABAYA!N80+KEDIRI!N80+MALANG!N80+MADIUN!N80+BANYUWANGI!N80</x:f>
        <x:v>5041614.220955666298042900037651955492</x:v>
      </x:c>
      <x:c r="O80" s="33">
        <x:f>KANWIL!O80+SURABAYA!O80+KEDIRI!O80+MALANG!O80+MADIUN!O80+BANYUWANGI!O80</x:f>
        <x:v>7037650.860934190406427804341846029942</x:v>
      </x:c>
      <x:c r="P80" s="33">
        <x:f>KANWIL!P80+SURABAYA!P80+KEDIRI!P80+MALANG!P80+MADIUN!P80+BANYUWANGI!P80</x:f>
        <x:v>123162880.608110137695529295620343042714</x:v>
      </x:c>
      <x:c r="Q80" s="33">
        <x:f>N80+O80+P80</x:f>
        <x:v>135242145.6899999944</x:v>
      </x:c>
      <x:c r="R80" s="19">
        <x:f>SUM(L80:P80)</x:f>
        <x:v>441857843.0100000024</x:v>
      </x:c>
      <x:c r="S80" s="37">
        <x:f>IF(K80=0,0,R80/K80)</x:f>
        <x:v>1.601349804692609888</x:v>
      </x:c>
    </x:row>
    <x:row r="81" s="20" customFormat="1">
      <x:c r="A81" s="20">
        <x:v>204</x:v>
      </x:c>
      <x:c r="B81" s="7"/>
      <x:c r="C81" s="8"/>
      <x:c r="D81" s="21"/>
      <x:c r="E81" s="24" t="s">
        <x:v>97</x:v>
      </x:c>
      <x:c r="F81" s="33">
        <x:f>KANWIL!F81+SURABAYA!F81+KEDIRI!F81+MALANG!F81+MADIUN!F81+BANYUWANGI!F81</x:f>
        <x:v>1295889838.00</x:v>
      </x:c>
      <x:c r="G81" s="33">
        <x:f>KANWIL!G81+SURABAYA!G81+KEDIRI!G81+MALANG!G81+MADIUN!G81+BANYUWANGI!G81</x:f>
        <x:v>0.00</x:v>
      </x:c>
      <x:c r="H81" s="33">
        <x:f>KANWIL!H81+SURABAYA!H81+KEDIRI!H81+MALANG!H81+MADIUN!H81+BANYUWANGI!H81</x:f>
        <x:v>26572847.00</x:v>
      </x:c>
      <x:c r="I81" s="33">
        <x:f>KANWIL!I81+SURABAYA!I81+KEDIRI!I81+MALANG!I81+MADIUN!I81+BANYUWANGI!I81</x:f>
        <x:v>34199954.00</x:v>
      </x:c>
      <x:c r="J81" s="33">
        <x:f>KANWIL!J81+SURABAYA!J81+KEDIRI!J81+MALANG!J81+MADIUN!J81+BANYUWANGI!J81</x:f>
        <x:v>150480114.00</x:v>
      </x:c>
      <x:c r="K81" s="33">
        <x:f>SUM(F81:J81)</x:f>
        <x:v>1507142753.00</x:v>
      </x:c>
      <x:c r="L81" s="33">
        <x:f>KANWIL!L81+SURABAYA!L81+KEDIRI!L81+MALANG!L81+MADIUN!L81+BANYUWANGI!L81</x:f>
        <x:v>309148770.420000009</x:v>
      </x:c>
      <x:c r="M81" s="33"/>
      <x:c r="N81" s="33">
        <x:f>KANWIL!N81+SURABAYA!N81+KEDIRI!N81+MALANG!N81+MADIUN!N81+BANYUWANGI!N81</x:f>
        <x:v>3360043.471561813068638812203043006823</x:v>
      </x:c>
      <x:c r="O81" s="33">
        <x:f>KANWIL!O81+SURABAYA!O81+KEDIRI!O81+MALANG!O81+MADIUN!O81+BANYUWANGI!O81</x:f>
        <x:v>7093655.924257832006501723219647295142</x:v>
      </x:c>
      <x:c r="P81" s="33">
        <x:f>KANWIL!P81+SURABAYA!P81+KEDIRI!P81+MALANG!P81+MADIUN!P81+BANYUWANGI!P81</x:f>
        <x:v>121735579.204180351624859464577131917330</x:v>
      </x:c>
      <x:c r="Q81" s="33">
        <x:f>N81+O81+P81</x:f>
        <x:v>132189278.5999999967</x:v>
      </x:c>
      <x:c r="R81" s="19">
        <x:f>SUM(L81:P81)</x:f>
        <x:v>441338049.0200000057</x:v>
      </x:c>
      <x:c r="S81" s="37">
        <x:f>IF(K81=0,0,R81/K81)</x:f>
        <x:v>0.292830953233532222</x:v>
      </x:c>
    </x:row>
    <x:row r="82" s="20" customFormat="1">
      <x:c r="A82" s="20">
        <x:v>194</x:v>
      </x:c>
      <x:c r="B82" s="7"/>
      <x:c r="C82" s="8"/>
      <x:c r="D82" s="21"/>
      <x:c r="E82" s="24" t="s">
        <x:v>98</x:v>
      </x:c>
      <x:c r="F82" s="33">
        <x:f>KANWIL!F82+SURABAYA!F82+KEDIRI!F82+MALANG!F82+MADIUN!F82+BANYUWANGI!F82</x:f>
        <x:v>0.00</x:v>
      </x:c>
      <x:c r="G82" s="33">
        <x:f>KANWIL!G82+SURABAYA!G82+KEDIRI!G82+MALANG!G82+MADIUN!G82+BANYUWANGI!G82</x:f>
        <x:v>0.00</x:v>
      </x:c>
      <x:c r="H82" s="33">
        <x:f>KANWIL!H82+SURABAYA!H82+KEDIRI!H82+MALANG!H82+MADIUN!H82+BANYUWANGI!H82</x:f>
        <x:v>0.00</x:v>
      </x:c>
      <x:c r="I82" s="33">
        <x:f>KANWIL!I82+SURABAYA!I82+KEDIRI!I82+MALANG!I82+MADIUN!I82+BANYUWANGI!I82</x:f>
        <x:v>0.00</x:v>
      </x:c>
      <x:c r="J82" s="33">
        <x:f>KANWIL!J82+SURABAYA!J82+KEDIRI!J82+MALANG!J82+MADIUN!J82+BANYUWANGI!J82</x:f>
        <x:v>0.00</x:v>
      </x:c>
      <x:c r="K82" s="33">
        <x:f>SUM(F82:J82)</x:f>
        <x:v>0.00</x:v>
      </x:c>
      <x:c r="L82" s="33"/>
      <x:c r="M82" s="33"/>
      <x:c r="N82" s="33"/>
      <x:c r="O82" s="33"/>
      <x:c r="P82" s="33"/>
      <x:c r="Q82" s="33"/>
      <x:c r="R82" s="19"/>
      <x:c r="S82" s="37"/>
    </x:row>
    <x:row r="83" s="20" customFormat="1">
      <x:c r="A83" s="20">
        <x:v>195</x:v>
      </x:c>
      <x:c r="B83" s="7"/>
      <x:c r="C83" s="8"/>
      <x:c r="D83" s="21"/>
      <x:c r="E83" s="24" t="s">
        <x:v>99</x:v>
      </x:c>
      <x:c r="F83" s="33">
        <x:f>KANWIL!F83+SURABAYA!F83+KEDIRI!F83+MALANG!F83+MADIUN!F83+BANYUWANGI!F83</x:f>
        <x:v>0.00</x:v>
      </x:c>
      <x:c r="G83" s="33">
        <x:f>KANWIL!G83+SURABAYA!G83+KEDIRI!G83+MALANG!G83+MADIUN!G83+BANYUWANGI!G83</x:f>
        <x:v>0.00</x:v>
      </x:c>
      <x:c r="H83" s="33">
        <x:f>KANWIL!H83+SURABAYA!H83+KEDIRI!H83+MALANG!H83+MADIUN!H83+BANYUWANGI!H83</x:f>
        <x:v>0.00</x:v>
      </x:c>
      <x:c r="I83" s="33">
        <x:f>KANWIL!I83+SURABAYA!I83+KEDIRI!I83+MALANG!I83+MADIUN!I83+BANYUWANGI!I83</x:f>
        <x:v>0.00</x:v>
      </x:c>
      <x:c r="J83" s="33">
        <x:f>KANWIL!J83+SURABAYA!J83+KEDIRI!J83+MALANG!J83+MADIUN!J83+BANYUWANGI!J83</x:f>
        <x:v>0.00</x:v>
      </x:c>
      <x:c r="K83" s="33">
        <x:f>SUM(F83:J83)</x:f>
        <x:v>0.00</x:v>
      </x:c>
      <x:c r="L83" s="33"/>
      <x:c r="M83" s="33"/>
      <x:c r="N83" s="33"/>
      <x:c r="O83" s="33"/>
      <x:c r="P83" s="33"/>
      <x:c r="Q83" s="33"/>
      <x:c r="R83" s="19"/>
      <x:c r="S83" s="37"/>
    </x:row>
    <x:row r="84" s="20" customFormat="1">
      <x:c r="A84" s="20">
        <x:v>196</x:v>
      </x:c>
      <x:c r="B84" s="7"/>
      <x:c r="C84" s="8"/>
      <x:c r="D84" s="21"/>
      <x:c r="E84" s="24" t="s">
        <x:v>100</x:v>
      </x:c>
      <x:c r="F84" s="33">
        <x:f>KANWIL!F84+SURABAYA!F84+KEDIRI!F84+MALANG!F84+MADIUN!F84+BANYUWANGI!F84</x:f>
        <x:v>0.00</x:v>
      </x:c>
      <x:c r="G84" s="33">
        <x:f>KANWIL!G84+SURABAYA!G84+KEDIRI!G84+MALANG!G84+MADIUN!G84+BANYUWANGI!G84</x:f>
        <x:v>0.00</x:v>
      </x:c>
      <x:c r="H84" s="33">
        <x:f>KANWIL!H84+SURABAYA!H84+KEDIRI!H84+MALANG!H84+MADIUN!H84+BANYUWANGI!H84</x:f>
        <x:v>0.00</x:v>
      </x:c>
      <x:c r="I84" s="33">
        <x:f>KANWIL!I84+SURABAYA!I84+KEDIRI!I84+MALANG!I84+MADIUN!I84+BANYUWANGI!I84</x:f>
        <x:v>0.00</x:v>
      </x:c>
      <x:c r="J84" s="33">
        <x:f>KANWIL!J84+SURABAYA!J84+KEDIRI!J84+MALANG!J84+MADIUN!J84+BANYUWANGI!J84</x:f>
        <x:v>0.00</x:v>
      </x:c>
      <x:c r="K84" s="33">
        <x:f>SUM(F84:J84)</x:f>
        <x:v>0.00</x:v>
      </x:c>
      <x:c r="L84" s="33"/>
      <x:c r="M84" s="33"/>
      <x:c r="N84" s="33"/>
      <x:c r="O84" s="33"/>
      <x:c r="P84" s="33"/>
      <x:c r="Q84" s="33"/>
      <x:c r="R84" s="19"/>
      <x:c r="S84" s="37"/>
    </x:row>
    <x:row r="85" s="20" customFormat="1">
      <x:c r="A85" s="20">
        <x:v>197</x:v>
      </x:c>
      <x:c r="B85" s="7"/>
      <x:c r="C85" s="8"/>
      <x:c r="D85" s="21"/>
      <x:c r="E85" s="24" t="s">
        <x:v>101</x:v>
      </x:c>
      <x:c r="F85" s="33">
        <x:f>KANWIL!F85+SURABAYA!F85+KEDIRI!F85+MALANG!F85+MADIUN!F85+BANYUWANGI!F85</x:f>
        <x:v>0.00</x:v>
      </x:c>
      <x:c r="G85" s="33">
        <x:f>KANWIL!G85+SURABAYA!G85+KEDIRI!G85+MALANG!G85+MADIUN!G85+BANYUWANGI!G85</x:f>
        <x:v>0.00</x:v>
      </x:c>
      <x:c r="H85" s="33">
        <x:f>KANWIL!H85+SURABAYA!H85+KEDIRI!H85+MALANG!H85+MADIUN!H85+BANYUWANGI!H85</x:f>
        <x:v>0.00</x:v>
      </x:c>
      <x:c r="I85" s="33">
        <x:f>KANWIL!I85+SURABAYA!I85+KEDIRI!I85+MALANG!I85+MADIUN!I85+BANYUWANGI!I85</x:f>
        <x:v>0.00</x:v>
      </x:c>
      <x:c r="J85" s="33">
        <x:f>KANWIL!J85+SURABAYA!J85+KEDIRI!J85+MALANG!J85+MADIUN!J85+BANYUWANGI!J85</x:f>
        <x:v>0.00</x:v>
      </x:c>
      <x:c r="K85" s="33">
        <x:f>SUM(F85:J85)</x:f>
        <x:v>0.00</x:v>
      </x:c>
      <x:c r="L85" s="33"/>
      <x:c r="M85" s="33"/>
      <x:c r="N85" s="33"/>
      <x:c r="O85" s="33"/>
      <x:c r="P85" s="33"/>
      <x:c r="Q85" s="33"/>
      <x:c r="R85" s="19"/>
      <x:c r="S85" s="37"/>
    </x:row>
    <x:row r="86" s="20" customFormat="1">
      <x:c r="A86" s="20">
        <x:v>198</x:v>
      </x:c>
      <x:c r="B86" s="7"/>
      <x:c r="C86" s="8"/>
      <x:c r="D86" s="21"/>
      <x:c r="E86" s="24" t="s">
        <x:v>102</x:v>
      </x:c>
      <x:c r="F86" s="33">
        <x:f>KANWIL!F86+SURABAYA!F86+KEDIRI!F86+MALANG!F86+MADIUN!F86+BANYUWANGI!F86</x:f>
        <x:v>0.00</x:v>
      </x:c>
      <x:c r="G86" s="33">
        <x:f>KANWIL!G86+SURABAYA!G86+KEDIRI!G86+MALANG!G86+MADIUN!G86+BANYUWANGI!G86</x:f>
        <x:v>0.00</x:v>
      </x:c>
      <x:c r="H86" s="33">
        <x:f>KANWIL!H86+SURABAYA!H86+KEDIRI!H86+MALANG!H86+MADIUN!H86+BANYUWANGI!H86</x:f>
        <x:v>0.00</x:v>
      </x:c>
      <x:c r="I86" s="33">
        <x:f>KANWIL!I86+SURABAYA!I86+KEDIRI!I86+MALANG!I86+MADIUN!I86+BANYUWANGI!I86</x:f>
        <x:v>0.00</x:v>
      </x:c>
      <x:c r="J86" s="33">
        <x:f>KANWIL!J86+SURABAYA!J86+KEDIRI!J86+MALANG!J86+MADIUN!J86+BANYUWANGI!J86</x:f>
        <x:v>0.00</x:v>
      </x:c>
      <x:c r="K86" s="33">
        <x:f>SUM(F86:J86)</x:f>
        <x:v>0.00</x:v>
      </x:c>
      <x:c r="L86" s="33"/>
      <x:c r="M86" s="33"/>
      <x:c r="N86" s="33"/>
      <x:c r="O86" s="33"/>
      <x:c r="P86" s="33"/>
      <x:c r="Q86" s="33"/>
      <x:c r="R86" s="19"/>
      <x:c r="S86" s="37"/>
    </x:row>
    <x:row r="87" s="28" customFormat="1">
      <x:c r="A87" s="28">
        <x:v>202</x:v>
      </x:c>
      <x:c r="B87" s="7"/>
      <x:c r="C87" s="8"/>
      <x:c r="D87" s="59"/>
      <x:c r="E87" s="60" t="s">
        <x:v>103</x:v>
      </x:c>
      <x:c r="F87" s="64">
        <x:f>KANWIL!F87+SURABAYA!F87+KEDIRI!F87+MALANG!F87+MADIUN!F87+BANYUWANGI!F87</x:f>
        <x:v>908032614.00</x:v>
      </x:c>
      <x:c r="G87" s="64">
        <x:f>KANWIL!G87+SURABAYA!G87+KEDIRI!G87+MALANG!G87+MADIUN!G87+BANYUWANGI!G87</x:f>
        <x:v>0.00</x:v>
      </x:c>
      <x:c r="H87" s="64">
        <x:f>KANWIL!H87+SURABAYA!H87+KEDIRI!H87+MALANG!H87+MADIUN!H87+BANYUWANGI!H87</x:f>
        <x:v>18619648.00</x:v>
      </x:c>
      <x:c r="I87" s="64">
        <x:f>KANWIL!I87+SURABAYA!I87+KEDIRI!I87+MALANG!I87+MADIUN!I87+BANYUWANGI!I87</x:f>
        <x:v>23963977.00</x:v>
      </x:c>
      <x:c r="J87" s="64">
        <x:f>KANWIL!J87+SURABAYA!J87+KEDIRI!J87+MALANG!J87+MADIUN!J87+BANYUWANGI!J87</x:f>
        <x:v>105441720.00</x:v>
      </x:c>
      <x:c r="K87" s="64">
        <x:f>SUM(F87:J87)</x:f>
        <x:v>1056057959.00</x:v>
      </x:c>
      <x:c r="L87" s="64">
        <x:f>KANWIL!L87+SURABAYA!L87+KEDIRI!L87+MALANG!L87+MADIUN!L87+BANYUWANGI!L87</x:f>
        <x:v>375283780.760000003</x:v>
      </x:c>
      <x:c r="M87" s="64"/>
      <x:c r="N87" s="64">
        <x:f>KANWIL!N87+SURABAYA!N87+KEDIRI!N87+MALANG!N87+MADIUN!N87+BANYUWANGI!N87</x:f>
        <x:v>4237244.872235109266361371702911810729</x:v>
      </x:c>
      <x:c r="O87" s="64">
        <x:f>KANWIL!O87+SURABAYA!O87+KEDIRI!O87+MALANG!O87+MADIUN!O87+BANYUWANGI!O87</x:f>
        <x:v>8769614.816204755290054379349620737069</x:v>
      </x:c>
      <x:c r="P87" s="64">
        <x:f>KANWIL!P87+SURABAYA!P87+KEDIRI!P87+MALANG!P87+MADIUN!P87+BANYUWANGI!P87</x:f>
        <x:v>153889212.581560134443584248947231631884</x:v>
      </x:c>
      <x:c r="Q87" s="64">
        <x:f>N87+O87+P87</x:f>
        <x:v>166896072.269999999</x:v>
      </x:c>
      <x:c r="R87" s="62">
        <x:f>SUM(L87:P87)</x:f>
        <x:v>542179853.030000002</x:v>
      </x:c>
      <x:c r="S87" s="65">
        <x:v>0.513399712969731050</x:v>
      </x:c>
    </x:row>
    <x:row r="88" s="20" customFormat="1">
      <x:c r="A88" s="20">
        <x:v>203</x:v>
      </x:c>
      <x:c r="B88" s="7"/>
      <x:c r="C88" s="8"/>
      <x:c r="D88" s="21"/>
      <x:c r="E88" s="24" t="s">
        <x:v>104</x:v>
      </x:c>
      <x:c r="F88" s="33">
        <x:f>KANWIL!F88+SURABAYA!F88+KEDIRI!F88+MALANG!F88+MADIUN!F88+BANYUWANGI!F88</x:f>
        <x:v>19718966.00</x:v>
      </x:c>
      <x:c r="G88" s="33">
        <x:f>KANWIL!G88+SURABAYA!G88+KEDIRI!G88+MALANG!G88+MADIUN!G88+BANYUWANGI!G88</x:f>
        <x:v>0.00</x:v>
      </x:c>
      <x:c r="H88" s="33">
        <x:f>KANWIL!H88+SURABAYA!H88+KEDIRI!H88+MALANG!H88+MADIUN!H88+BANYUWANGI!H88</x:f>
        <x:v>404346.00</x:v>
      </x:c>
      <x:c r="I88" s="33">
        <x:f>KANWIL!I88+SURABAYA!I88+KEDIRI!I88+MALANG!I88+MADIUN!I88+BANYUWANGI!I88</x:f>
        <x:v>520405.00</x:v>
      </x:c>
      <x:c r="J88" s="33">
        <x:f>KANWIL!J88+SURABAYA!J88+KEDIRI!J88+MALANG!J88+MADIUN!J88+BANYUWANGI!J88</x:f>
        <x:v>2289787.00</x:v>
      </x:c>
      <x:c r="K88" s="33">
        <x:f>SUM(F88:J88)</x:f>
        <x:v>22933504.00</x:v>
      </x:c>
      <x:c r="L88" s="33">
        <x:f>KANWIL!L88+SURABAYA!L88+KEDIRI!L88+MALANG!L88+MADIUN!L88+BANYUWANGI!L88</x:f>
        <x:v>30075358.569999999</x:v>
      </x:c>
      <x:c r="M88" s="33"/>
      <x:c r="N88" s="33">
        <x:f>KANWIL!N88+SURABAYA!N88+KEDIRI!N88+MALANG!N88+MADIUN!N88+BANYUWANGI!N88</x:f>
        <x:v>476723.449088444733529553937826059964</x:v>
      </x:c>
      <x:c r="O88" s="33">
        <x:f>KANWIL!O88+SURABAYA!O88+KEDIRI!O88+MALANG!O88+MADIUN!O88+BANYUWANGI!O88</x:f>
        <x:v>482191.427472169896525400107899055810</x:v>
      </x:c>
      <x:c r="P88" s="33">
        <x:f>KANWIL!P88+SURABAYA!P88+KEDIRI!P88+MALANG!P88+MADIUN!P88+BANYUWANGI!P88</x:f>
        <x:v>8724457.553439385069945045954265200849</x:v>
      </x:c>
      <x:c r="Q88" s="33">
        <x:f>N88+O88+P88</x:f>
        <x:v>9683372.4299999997</x:v>
      </x:c>
      <x:c r="R88" s="19">
        <x:f>SUM(L88:P88)</x:f>
        <x:v>39758730.9999999987</x:v>
      </x:c>
      <x:c r="S88" s="37">
        <x:f>IF(K88=0,0,R88/K88)</x:f>
        <x:v>1.733652694328786333</x:v>
      </x:c>
    </x:row>
    <x:row r="89" s="20" customFormat="1">
      <x:c r="A89" s="20">
        <x:v>205</x:v>
      </x:c>
      <x:c r="B89" s="7"/>
      <x:c r="C89" s="8"/>
      <x:c r="D89" s="21"/>
      <x:c r="E89" s="24" t="s">
        <x:v>105</x:v>
      </x:c>
      <x:c r="F89" s="33">
        <x:f>KANWIL!F89+SURABAYA!F89+KEDIRI!F89+MALANG!F89+MADIUN!F89+BANYUWANGI!F89</x:f>
        <x:v>453044459.00</x:v>
      </x:c>
      <x:c r="G89" s="33">
        <x:f>KANWIL!G89+SURABAYA!G89+KEDIRI!G89+MALANG!G89+MADIUN!G89+BANYUWANGI!G89</x:f>
        <x:v>0.00</x:v>
      </x:c>
      <x:c r="H89" s="33">
        <x:f>KANWIL!H89+SURABAYA!H89+KEDIRI!H89+MALANG!H89+MADIUN!H89+BANYUWANGI!H89</x:f>
        <x:v>9289895.00</x:v>
      </x:c>
      <x:c r="I89" s="33">
        <x:f>KANWIL!I89+SURABAYA!I89+KEDIRI!I89+MALANG!I89+MADIUN!I89+BANYUWANGI!I89</x:f>
        <x:v>11956340.00</x:v>
      </x:c>
      <x:c r="J89" s="33">
        <x:f>KANWIL!J89+SURABAYA!J89+KEDIRI!J89+MALANG!J89+MADIUN!J89+BANYUWANGI!J89</x:f>
        <x:v>52608008.00</x:v>
      </x:c>
      <x:c r="K89" s="33">
        <x:f>SUM(F89:J89)</x:f>
        <x:v>526898702.00</x:v>
      </x:c>
      <x:c r="L89" s="33">
        <x:f>KANWIL!L89+SURABAYA!L89+KEDIRI!L89+MALANG!L89+MADIUN!L89+BANYUWANGI!L89</x:f>
        <x:v>177104386.7900000021</x:v>
      </x:c>
      <x:c r="M89" s="33"/>
      <x:c r="N89" s="33">
        <x:f>KANWIL!N89+SURABAYA!N89+KEDIRI!N89+MALANG!N89+MADIUN!N89+BANYUWANGI!N89</x:f>
        <x:v>2121833.901178701219775280106636395170</x:v>
      </x:c>
      <x:c r="O89" s="33">
        <x:f>KANWIL!O89+SURABAYA!O89+KEDIRI!O89+MALANG!O89+MADIUN!O89+BANYUWANGI!O89</x:f>
        <x:v>4188232.362344735457198394382046547830</x:v>
      </x:c>
      <x:c r="P89" s="33">
        <x:f>KANWIL!P89+SURABAYA!P89+KEDIRI!P89+MALANG!P89+MADIUN!P89+BANYUWANGI!P89</x:f>
        <x:v>74614192.956476564323026325511209802845</x:v>
      </x:c>
      <x:c r="Q89" s="33">
        <x:f>N89+O89+P89</x:f>
        <x:v>80924259.220000001</x:v>
      </x:c>
      <x:c r="R89" s="19">
        <x:f>SUM(L89:P89)</x:f>
        <x:v>258028646.0100000031</x:v>
      </x:c>
      <x:c r="S89" s="37">
        <x:f>IF(K89=0,0,R89/K89)</x:f>
        <x:v>0.489712054766079122</x:v>
      </x:c>
    </x:row>
    <x:row r="90" s="20" customFormat="1">
      <x:c r="A90" s="20">
        <x:v>206</x:v>
      </x:c>
      <x:c r="B90" s="7"/>
      <x:c r="C90" s="8"/>
      <x:c r="D90" s="21"/>
      <x:c r="E90" s="24" t="s">
        <x:v>106</x:v>
      </x:c>
      <x:c r="F90" s="33">
        <x:f>KANWIL!F90+SURABAYA!F90+KEDIRI!F90+MALANG!F90+MADIUN!F90+BANYUWANGI!F90</x:f>
        <x:v>0.00</x:v>
      </x:c>
      <x:c r="G90" s="33">
        <x:f>KANWIL!G90+SURABAYA!G90+KEDIRI!G90+MALANG!G90+MADIUN!G90+BANYUWANGI!G90</x:f>
        <x:v>0.00</x:v>
      </x:c>
      <x:c r="H90" s="33">
        <x:f>KANWIL!H90+SURABAYA!H90+KEDIRI!H90+MALANG!H90+MADIUN!H90+BANYUWANGI!H90</x:f>
        <x:v>0.00</x:v>
      </x:c>
      <x:c r="I90" s="33">
        <x:f>KANWIL!I90+SURABAYA!I90+KEDIRI!I90+MALANG!I90+MADIUN!I90+BANYUWANGI!I90</x:f>
        <x:v>0.00</x:v>
      </x:c>
      <x:c r="J90" s="33">
        <x:f>KANWIL!J90+SURABAYA!J90+KEDIRI!J90+MALANG!J90+MADIUN!J90+BANYUWANGI!J90</x:f>
        <x:v>0.00</x:v>
      </x:c>
      <x:c r="K90" s="33">
        <x:f>SUM(F90:J90)</x:f>
        <x:v>0.00</x:v>
      </x:c>
      <x:c r="L90" s="33">
        <x:f>KANWIL!L90+SURABAYA!L90+KEDIRI!L90+MALANG!L90+MADIUN!L90+BANYUWANGI!L90</x:f>
        <x:v>6915895.45</x:v>
      </x:c>
      <x:c r="M90" s="33"/>
      <x:c r="N90" s="33">
        <x:f>KANWIL!N90+SURABAYA!N90+KEDIRI!N90+MALANG!N90+MADIUN!N90+BANYUWANGI!N90</x:f>
        <x:v>347494.940078343560444117946012118023</x:v>
      </x:c>
      <x:c r="O90" s="33">
        <x:f>KANWIL!O90+SURABAYA!O90+KEDIRI!O90+MALANG!O90+MADIUN!O90+BANYUWANGI!O90</x:f>
        <x:v>404782.731196646961840298020373159648</x:v>
      </x:c>
      <x:c r="P90" s="33">
        <x:f>KANWIL!P90+SURABAYA!P90+KEDIRI!P90+MALANG!P90+MADIUN!P90+BANYUWANGI!P90</x:f>
        <x:v>9213703.878725009077715584033604756342</x:v>
      </x:c>
      <x:c r="Q90" s="33">
        <x:f>N90+O90+P90</x:f>
        <x:v>9965981.5499999996</x:v>
      </x:c>
      <x:c r="R90" s="19">
        <x:f>SUM(L90:P90)</x:f>
        <x:v>16881876.9999999996</x:v>
      </x:c>
      <x:c r="S90" s="37">
        <x:f>IF(K90=0,0,R90/K90)</x:f>
        <x:v>0.00</x:v>
      </x:c>
    </x:row>
    <x:row r="91" s="20" customFormat="1">
      <x:c r="A91" s="20">
        <x:v>244</x:v>
      </x:c>
      <x:c r="B91" s="7"/>
      <x:c r="C91" s="8"/>
      <x:c r="D91" s="21"/>
      <x:c r="E91" s="24" t="s">
        <x:v>107</x:v>
      </x:c>
      <x:c r="F91" s="33">
        <x:f>KANWIL!F91+SURABAYA!F91+KEDIRI!F91+MALANG!F91+MADIUN!F91+BANYUWANGI!F91</x:f>
        <x:v>58756307.00</x:v>
      </x:c>
      <x:c r="G91" s="33">
        <x:f>KANWIL!G91+SURABAYA!G91+KEDIRI!G91+MALANG!G91+MADIUN!G91+BANYUWANGI!G91</x:f>
        <x:v>0.00</x:v>
      </x:c>
      <x:c r="H91" s="33">
        <x:f>KANWIL!H91+SURABAYA!H91+KEDIRI!H91+MALANG!H91+MADIUN!H91+BANYUWANGI!H91</x:f>
        <x:v>1204827.00</x:v>
      </x:c>
      <x:c r="I91" s="33">
        <x:f>KANWIL!I91+SURABAYA!I91+KEDIRI!I91+MALANG!I91+MADIUN!I91+BANYUWANGI!I91</x:f>
        <x:v>1550644.00</x:v>
      </x:c>
      <x:c r="J91" s="33">
        <x:f>KANWIL!J91+SURABAYA!J91+KEDIRI!J91+MALANG!J91+MADIUN!J91+BANYUWANGI!J91</x:f>
        <x:v>6822846.00</x:v>
      </x:c>
      <x:c r="K91" s="33">
        <x:f>SUM(F91:J91)</x:f>
        <x:v>68334624.00</x:v>
      </x:c>
      <x:c r="L91" s="33">
        <x:f>KANWIL!L91+SURABAYA!L91+KEDIRI!L91+MALANG!L91+MADIUN!L91+BANYUWANGI!L91</x:f>
        <x:v>26539239.1800000001</x:v>
      </x:c>
      <x:c r="M91" s="33"/>
      <x:c r="N91" s="33">
        <x:f>KANWIL!N91+SURABAYA!N91+KEDIRI!N91+MALANG!N91+MADIUN!N91+BANYUWANGI!N91</x:f>
        <x:v>252965.146924429813420569136962506507</x:v>
      </x:c>
      <x:c r="O91" s="33">
        <x:f>KANWIL!O91+SURABAYA!O91+KEDIRI!O91+MALANG!O91+MADIUN!O91+BANYUWANGI!O91</x:f>
        <x:v>758637.821179660794043348896256679498</x:v>
      </x:c>
      <x:c r="P91" s="33">
        <x:f>KANWIL!P91+SURABAYA!P91+KEDIRI!P91+MALANG!P91+MADIUN!P91+BANYUWANGI!P91</x:f>
        <x:v>10863717.851895909292536081966763131880</x:v>
      </x:c>
      <x:c r="Q91" s="33">
        <x:f>N91+O91+P91</x:f>
        <x:v>11875320.8199999999</x:v>
      </x:c>
      <x:c r="R91" s="19">
        <x:f>SUM(L91:P91)</x:f>
        <x:v>38414560.0000000000</x:v>
      </x:c>
      <x:c r="S91" s="37">
        <x:f>IF(K91=0,0,R91/K91)</x:f>
        <x:v>0.562153674834005086</x:v>
      </x:c>
    </x:row>
    <x:row r="92" s="20" customFormat="1">
      <x:c r="A92" s="20">
        <x:v>213</x:v>
      </x:c>
      <x:c r="B92" s="7"/>
      <x:c r="C92" s="8"/>
      <x:c r="D92" s="21"/>
      <x:c r="E92" s="24" t="s">
        <x:v>108</x:v>
      </x:c>
      <x:c r="F92" s="33">
        <x:f>KANWIL!F92+SURABAYA!F92+KEDIRI!F92+MALANG!F92+MADIUN!F92+BANYUWANGI!F92</x:f>
        <x:v>0.00</x:v>
      </x:c>
      <x:c r="G92" s="33">
        <x:f>KANWIL!G92+SURABAYA!G92+KEDIRI!G92+MALANG!G92+MADIUN!G92+BANYUWANGI!G92</x:f>
        <x:v>0.00</x:v>
      </x:c>
      <x:c r="H92" s="33">
        <x:f>KANWIL!H92+SURABAYA!H92+KEDIRI!H92+MALANG!H92+MADIUN!H92+BANYUWANGI!H92</x:f>
        <x:v>0.00</x:v>
      </x:c>
      <x:c r="I92" s="33">
        <x:f>KANWIL!I92+SURABAYA!I92+KEDIRI!I92+MALANG!I92+MADIUN!I92+BANYUWANGI!I92</x:f>
        <x:v>0.00</x:v>
      </x:c>
      <x:c r="J92" s="33">
        <x:f>KANWIL!J92+SURABAYA!J92+KEDIRI!J92+MALANG!J92+MADIUN!J92+BANYUWANGI!J92</x:f>
        <x:v>0.00</x:v>
      </x:c>
      <x:c r="K92" s="33">
        <x:f>SUM(F92:J92)</x:f>
        <x:v>0.00</x:v>
      </x:c>
      <x:c r="L92" s="33"/>
      <x:c r="M92" s="33"/>
      <x:c r="N92" s="33"/>
      <x:c r="O92" s="33"/>
      <x:c r="P92" s="33"/>
      <x:c r="Q92" s="33"/>
      <x:c r="R92" s="19"/>
      <x:c r="S92" s="37"/>
    </x:row>
    <x:row r="93" s="20" customFormat="1">
      <x:c r="A93" s="20">
        <x:v>207</x:v>
      </x:c>
      <x:c r="B93" s="7"/>
      <x:c r="C93" s="8"/>
      <x:c r="D93" s="21"/>
      <x:c r="E93" s="24" t="s">
        <x:v>109</x:v>
      </x:c>
      <x:c r="F93" s="33">
        <x:f>KANWIL!F93+SURABAYA!F93+KEDIRI!F93+MALANG!F93+MADIUN!F93+BANYUWANGI!F93</x:f>
        <x:v>0.00</x:v>
      </x:c>
      <x:c r="G93" s="33">
        <x:f>KANWIL!G93+SURABAYA!G93+KEDIRI!G93+MALANG!G93+MADIUN!G93+BANYUWANGI!G93</x:f>
        <x:v>0.00</x:v>
      </x:c>
      <x:c r="H93" s="33">
        <x:f>KANWIL!H93+SURABAYA!H93+KEDIRI!H93+MALANG!H93+MADIUN!H93+BANYUWANGI!H93</x:f>
        <x:v>0.00</x:v>
      </x:c>
      <x:c r="I93" s="33">
        <x:f>KANWIL!I93+SURABAYA!I93+KEDIRI!I93+MALANG!I93+MADIUN!I93+BANYUWANGI!I93</x:f>
        <x:v>0.00</x:v>
      </x:c>
      <x:c r="J93" s="33">
        <x:f>KANWIL!J93+SURABAYA!J93+KEDIRI!J93+MALANG!J93+MADIUN!J93+BANYUWANGI!J93</x:f>
        <x:v>0.00</x:v>
      </x:c>
      <x:c r="K93" s="33">
        <x:f>SUM(F93:J93)</x:f>
        <x:v>0.00</x:v>
      </x:c>
      <x:c r="L93" s="33"/>
      <x:c r="M93" s="33"/>
      <x:c r="N93" s="33"/>
      <x:c r="O93" s="33"/>
      <x:c r="P93" s="33"/>
      <x:c r="Q93" s="33"/>
      <x:c r="R93" s="19"/>
      <x:c r="S93" s="37"/>
    </x:row>
    <x:row r="94" s="20" customFormat="1">
      <x:c r="A94" s="20">
        <x:v>208</x:v>
      </x:c>
      <x:c r="B94" s="7"/>
      <x:c r="C94" s="8"/>
      <x:c r="D94" s="21"/>
      <x:c r="E94" s="24" t="s">
        <x:v>110</x:v>
      </x:c>
      <x:c r="F94" s="33">
        <x:f>KANWIL!F94+SURABAYA!F94+KEDIRI!F94+MALANG!F94+MADIUN!F94+BANYUWANGI!F94</x:f>
        <x:v>0.00</x:v>
      </x:c>
      <x:c r="G94" s="33">
        <x:f>KANWIL!G94+SURABAYA!G94+KEDIRI!G94+MALANG!G94+MADIUN!G94+BANYUWANGI!G94</x:f>
        <x:v>0.00</x:v>
      </x:c>
      <x:c r="H94" s="33">
        <x:f>KANWIL!H94+SURABAYA!H94+KEDIRI!H94+MALANG!H94+MADIUN!H94+BANYUWANGI!H94</x:f>
        <x:v>0.00</x:v>
      </x:c>
      <x:c r="I94" s="33">
        <x:f>KANWIL!I94+SURABAYA!I94+KEDIRI!I94+MALANG!I94+MADIUN!I94+BANYUWANGI!I94</x:f>
        <x:v>0.00</x:v>
      </x:c>
      <x:c r="J94" s="33">
        <x:f>KANWIL!J94+SURABAYA!J94+KEDIRI!J94+MALANG!J94+MADIUN!J94+BANYUWANGI!J94</x:f>
        <x:v>0.00</x:v>
      </x:c>
      <x:c r="K94" s="33">
        <x:f>SUM(F94:J94)</x:f>
        <x:v>0.00</x:v>
      </x:c>
      <x:c r="L94" s="33"/>
      <x:c r="M94" s="33"/>
      <x:c r="N94" s="33"/>
      <x:c r="O94" s="33"/>
      <x:c r="P94" s="33"/>
      <x:c r="Q94" s="33"/>
      <x:c r="R94" s="19"/>
      <x:c r="S94" s="37"/>
    </x:row>
    <x:row r="95" s="20" customFormat="1">
      <x:c r="A95" s="20">
        <x:v>209</x:v>
      </x:c>
      <x:c r="B95" s="7"/>
      <x:c r="C95" s="8"/>
      <x:c r="D95" s="21"/>
      <x:c r="E95" s="24" t="s">
        <x:v>111</x:v>
      </x:c>
      <x:c r="F95" s="33">
        <x:f>KANWIL!F95+SURABAYA!F95+KEDIRI!F95+MALANG!F95+MADIUN!F95+BANYUWANGI!F95</x:f>
        <x:v>0.00</x:v>
      </x:c>
      <x:c r="G95" s="33">
        <x:f>KANWIL!G95+SURABAYA!G95+KEDIRI!G95+MALANG!G95+MADIUN!G95+BANYUWANGI!G95</x:f>
        <x:v>0.00</x:v>
      </x:c>
      <x:c r="H95" s="33">
        <x:f>KANWIL!H95+SURABAYA!H95+KEDIRI!H95+MALANG!H95+MADIUN!H95+BANYUWANGI!H95</x:f>
        <x:v>0.00</x:v>
      </x:c>
      <x:c r="I95" s="33">
        <x:f>KANWIL!I95+SURABAYA!I95+KEDIRI!I95+MALANG!I95+MADIUN!I95+BANYUWANGI!I95</x:f>
        <x:v>0.00</x:v>
      </x:c>
      <x:c r="J95" s="33">
        <x:f>KANWIL!J95+SURABAYA!J95+KEDIRI!J95+MALANG!J95+MADIUN!J95+BANYUWANGI!J95</x:f>
        <x:v>0.00</x:v>
      </x:c>
      <x:c r="K95" s="33">
        <x:f>SUM(F95:J95)</x:f>
        <x:v>0.00</x:v>
      </x:c>
      <x:c r="L95" s="33"/>
      <x:c r="M95" s="33"/>
      <x:c r="N95" s="33"/>
      <x:c r="O95" s="33"/>
      <x:c r="P95" s="33"/>
      <x:c r="Q95" s="33"/>
      <x:c r="R95" s="19"/>
      <x:c r="S95" s="37"/>
    </x:row>
    <x:row r="96" s="20" customFormat="1">
      <x:c r="A96" s="20">
        <x:v>211</x:v>
      </x:c>
      <x:c r="B96" s="7"/>
      <x:c r="C96" s="8"/>
      <x:c r="D96" s="21"/>
      <x:c r="E96" s="24" t="s">
        <x:v>112</x:v>
      </x:c>
      <x:c r="F96" s="33">
        <x:f>KANWIL!F96+SURABAYA!F96+KEDIRI!F96+MALANG!F96+MADIUN!F96+BANYUWANGI!F96</x:f>
        <x:v>5891173.00</x:v>
      </x:c>
      <x:c r="G96" s="33">
        <x:f>KANWIL!G96+SURABAYA!G96+KEDIRI!G96+MALANG!G96+MADIUN!G96+BANYUWANGI!G96</x:f>
        <x:v>0.00</x:v>
      </x:c>
      <x:c r="H96" s="33">
        <x:f>KANWIL!H96+SURABAYA!H96+KEDIRI!H96+MALANG!H96+MADIUN!H96+BANYUWANGI!H96</x:f>
        <x:v>120801.00</x:v>
      </x:c>
      <x:c r="I96" s="33">
        <x:f>KANWIL!I96+SURABAYA!I96+KEDIRI!I96+MALANG!I96+MADIUN!I96+BANYUWANGI!I96</x:f>
        <x:v>155474.00</x:v>
      </x:c>
      <x:c r="J96" s="33">
        <x:f>KANWIL!J96+SURABAYA!J96+KEDIRI!J96+MALANG!J96+MADIUN!J96+BANYUWANGI!J96</x:f>
        <x:v>684089.00</x:v>
      </x:c>
      <x:c r="K96" s="33">
        <x:f>SUM(F96:J96)</x:f>
        <x:v>6851537.00</x:v>
      </x:c>
      <x:c r="L96" s="33"/>
      <x:c r="M96" s="33"/>
      <x:c r="N96" s="33"/>
      <x:c r="O96" s="33"/>
      <x:c r="P96" s="33"/>
      <x:c r="Q96" s="33"/>
      <x:c r="R96" s="19"/>
      <x:c r="S96" s="37"/>
    </x:row>
    <x:row r="97" s="20" customFormat="1">
      <x:c r="A97" s="20">
        <x:v>212</x:v>
      </x:c>
      <x:c r="B97" s="7"/>
      <x:c r="C97" s="8"/>
      <x:c r="D97" s="21"/>
      <x:c r="E97" s="24" t="s">
        <x:v>113</x:v>
      </x:c>
      <x:c r="F97" s="33">
        <x:f>KANWIL!F97+SURABAYA!F97+KEDIRI!F97+MALANG!F97+MADIUN!F97+BANYUWANGI!F97</x:f>
        <x:v>0.00</x:v>
      </x:c>
      <x:c r="G97" s="33">
        <x:f>KANWIL!G97+SURABAYA!G97+KEDIRI!G97+MALANG!G97+MADIUN!G97+BANYUWANGI!G97</x:f>
        <x:v>0.00</x:v>
      </x:c>
      <x:c r="H97" s="33">
        <x:f>KANWIL!H97+SURABAYA!H97+KEDIRI!H97+MALANG!H97+MADIUN!H97+BANYUWANGI!H97</x:f>
        <x:v>0.00</x:v>
      </x:c>
      <x:c r="I97" s="33">
        <x:f>KANWIL!I97+SURABAYA!I97+KEDIRI!I97+MALANG!I97+MADIUN!I97+BANYUWANGI!I97</x:f>
        <x:v>0.00</x:v>
      </x:c>
      <x:c r="J97" s="33">
        <x:f>KANWIL!J97+SURABAYA!J97+KEDIRI!J97+MALANG!J97+MADIUN!J97+BANYUWANGI!J97</x:f>
        <x:v>0.00</x:v>
      </x:c>
      <x:c r="K97" s="33">
        <x:f>SUM(F97:J97)</x:f>
        <x:v>0.00</x:v>
      </x:c>
      <x:c r="L97" s="33"/>
      <x:c r="M97" s="33"/>
      <x:c r="N97" s="33"/>
      <x:c r="O97" s="33"/>
      <x:c r="P97" s="33"/>
      <x:c r="Q97" s="33"/>
      <x:c r="R97" s="19"/>
      <x:c r="S97" s="37"/>
    </x:row>
    <x:row r="98" s="20" customFormat="1">
      <x:c r="A98" s="20">
        <x:v>214</x:v>
      </x:c>
      <x:c r="B98" s="7"/>
      <x:c r="C98" s="8"/>
      <x:c r="D98" s="21"/>
      <x:c r="E98" s="24" t="s">
        <x:v>114</x:v>
      </x:c>
      <x:c r="F98" s="33">
        <x:f>KANWIL!F98+SURABAYA!F98+KEDIRI!F98+MALANG!F98+MADIUN!F98+BANYUWANGI!F98</x:f>
        <x:v>1119999796.00</x:v>
      </x:c>
      <x:c r="G98" s="33">
        <x:f>KANWIL!G98+SURABAYA!G98+KEDIRI!G98+MALANG!G98+MADIUN!G98+BANYUWANGI!G98</x:f>
        <x:v>0.00</x:v>
      </x:c>
      <x:c r="H98" s="33">
        <x:f>KANWIL!H98+SURABAYA!H98+KEDIRI!H98+MALANG!H98+MADIUN!H98+BANYUWANGI!H98</x:f>
        <x:v>22966136.00</x:v>
      </x:c>
      <x:c r="I98" s="33">
        <x:f>KANWIL!I98+SURABAYA!I98+KEDIRI!I98+MALANG!I98+MADIUN!I98+BANYUWANGI!I98</x:f>
        <x:v>29558023.00</x:v>
      </x:c>
      <x:c r="J98" s="33">
        <x:f>KANWIL!J98+SURABAYA!J98+KEDIRI!J98+MALANG!J98+MADIUN!J98+BANYUWANGI!J98</x:f>
        <x:v>130055576.00</x:v>
      </x:c>
      <x:c r="K98" s="33">
        <x:f>SUM(F98:J98)</x:f>
        <x:v>1302579531.00</x:v>
      </x:c>
      <x:c r="L98" s="33">
        <x:f>KANWIL!L98+SURABAYA!L98+KEDIRI!L98+MALANG!L98+MADIUN!L98+BANYUWANGI!L98</x:f>
        <x:v>172499265.469999989</x:v>
      </x:c>
      <x:c r="M98" s="33"/>
      <x:c r="N98" s="33">
        <x:f>KANWIL!N98+SURABAYA!N98+KEDIRI!N98+MALANG!N98+MADIUN!N98+BANYUWANGI!N98</x:f>
        <x:v>1230128.047918333533488244477353766939</x:v>
      </x:c>
      <x:c r="O98" s="33">
        <x:f>KANWIL!O98+SURABAYA!O98+KEDIRI!O98+MALANG!O98+MADIUN!O98+BANYUWANGI!O98</x:f>
        <x:v>3406075.562094962382609729318597432037</x:v>
      </x:c>
      <x:c r="P98" s="33">
        <x:f>KANWIL!P98+SURABAYA!P98+KEDIRI!P98+MALANG!P98+MADIUN!P98+BANYUWANGI!P98</x:f>
        <x:v>79400141.249986700983902026203930686587</x:v>
      </x:c>
      <x:c r="Q98" s="33">
        <x:f>N98+O98+P98</x:f>
        <x:v>84036344.8599999969</x:v>
      </x:c>
      <x:c r="R98" s="19">
        <x:f>SUM(L98:P98)</x:f>
        <x:v>256535610.3299999859</x:v>
      </x:c>
      <x:c r="S98" s="37">
        <x:f>IF(K98=0,0,R98/K98)</x:f>
        <x:v>0.196944297238461661</x:v>
      </x:c>
    </x:row>
    <x:row r="99" s="20" customFormat="1">
      <x:c r="A99" s="20">
        <x:v>215</x:v>
      </x:c>
      <x:c r="B99" s="7"/>
      <x:c r="C99" s="8"/>
      <x:c r="D99" s="21"/>
      <x:c r="E99" s="24" t="s">
        <x:v>115</x:v>
      </x:c>
      <x:c r="F99" s="33">
        <x:f>KANWIL!F99+SURABAYA!F99+KEDIRI!F99+MALANG!F99+MADIUN!F99+BANYUWANGI!F99</x:f>
        <x:v>0.00</x:v>
      </x:c>
      <x:c r="G99" s="33">
        <x:f>KANWIL!G99+SURABAYA!G99+KEDIRI!G99+MALANG!G99+MADIUN!G99+BANYUWANGI!G99</x:f>
        <x:v>0.00</x:v>
      </x:c>
      <x:c r="H99" s="33">
        <x:f>KANWIL!H99+SURABAYA!H99+KEDIRI!H99+MALANG!H99+MADIUN!H99+BANYUWANGI!H99</x:f>
        <x:v>0.00</x:v>
      </x:c>
      <x:c r="I99" s="33">
        <x:f>KANWIL!I99+SURABAYA!I99+KEDIRI!I99+MALANG!I99+MADIUN!I99+BANYUWANGI!I99</x:f>
        <x:v>0.00</x:v>
      </x:c>
      <x:c r="J99" s="33">
        <x:f>KANWIL!J99+SURABAYA!J99+KEDIRI!J99+MALANG!J99+MADIUN!J99+BANYUWANGI!J99</x:f>
        <x:v>0.00</x:v>
      </x:c>
      <x:c r="K99" s="33">
        <x:f>SUM(F99:J99)</x:f>
        <x:v>0.00</x:v>
      </x:c>
      <x:c r="L99" s="33">
        <x:f>KANWIL!L99+SURABAYA!L99+KEDIRI!L99+MALANG!L99+MADIUN!L99+BANYUWANGI!L99</x:f>
        <x:v>76739407.4200000002</x:v>
      </x:c>
      <x:c r="M99" s="33"/>
      <x:c r="N99" s="33">
        <x:f>KANWIL!N99+SURABAYA!N99+KEDIRI!N99+MALANG!N99+MADIUN!N99+BANYUWANGI!N99</x:f>
        <x:v>1098414.639810399391698934100408157494</x:v>
      </x:c>
      <x:c r="O99" s="33">
        <x:f>KANWIL!O99+SURABAYA!O99+KEDIRI!O99+MALANG!O99+MADIUN!O99+BANYUWANGI!O99</x:f>
        <x:v>1549912.401326740412964675308970018780</x:v>
      </x:c>
      <x:c r="P99" s="33">
        <x:f>KANWIL!P99+SURABAYA!P99+KEDIRI!P99+MALANG!P99+MADIUN!P99+BANYUWANGI!P99</x:f>
        <x:v>30067674.548862858695336390590586362779</x:v>
      </x:c>
      <x:c r="Q99" s="33">
        <x:f>N99+O99+P99</x:f>
        <x:v>32716001.5899999985</x:v>
      </x:c>
      <x:c r="R99" s="19">
        <x:f>SUM(L99:P99)</x:f>
        <x:v>109455409.0099999987</x:v>
      </x:c>
      <x:c r="S99" s="37">
        <x:v>0.00</x:v>
      </x:c>
    </x:row>
    <x:row r="100" s="20" customFormat="1">
      <x:c r="A100" s="20">
        <x:v>216</x:v>
      </x:c>
      <x:c r="B100" s="7"/>
      <x:c r="C100" s="8"/>
      <x:c r="D100" s="21"/>
      <x:c r="E100" s="24" t="s">
        <x:v>116</x:v>
      </x:c>
      <x:c r="F100" s="33">
        <x:f>KANWIL!F100+SURABAYA!F100+KEDIRI!F100+MALANG!F100+MADIUN!F100+BANYUWANGI!F100</x:f>
        <x:v>397278438.00</x:v>
      </x:c>
      <x:c r="G100" s="33">
        <x:f>KANWIL!G100+SURABAYA!G100+KEDIRI!G100+MALANG!G100+MADIUN!G100+BANYUWANGI!G100</x:f>
        <x:v>0.00</x:v>
      </x:c>
      <x:c r="H100" s="33">
        <x:f>KANWIL!H100+SURABAYA!H100+KEDIRI!H100+MALANG!H100+MADIUN!H100+BANYUWANGI!H100</x:f>
        <x:v>8146386.00</x:v>
      </x:c>
      <x:c r="I100" s="33">
        <x:f>KANWIL!I100+SURABAYA!I100+KEDIRI!I100+MALANG!I100+MADIUN!I100+BANYUWANGI!I100</x:f>
        <x:v>10484613.00</x:v>
      </x:c>
      <x:c r="J100" s="33">
        <x:f>KANWIL!J100+SURABAYA!J100+KEDIRI!J100+MALANG!J100+MADIUN!J100+BANYUWANGI!J100</x:f>
        <x:v>46132398.00</x:v>
      </x:c>
      <x:c r="K100" s="33">
        <x:f>SUM(F100:J100)</x:f>
        <x:v>462041835.00</x:v>
      </x:c>
      <x:c r="L100" s="33">
        <x:f>KANWIL!L100+SURABAYA!L100+KEDIRI!L100+MALANG!L100+MADIUN!L100+BANYUWANGI!L100</x:f>
        <x:v>128022903.919999999</x:v>
      </x:c>
      <x:c r="M100" s="33"/>
      <x:c r="N100" s="33">
        <x:f>KANWIL!N100+SURABAYA!N100+KEDIRI!N100+MALANG!N100+MADIUN!N100+BANYUWANGI!N100</x:f>
        <x:v>1238492.708987892579665132192362569739</x:v>
      </x:c>
      <x:c r="O100" s="33">
        <x:f>KANWIL!O100+SURABAYA!O100+KEDIRI!O100+MALANG!O100+MADIUN!O100+BANYUWANGI!O100</x:f>
        <x:v>2773970.056382782203170405623518226433</x:v>
      </x:c>
      <x:c r="P100" s="33">
        <x:f>KANWIL!P100+SURABAYA!P100+KEDIRI!P100+MALANG!P100+MADIUN!P100+BANYUWANGI!P100</x:f>
        <x:v>52708938.374629323917164462184043907622</x:v>
      </x:c>
      <x:c r="Q100" s="33">
        <x:f>N100+O100+P100</x:f>
        <x:v>56721401.1399999987</x:v>
      </x:c>
      <x:c r="R100" s="19">
        <x:f>SUM(L100:P100)</x:f>
        <x:v>184744305.0599999977</x:v>
      </x:c>
      <x:c r="S100" s="37">
        <x:f>IF(K100=0,0,R100/K100)</x:f>
        <x:v>0.399843241597376128</x:v>
      </x:c>
    </x:row>
    <x:row r="101" s="20" customFormat="1">
      <x:c r="A101" s="20">
        <x:v>210</x:v>
      </x:c>
      <x:c r="B101" s="7"/>
      <x:c r="C101" s="8"/>
      <x:c r="D101" s="21"/>
      <x:c r="E101" s="24" t="s">
        <x:v>117</x:v>
      </x:c>
      <x:c r="F101" s="33">
        <x:f>KANWIL!F101+SURABAYA!F101+KEDIRI!F101+MALANG!F101+MADIUN!F101+BANYUWANGI!F101</x:f>
        <x:v>0.00</x:v>
      </x:c>
      <x:c r="G101" s="33">
        <x:f>KANWIL!G101+SURABAYA!G101+KEDIRI!G101+MALANG!G101+MADIUN!G101+BANYUWANGI!G101</x:f>
        <x:v>0.00</x:v>
      </x:c>
      <x:c r="H101" s="33">
        <x:f>KANWIL!H101+SURABAYA!H101+KEDIRI!H101+MALANG!H101+MADIUN!H101+BANYUWANGI!H101</x:f>
        <x:v>0.00</x:v>
      </x:c>
      <x:c r="I101" s="33">
        <x:f>KANWIL!I101+SURABAYA!I101+KEDIRI!I101+MALANG!I101+MADIUN!I101+BANYUWANGI!I101</x:f>
        <x:v>0.00</x:v>
      </x:c>
      <x:c r="J101" s="33">
        <x:f>KANWIL!J101+SURABAYA!J101+KEDIRI!J101+MALANG!J101+MADIUN!J101+BANYUWANGI!J101</x:f>
        <x:v>0.00</x:v>
      </x:c>
      <x:c r="K101" s="33">
        <x:f>SUM(F101:J101)</x:f>
        <x:v>0.00</x:v>
      </x:c>
      <x:c r="L101" s="33"/>
      <x:c r="M101" s="33"/>
      <x:c r="N101" s="33"/>
      <x:c r="O101" s="33"/>
      <x:c r="P101" s="33"/>
      <x:c r="Q101" s="33"/>
      <x:c r="R101" s="19"/>
      <x:c r="S101" s="37"/>
    </x:row>
    <x:row r="102" s="20" customFormat="1">
      <x:c r="A102" s="20">
        <x:v>217</x:v>
      </x:c>
      <x:c r="B102" s="7"/>
      <x:c r="C102" s="8"/>
      <x:c r="D102" s="21"/>
      <x:c r="E102" s="24" t="s">
        <x:v>118</x:v>
      </x:c>
      <x:c r="F102" s="33">
        <x:f>KANWIL!F102+SURABAYA!F102+KEDIRI!F102+MALANG!F102+MADIUN!F102+BANYUWANGI!F102</x:f>
        <x:v>789878130.00</x:v>
      </x:c>
      <x:c r="G102" s="33">
        <x:f>KANWIL!G102+SURABAYA!G102+KEDIRI!G102+MALANG!G102+MADIUN!G102+BANYUWANGI!G102</x:f>
        <x:v>0.00</x:v>
      </x:c>
      <x:c r="H102" s="33">
        <x:f>KANWIL!H102+SURABAYA!H102+KEDIRI!H102+MALANG!H102+MADIUN!H102+BANYUWANGI!H102</x:f>
        <x:v>16196834.00</x:v>
      </x:c>
      <x:c r="I102" s="33">
        <x:f>KANWIL!I102+SURABAYA!I102+KEDIRI!I102+MALANG!I102+MADIUN!I102+BANYUWANGI!I102</x:f>
        <x:v>20845749.00</x:v>
      </x:c>
      <x:c r="J102" s="33">
        <x:f>KANWIL!J102+SURABAYA!J102+KEDIRI!J102+MALANG!J102+MADIUN!J102+BANYUWANGI!J102</x:f>
        <x:v>91721494.00</x:v>
      </x:c>
      <x:c r="K102" s="33">
        <x:f>SUM(F102:J102)</x:f>
        <x:v>918642207.00</x:v>
      </x:c>
      <x:c r="L102" s="33">
        <x:f>KANWIL!L102+SURABAYA!L102+KEDIRI!L102+MALANG!L102+MADIUN!L102+BANYUWANGI!L102</x:f>
        <x:v>682375083.840000004</x:v>
      </x:c>
      <x:c r="M102" s="33"/>
      <x:c r="N102" s="33">
        <x:f>KANWIL!N102+SURABAYA!N102+KEDIRI!N102+MALANG!N102+MADIUN!N102+BANYUWANGI!N102</x:f>
        <x:v>7453309.366814554200691821182553469614</x:v>
      </x:c>
      <x:c r="O102" s="33">
        <x:f>KANWIL!O102+SURABAYA!O102+KEDIRI!O102+MALANG!O102+MADIUN!O102+BANYUWANGI!O102</x:f>
        <x:v>16480585.728808104520155827756111612680</x:v>
      </x:c>
      <x:c r="P102" s="33">
        <x:f>KANWIL!P102+SURABAYA!P102+KEDIRI!P102+MALANG!P102+MADIUN!P102+BANYUWANGI!P102</x:f>
        <x:v>271327690.064377339679152351060917297494</x:v>
      </x:c>
      <x:c r="Q102" s="33">
        <x:f>N102+O102+P102</x:f>
        <x:v>295261585.1599999984</x:v>
      </x:c>
      <x:c r="R102" s="19">
        <x:f>SUM(L102:P102)</x:f>
        <x:v>977636669.0000000024</x:v>
      </x:c>
      <x:c r="S102" s="37">
        <x:f>IF(K102=0,0,R102/K102)</x:f>
        <x:v>1.064219193882521013</x:v>
      </x:c>
    </x:row>
    <x:row r="103" s="20" customFormat="1">
      <x:c r="A103" s="20">
        <x:v>218</x:v>
      </x:c>
      <x:c r="B103" s="7"/>
      <x:c r="C103" s="8"/>
      <x:c r="D103" s="21"/>
      <x:c r="E103" s="24" t="s">
        <x:v>119</x:v>
      </x:c>
      <x:c r="F103" s="33">
        <x:f>KANWIL!F103+SURABAYA!F103+KEDIRI!F103+MALANG!F103+MADIUN!F103+BANYUWANGI!F103</x:f>
        <x:v>106739919.00</x:v>
      </x:c>
      <x:c r="G103" s="33">
        <x:f>KANWIL!G103+SURABAYA!G103+KEDIRI!G103+MALANG!G103+MADIUN!G103+BANYUWANGI!G103</x:f>
        <x:v>0.00</x:v>
      </x:c>
      <x:c r="H103" s="33">
        <x:f>KANWIL!H103+SURABAYA!H103+KEDIRI!H103+MALANG!H103+MADIUN!H103+BANYUWANGI!H103</x:f>
        <x:v>2188755.00</x:v>
      </x:c>
      <x:c r="I103" s="33">
        <x:f>KANWIL!I103+SURABAYA!I103+KEDIRI!I103+MALANG!I103+MADIUN!I103+BANYUWANGI!I103</x:f>
        <x:v>2816985.00</x:v>
      </x:c>
      <x:c r="J103" s="33">
        <x:f>KANWIL!J103+SURABAYA!J103+KEDIRI!J103+MALANG!J103+MADIUN!J103+BANYUWANGI!J103</x:f>
        <x:v>12394755.00</x:v>
      </x:c>
      <x:c r="K103" s="33">
        <x:f>SUM(F103:J103)</x:f>
        <x:v>124140414.00</x:v>
      </x:c>
      <x:c r="L103" s="33">
        <x:f>KANWIL!L103+SURABAYA!L103+KEDIRI!L103+MALANG!L103+MADIUN!L103+BANYUWANGI!L103</x:f>
        <x:v>29598384.300000001</x:v>
      </x:c>
      <x:c r="M103" s="33"/>
      <x:c r="N103" s="33">
        <x:f>KANWIL!N103+SURABAYA!N103+KEDIRI!N103+MALANG!N103+MADIUN!N103+BANYUWANGI!N103</x:f>
        <x:v>795314.221516506953565489934219900020</x:v>
      </x:c>
      <x:c r="O103" s="33">
        <x:f>KANWIL!O103+SURABAYA!O103+KEDIRI!O103+MALANG!O103+MADIUN!O103+BANYUWANGI!O103</x:f>
        <x:v>737787.932367943913481168165961352751</x:v>
      </x:c>
      <x:c r="P103" s="33">
        <x:f>KANWIL!P103+SURABAYA!P103+KEDIRI!P103+MALANG!P103+MADIUN!P103+BANYUWANGI!P103</x:f>
        <x:v>11558487.256115549132953341899805655639</x:v>
      </x:c>
      <x:c r="Q103" s="33">
        <x:f>N103+O103+P103</x:f>
        <x:v>13091589.41</x:v>
      </x:c>
      <x:c r="R103" s="19">
        <x:f>SUM(L103:P103)</x:f>
        <x:v>42689973.710000001</x:v>
      </x:c>
      <x:c r="S103" s="37">
        <x:f>IF(K103=0,0,R103/K103)</x:f>
        <x:v>0.343884576621437729</x:v>
      </x:c>
    </x:row>
    <x:row r="104" s="20" customFormat="1">
      <x:c r="A104" s="20">
        <x:v>219</x:v>
      </x:c>
      <x:c r="B104" s="7"/>
      <x:c r="C104" s="8"/>
      <x:c r="D104" s="21"/>
      <x:c r="E104" s="24" t="s">
        <x:v>120</x:v>
      </x:c>
      <x:c r="F104" s="33">
        <x:f>KANWIL!F104+SURABAYA!F104+KEDIRI!F104+MALANG!F104+MADIUN!F104+BANYUWANGI!F104</x:f>
        <x:v>0.00</x:v>
      </x:c>
      <x:c r="G104" s="33">
        <x:f>KANWIL!G104+SURABAYA!G104+KEDIRI!G104+MALANG!G104+MADIUN!G104+BANYUWANGI!G104</x:f>
        <x:v>0.00</x:v>
      </x:c>
      <x:c r="H104" s="33">
        <x:f>KANWIL!H104+SURABAYA!H104+KEDIRI!H104+MALANG!H104+MADIUN!H104+BANYUWANGI!H104</x:f>
        <x:v>0.00</x:v>
      </x:c>
      <x:c r="I104" s="33">
        <x:f>KANWIL!I104+SURABAYA!I104+KEDIRI!I104+MALANG!I104+MADIUN!I104+BANYUWANGI!I104</x:f>
        <x:v>0.00</x:v>
      </x:c>
      <x:c r="J104" s="33">
        <x:f>KANWIL!J104+SURABAYA!J104+KEDIRI!J104+MALANG!J104+MADIUN!J104+BANYUWANGI!J104</x:f>
        <x:v>0.00</x:v>
      </x:c>
      <x:c r="K104" s="33">
        <x:f>SUM(F104:J104)</x:f>
        <x:v>0.00</x:v>
      </x:c>
      <x:c r="L104" s="33"/>
      <x:c r="M104" s="33"/>
      <x:c r="N104" s="33"/>
      <x:c r="O104" s="33"/>
      <x:c r="P104" s="33"/>
      <x:c r="Q104" s="33"/>
      <x:c r="R104" s="19"/>
      <x:c r="S104" s="37"/>
    </x:row>
    <x:row r="105" s="20" customFormat="1">
      <x:c r="A105" s="20">
        <x:v>220</x:v>
      </x:c>
      <x:c r="B105" s="7"/>
      <x:c r="C105" s="8"/>
      <x:c r="D105" s="21"/>
      <x:c r="E105" s="24" t="s">
        <x:v>121</x:v>
      </x:c>
      <x:c r="F105" s="33">
        <x:f>KANWIL!F105+SURABAYA!F105+KEDIRI!F105+MALANG!F105+MADIUN!F105+BANYUWANGI!F105</x:f>
        <x:v>255526064.00</x:v>
      </x:c>
      <x:c r="G105" s="33">
        <x:f>KANWIL!G105+SURABAYA!G105+KEDIRI!G105+MALANG!G105+MADIUN!G105+BANYUWANGI!G105</x:f>
        <x:v>0.00</x:v>
      </x:c>
      <x:c r="H105" s="33">
        <x:f>KANWIL!H105+SURABAYA!H105+KEDIRI!H105+MALANG!H105+MADIUN!H105+BANYUWANGI!H105</x:f>
        <x:v>5239685.00</x:v>
      </x:c>
      <x:c r="I105" s="33">
        <x:f>KANWIL!I105+SURABAYA!I105+KEDIRI!I105+MALANG!I105+MADIUN!I105+BANYUWANGI!I105</x:f>
        <x:v>6743613.00</x:v>
      </x:c>
      <x:c r="J105" s="33">
        <x:f>KANWIL!J105+SURABAYA!J105+KEDIRI!J105+MALANG!J105+MADIUN!J105+BANYUWANGI!J105</x:f>
        <x:v>29671960.00</x:v>
      </x:c>
      <x:c r="K105" s="33">
        <x:f>SUM(F105:J105)</x:f>
        <x:v>297181322.00</x:v>
      </x:c>
      <x:c r="L105" s="33">
        <x:f>KANWIL!L105+SURABAYA!L105+KEDIRI!L105+MALANG!L105+MADIUN!L105+BANYUWANGI!L105</x:f>
        <x:v>58917148.990000002</x:v>
      </x:c>
      <x:c r="M105" s="33"/>
      <x:c r="N105" s="33">
        <x:f>KANWIL!N105+SURABAYA!N105+KEDIRI!N105+MALANG!N105+MADIUN!N105+BANYUWANGI!N105</x:f>
        <x:v>188615.640541683681012272956436481833</x:v>
      </x:c>
      <x:c r="O105" s="33">
        <x:f>KANWIL!O105+SURABAYA!O105+KEDIRI!O105+MALANG!O105+MADIUN!O105+BANYUWANGI!O105</x:f>
        <x:v>356484.630565613963405227244109170864</x:v>
      </x:c>
      <x:c r="P105" s="33">
        <x:f>KANWIL!P105+SURABAYA!P105+KEDIRI!P105+MALANG!P105+MADIUN!P105+BANYUWANGI!P105</x:f>
        <x:v>25695598.738892704355582499799428106602</x:v>
      </x:c>
      <x:c r="Q105" s="33">
        <x:f>N105+O105+P105</x:f>
        <x:v>26240699.010000002</x:v>
      </x:c>
      <x:c r="R105" s="19">
        <x:f>SUM(L105:P105)</x:f>
        <x:v>85157848.000000004</x:v>
      </x:c>
      <x:c r="S105" s="37">
        <x:f>IF(K105=0,0,R105/K105)</x:f>
        <x:v>0.286551817681193315</x:v>
      </x:c>
    </x:row>
    <x:row r="106" s="20" customFormat="1">
      <x:c r="A106" s="20">
        <x:v>0</x:v>
      </x:c>
      <x:c r="B106" s="7"/>
      <x:c r="C106" s="8"/>
      <x:c r="D106" s="21"/>
      <x:c r="E106" s="24" t="s">
        <x:v>122</x:v>
      </x:c>
      <x:c r="F106" s="33">
        <x:f>KANWIL!F106+SURABAYA!F106+KEDIRI!F106+MALANG!F106+MADIUN!F106+BANYUWANGI!F106</x:f>
        <x:v>0.00</x:v>
      </x:c>
      <x:c r="G106" s="33">
        <x:f>KANWIL!G106+SURABAYA!G106+KEDIRI!G106+MALANG!G106+MADIUN!G106+BANYUWANGI!G106</x:f>
        <x:v>0.00</x:v>
      </x:c>
      <x:c r="H106" s="33">
        <x:f>KANWIL!H106+SURABAYA!H106+KEDIRI!H106+MALANG!H106+MADIUN!H106+BANYUWANGI!H106</x:f>
        <x:v>0.00</x:v>
      </x:c>
      <x:c r="I106" s="33">
        <x:f>KANWIL!I106+SURABAYA!I106+KEDIRI!I106+MALANG!I106+MADIUN!I106+BANYUWANGI!I106</x:f>
        <x:v>0.00</x:v>
      </x:c>
      <x:c r="J106" s="33">
        <x:f>KANWIL!J106+SURABAYA!J106+KEDIRI!J106+MALANG!J106+MADIUN!J106+BANYUWANGI!J106</x:f>
        <x:v>0.00</x:v>
      </x:c>
      <x:c r="K106" s="33">
        <x:f>SUM(F106:J106)</x:f>
        <x:v>0.00</x:v>
      </x:c>
      <x:c r="L106" s="33"/>
      <x:c r="M106" s="33"/>
      <x:c r="N106" s="33"/>
      <x:c r="O106" s="33"/>
      <x:c r="P106" s="33"/>
      <x:c r="Q106" s="33"/>
      <x:c r="R106" s="19"/>
      <x:c r="S106" s="37"/>
    </x:row>
    <x:row r="107" s="20" customFormat="1">
      <x:c r="A107" s="20">
        <x:v>225</x:v>
      </x:c>
      <x:c r="B107" s="7"/>
      <x:c r="C107" s="8"/>
      <x:c r="D107" s="21"/>
      <x:c r="E107" s="24" t="s">
        <x:v>123</x:v>
      </x:c>
      <x:c r="F107" s="33">
        <x:f>KANWIL!F107+SURABAYA!F107+KEDIRI!F107+MALANG!F107+MADIUN!F107+BANYUWANGI!F107</x:f>
        <x:v>0.00</x:v>
      </x:c>
      <x:c r="G107" s="33">
        <x:f>KANWIL!G107+SURABAYA!G107+KEDIRI!G107+MALANG!G107+MADIUN!G107+BANYUWANGI!G107</x:f>
        <x:v>0.00</x:v>
      </x:c>
      <x:c r="H107" s="33">
        <x:f>KANWIL!H107+SURABAYA!H107+KEDIRI!H107+MALANG!H107+MADIUN!H107+BANYUWANGI!H107</x:f>
        <x:v>0.00</x:v>
      </x:c>
      <x:c r="I107" s="33">
        <x:f>KANWIL!I107+SURABAYA!I107+KEDIRI!I107+MALANG!I107+MADIUN!I107+BANYUWANGI!I107</x:f>
        <x:v>0.00</x:v>
      </x:c>
      <x:c r="J107" s="33">
        <x:f>KANWIL!J107+SURABAYA!J107+KEDIRI!J107+MALANG!J107+MADIUN!J107+BANYUWANGI!J107</x:f>
        <x:v>0.00</x:v>
      </x:c>
      <x:c r="K107" s="33">
        <x:f>SUM(F107:J107)</x:f>
        <x:v>0.00</x:v>
      </x:c>
      <x:c r="L107" s="33"/>
      <x:c r="M107" s="33"/>
      <x:c r="N107" s="33"/>
      <x:c r="O107" s="33"/>
      <x:c r="P107" s="33"/>
      <x:c r="Q107" s="33"/>
      <x:c r="R107" s="19"/>
      <x:c r="S107" s="37"/>
    </x:row>
    <x:row r="108" s="20" customFormat="1">
      <x:c r="A108" s="20">
        <x:v>229</x:v>
      </x:c>
      <x:c r="B108" s="7"/>
      <x:c r="C108" s="8"/>
      <x:c r="D108" s="21"/>
      <x:c r="E108" s="24" t="s">
        <x:v>124</x:v>
      </x:c>
      <x:c r="F108" s="33">
        <x:f>KANWIL!F108+SURABAYA!F108+KEDIRI!F108+MALANG!F108+MADIUN!F108+BANYUWANGI!F108</x:f>
        <x:v>0.00</x:v>
      </x:c>
      <x:c r="G108" s="33">
        <x:f>KANWIL!G108+SURABAYA!G108+KEDIRI!G108+MALANG!G108+MADIUN!G108+BANYUWANGI!G108</x:f>
        <x:v>0.00</x:v>
      </x:c>
      <x:c r="H108" s="33">
        <x:f>KANWIL!H108+SURABAYA!H108+KEDIRI!H108+MALANG!H108+MADIUN!H108+BANYUWANGI!H108</x:f>
        <x:v>0.00</x:v>
      </x:c>
      <x:c r="I108" s="33">
        <x:f>KANWIL!I108+SURABAYA!I108+KEDIRI!I108+MALANG!I108+MADIUN!I108+BANYUWANGI!I108</x:f>
        <x:v>0.00</x:v>
      </x:c>
      <x:c r="J108" s="33">
        <x:f>KANWIL!J108+SURABAYA!J108+KEDIRI!J108+MALANG!J108+MADIUN!J108+BANYUWANGI!J108</x:f>
        <x:v>0.00</x:v>
      </x:c>
      <x:c r="K108" s="33">
        <x:f>SUM(F108:J108)</x:f>
        <x:v>0.00</x:v>
      </x:c>
      <x:c r="L108" s="33"/>
      <x:c r="M108" s="33"/>
      <x:c r="N108" s="33"/>
      <x:c r="O108" s="33"/>
      <x:c r="P108" s="33"/>
      <x:c r="Q108" s="33"/>
      <x:c r="R108" s="19"/>
      <x:c r="S108" s="37"/>
    </x:row>
    <x:row r="109" s="20" customFormat="1">
      <x:c r="A109" s="20">
        <x:v>230</x:v>
      </x:c>
      <x:c r="B109" s="7"/>
      <x:c r="C109" s="8"/>
      <x:c r="D109" s="21"/>
      <x:c r="E109" s="24" t="s">
        <x:v>125</x:v>
      </x:c>
      <x:c r="F109" s="33">
        <x:f>KANWIL!F109+SURABAYA!F109+KEDIRI!F109+MALANG!F109+MADIUN!F109+BANYUWANGI!F109</x:f>
        <x:v>0.00</x:v>
      </x:c>
      <x:c r="G109" s="33">
        <x:f>KANWIL!G109+SURABAYA!G109+KEDIRI!G109+MALANG!G109+MADIUN!G109+BANYUWANGI!G109</x:f>
        <x:v>0.00</x:v>
      </x:c>
      <x:c r="H109" s="33">
        <x:f>KANWIL!H109+SURABAYA!H109+KEDIRI!H109+MALANG!H109+MADIUN!H109+BANYUWANGI!H109</x:f>
        <x:v>0.00</x:v>
      </x:c>
      <x:c r="I109" s="33">
        <x:f>KANWIL!I109+SURABAYA!I109+KEDIRI!I109+MALANG!I109+MADIUN!I109+BANYUWANGI!I109</x:f>
        <x:v>0.00</x:v>
      </x:c>
      <x:c r="J109" s="33">
        <x:f>KANWIL!J109+SURABAYA!J109+KEDIRI!J109+MALANG!J109+MADIUN!J109+BANYUWANGI!J109</x:f>
        <x:v>0.00</x:v>
      </x:c>
      <x:c r="K109" s="33">
        <x:f>SUM(F109:J109)</x:f>
        <x:v>0.00</x:v>
      </x:c>
      <x:c r="L109" s="33"/>
      <x:c r="M109" s="33"/>
      <x:c r="N109" s="33"/>
      <x:c r="O109" s="33"/>
      <x:c r="P109" s="33"/>
      <x:c r="Q109" s="33"/>
      <x:c r="R109" s="19"/>
      <x:c r="S109" s="37"/>
    </x:row>
    <x:row r="110" s="20" customFormat="1">
      <x:c r="A110" s="20">
        <x:v>231</x:v>
      </x:c>
      <x:c r="B110" s="7"/>
      <x:c r="C110" s="8"/>
      <x:c r="D110" s="21"/>
      <x:c r="E110" s="24" t="s">
        <x:v>126</x:v>
      </x:c>
      <x:c r="F110" s="33">
        <x:f>KANWIL!F110+SURABAYA!F110+KEDIRI!F110+MALANG!F110+MADIUN!F110+BANYUWANGI!F110</x:f>
        <x:v>248809577.00</x:v>
      </x:c>
      <x:c r="G110" s="33">
        <x:f>KANWIL!G110+SURABAYA!G110+KEDIRI!G110+MALANG!G110+MADIUN!G110+BANYUWANGI!G110</x:f>
        <x:v>0.00</x:v>
      </x:c>
      <x:c r="H110" s="33">
        <x:f>KANWIL!H110+SURABAYA!H110+KEDIRI!H110+MALANG!H110+MADIUN!H110+BANYUWANGI!H110</x:f>
        <x:v>5101960.00</x:v>
      </x:c>
      <x:c r="I110" s="33">
        <x:f>KANWIL!I110+SURABAYA!I110+KEDIRI!I110+MALANG!I110+MADIUN!I110+BANYUWANGI!I110</x:f>
        <x:v>6566359.00</x:v>
      </x:c>
      <x:c r="J110" s="33">
        <x:f>KANWIL!J110+SURABAYA!J110+KEDIRI!J110+MALANG!J110+MADIUN!J110+BANYUWANGI!J110</x:f>
        <x:v>28892034.00</x:v>
      </x:c>
      <x:c r="K110" s="33">
        <x:f>SUM(F110:J110)</x:f>
        <x:v>289369930.00</x:v>
      </x:c>
      <x:c r="L110" s="33">
        <x:f>KANWIL!L110+SURABAYA!L110+KEDIRI!L110+MALANG!L110+MADIUN!L110+BANYUWANGI!L110</x:f>
        <x:v>104879907.1700000027</x:v>
      </x:c>
      <x:c r="M110" s="33"/>
      <x:c r="N110" s="33">
        <x:f>KANWIL!N110+SURABAYA!N110+KEDIRI!N110+MALANG!N110+MADIUN!N110+BANYUWANGI!N110</x:f>
        <x:v>962225.618246973224248271156514263980</x:v>
      </x:c>
      <x:c r="O110" s="33">
        <x:f>KANWIL!O110+SURABAYA!O110+KEDIRI!O110+MALANG!O110+MADIUN!O110+BANYUWANGI!O110</x:f>
        <x:v>2017138.497325363932636605324503875145</x:v>
      </x:c>
      <x:c r="P110" s="33">
        <x:f>KANWIL!P110+SURABAYA!P110+KEDIRI!P110+MALANG!P110+MADIUN!P110+BANYUWANGI!P110</x:f>
        <x:v>37838305.724427662443115123518930825065</x:v>
      </x:c>
      <x:c r="Q110" s="33">
        <x:f>N110+O110+P110</x:f>
        <x:v>40817669.8399999996</x:v>
      </x:c>
      <x:c r="R110" s="19">
        <x:f>SUM(L110:P110)</x:f>
        <x:v>145697577.0100000023</x:v>
      </x:c>
      <x:c r="S110" s="37">
        <x:f>IF(K110=0,0,R110/K110)</x:f>
        <x:v>0.503499368472736618</x:v>
      </x:c>
    </x:row>
    <x:row r="111" s="20" customFormat="1">
      <x:c r="A111" s="20">
        <x:v>255</x:v>
      </x:c>
      <x:c r="B111" s="7"/>
      <x:c r="C111" s="8"/>
      <x:c r="D111" s="21"/>
      <x:c r="E111" s="24" t="s">
        <x:v>127</x:v>
      </x:c>
      <x:c r="F111" s="33">
        <x:f>KANWIL!F111+SURABAYA!F111+KEDIRI!F111+MALANG!F111+MADIUN!F111+BANYUWANGI!F111</x:f>
        <x:v>4750447629.00</x:v>
      </x:c>
      <x:c r="G111" s="33">
        <x:f>KANWIL!G111+SURABAYA!G111+KEDIRI!G111+MALANG!G111+MADIUN!G111+BANYUWANGI!G111</x:f>
        <x:v>0.00</x:v>
      </x:c>
      <x:c r="H111" s="33">
        <x:f>KANWIL!H111+SURABAYA!H111+KEDIRI!H111+MALANG!H111+MADIUN!H111+BANYUWANGI!H111</x:f>
        <x:v>97410224.00</x:v>
      </x:c>
      <x:c r="I111" s="33">
        <x:f>KANWIL!I111+SURABAYA!I111+KEDIRI!I111+MALANG!I111+MADIUN!I111+BANYUWANGI!I111</x:f>
        <x:v>125369521.00</x:v>
      </x:c>
      <x:c r="J111" s="33">
        <x:f>KANWIL!J111+SURABAYA!J111+KEDIRI!J111+MALANG!J111+MADIUN!J111+BANYUWANGI!J111</x:f>
        <x:v>551627064.00</x:v>
      </x:c>
      <x:c r="K111" s="33">
        <x:f>SUM(F111:J111)</x:f>
        <x:v>5524854438.00</x:v>
      </x:c>
      <x:c r="L111" s="33">
        <x:f>KANWIL!L111+SURABAYA!L111+KEDIRI!L111+MALANG!L111+MADIUN!L111+BANYUWANGI!L111</x:f>
        <x:v>2597710719.82999997</x:v>
      </x:c>
      <x:c r="M111" s="33"/>
      <x:c r="N111" s="33">
        <x:f>KANWIL!N111+SURABAYA!N111+KEDIRI!N111+MALANG!N111+MADIUN!N111+BANYUWANGI!N111</x:f>
        <x:v>51501319.674355851077641315570278164550</x:v>
      </x:c>
      <x:c r="O111" s="33">
        <x:f>KANWIL!O111+SURABAYA!O111+KEDIRI!O111+MALANG!O111+MADIUN!O111+BANYUWANGI!O111</x:f>
        <x:v>77429157.554464322085403725415973151059</x:v>
      </x:c>
      <x:c r="P111" s="33">
        <x:f>KANWIL!P111+SURABAYA!P111+KEDIRI!P111+MALANG!P111+MADIUN!P111+BANYUWANGI!P111</x:f>
        <x:v>1273452228.281179857836954959012057585005</x:v>
      </x:c>
      <x:c r="Q111" s="33">
        <x:f>N111+O111+P111</x:f>
        <x:v>1402382705.510000031</x:v>
      </x:c>
      <x:c r="R111" s="19">
        <x:f>SUM(L111:P111)</x:f>
        <x:v>4000093425.340000001</x:v>
      </x:c>
      <x:c r="S111" s="37">
        <x:f>IF(K111=0,0,R111/K111)</x:f>
        <x:v>0.724017885037354173</x:v>
      </x:c>
    </x:row>
    <x:row r="112" s="20" customFormat="1">
      <x:c r="A112" s="20">
        <x:v>200</x:v>
      </x:c>
      <x:c r="B112" s="7"/>
      <x:c r="C112" s="8"/>
      <x:c r="D112" s="21"/>
      <x:c r="E112" s="24" t="s">
        <x:v>128</x:v>
      </x:c>
      <x:c r="F112" s="33">
        <x:f>KANWIL!F112+SURABAYA!F112+KEDIRI!F112+MALANG!F112+MADIUN!F112+BANYUWANGI!F112</x:f>
        <x:v>61019039.00</x:v>
      </x:c>
      <x:c r="G112" s="33">
        <x:f>KANWIL!G112+SURABAYA!G112+KEDIRI!G112+MALANG!G112+MADIUN!G112+BANYUWANGI!G112</x:f>
        <x:v>0.00</x:v>
      </x:c>
      <x:c r="H112" s="33">
        <x:f>KANWIL!H112+SURABAYA!H112+KEDIRI!H112+MALANG!H112+MADIUN!H112+BANYUWANGI!H112</x:f>
        <x:v>1251226.00</x:v>
      </x:c>
      <x:c r="I112" s="33">
        <x:f>KANWIL!I112+SURABAYA!I112+KEDIRI!I112+MALANG!I112+MADIUN!I112+BANYUWANGI!I112</x:f>
        <x:v>1610360.00</x:v>
      </x:c>
      <x:c r="J112" s="33">
        <x:f>KANWIL!J112+SURABAYA!J112+KEDIRI!J112+MALANG!J112+MADIUN!J112+BANYUWANGI!J112</x:f>
        <x:v>7085596.00</x:v>
      </x:c>
      <x:c r="K112" s="33">
        <x:f>SUM(F112:J112)</x:f>
        <x:v>70966221.00</x:v>
      </x:c>
      <x:c r="L112" s="33">
        <x:f>KANWIL!L112+SURABAYA!L112+KEDIRI!L112+MALANG!L112+MADIUN!L112+BANYUWANGI!L112</x:f>
        <x:v>55852892.0600000007</x:v>
      </x:c>
      <x:c r="M112" s="33"/>
      <x:c r="N112" s="33">
        <x:f>KANWIL!N112+SURABAYA!N112+KEDIRI!N112+MALANG!N112+MADIUN!N112+BANYUWANGI!N112</x:f>
        <x:v>625587.022153557923138177041813620789</x:v>
      </x:c>
      <x:c r="O112" s="33">
        <x:f>KANWIL!O112+SURABAYA!O112+KEDIRI!O112+MALANG!O112+MADIUN!O112+BANYUWANGI!O112</x:f>
        <x:v>1185798.115840906385930565685011803536</x:v>
      </x:c>
      <x:c r="P112" s="33">
        <x:f>KANWIL!P112+SURABAYA!P112+KEDIRI!P112+MALANG!P112+MADIUN!P112+BANYUWANGI!P112</x:f>
        <x:v>22702470.102005536290931257273143029565</x:v>
      </x:c>
      <x:c r="Q112" s="33">
        <x:f>N112+O112+P112</x:f>
        <x:v>24513855.2400000006</x:v>
      </x:c>
      <x:c r="R112" s="19">
        <x:f>SUM(L112:P112)</x:f>
        <x:v>80366747.3000000013</x:v>
      </x:c>
      <x:c r="S112" s="37">
        <x:f>IF(K112=0,0,R112/K112)</x:f>
        <x:v>1.132464800401306437</x:v>
      </x:c>
    </x:row>
    <x:row r="113" s="20" customFormat="1">
      <x:c r="A113" s="20">
        <x:v>201</x:v>
      </x:c>
      <x:c r="B113" s="7"/>
      <x:c r="C113" s="8"/>
      <x:c r="D113" s="21"/>
      <x:c r="E113" s="24" t="s">
        <x:v>129</x:v>
      </x:c>
      <x:c r="F113" s="33">
        <x:f>KANWIL!F113+SURABAYA!F113+KEDIRI!F113+MALANG!F113+MADIUN!F113+BANYUWANGI!F113</x:f>
        <x:v>16432515.00</x:v>
      </x:c>
      <x:c r="G113" s="33">
        <x:f>KANWIL!G113+SURABAYA!G113+KEDIRI!G113+MALANG!G113+MADIUN!G113+BANYUWANGI!G113</x:f>
        <x:v>0.00</x:v>
      </x:c>
      <x:c r="H113" s="33">
        <x:f>KANWIL!H113+SURABAYA!H113+KEDIRI!H113+MALANG!H113+MADIUN!H113+BANYUWANGI!H113</x:f>
        <x:v>336957.00</x:v>
      </x:c>
      <x:c r="I113" s="33">
        <x:f>KANWIL!I113+SURABAYA!I113+KEDIRI!I113+MALANG!I113+MADIUN!I113+BANYUWANGI!I113</x:f>
        <x:v>433672.00</x:v>
      </x:c>
      <x:c r="J113" s="33">
        <x:f>KANWIL!J113+SURABAYA!J113+KEDIRI!J113+MALANG!J113+MADIUN!J113+BANYUWANGI!J113</x:f>
        <x:v>1908162.00</x:v>
      </x:c>
      <x:c r="K113" s="33">
        <x:f>SUM(F113:J113)</x:f>
        <x:v>19111306.00</x:v>
      </x:c>
      <x:c r="L113" s="33"/>
      <x:c r="M113" s="33"/>
      <x:c r="N113" s="33"/>
      <x:c r="O113" s="33"/>
      <x:c r="P113" s="33"/>
      <x:c r="Q113" s="33"/>
      <x:c r="R113" s="19"/>
      <x:c r="S113" s="37"/>
    </x:row>
    <x:row r="114" s="20" customFormat="1">
      <x:c r="A114" s="20">
        <x:v>223</x:v>
      </x:c>
      <x:c r="B114" s="7"/>
      <x:c r="C114" s="8"/>
      <x:c r="D114" s="21"/>
      <x:c r="E114" s="24" t="s">
        <x:v>130</x:v>
      </x:c>
      <x:c r="F114" s="33">
        <x:f>KANWIL!F114+SURABAYA!F114+KEDIRI!F114+MALANG!F114+MADIUN!F114+BANYUWANGI!F114</x:f>
        <x:v>53763616.00</x:v>
      </x:c>
      <x:c r="G114" s="33">
        <x:f>KANWIL!G114+SURABAYA!G114+KEDIRI!G114+MALANG!G114+MADIUN!G114+BANYUWANGI!G114</x:f>
        <x:v>0.00</x:v>
      </x:c>
      <x:c r="H114" s="33">
        <x:f>KANWIL!H114+SURABAYA!H114+KEDIRI!H114+MALANG!H114+MADIUN!H114+BANYUWANGI!H114</x:f>
        <x:v>1102450.00</x:v>
      </x:c>
      <x:c r="I114" s="33">
        <x:f>KANWIL!I114+SURABAYA!I114+KEDIRI!I114+MALANG!I114+MADIUN!I114+BANYUWANGI!I114</x:f>
        <x:v>1418879.00</x:v>
      </x:c>
      <x:c r="J114" s="33">
        <x:f>KANWIL!J114+SURABAYA!J114+KEDIRI!J114+MALANG!J114+MADIUN!J114+BANYUWANGI!J114</x:f>
        <x:v>6243089.00</x:v>
      </x:c>
      <x:c r="K114" s="33">
        <x:f>SUM(F114:J114)</x:f>
        <x:v>62528034.00</x:v>
      </x:c>
      <x:c r="L114" s="33"/>
      <x:c r="M114" s="33"/>
      <x:c r="N114" s="33"/>
      <x:c r="O114" s="33"/>
      <x:c r="P114" s="33"/>
      <x:c r="Q114" s="33"/>
      <x:c r="R114" s="19"/>
      <x:c r="S114" s="37"/>
    </x:row>
    <x:row r="115" s="20" customFormat="1">
      <x:c r="A115" s="20">
        <x:v>222</x:v>
      </x:c>
      <x:c r="B115" s="7"/>
      <x:c r="C115" s="8"/>
      <x:c r="D115" s="21"/>
      <x:c r="E115" s="24" t="s">
        <x:v>131</x:v>
      </x:c>
      <x:c r="F115" s="33">
        <x:f>KANWIL!F115+SURABAYA!F115+KEDIRI!F115+MALANG!F115+MADIUN!F115+BANYUWANGI!F115</x:f>
        <x:v>8137592.00</x:v>
      </x:c>
      <x:c r="G115" s="33">
        <x:f>KANWIL!G115+SURABAYA!G115+KEDIRI!G115+MALANG!G115+MADIUN!G115+BANYUWANGI!G115</x:f>
        <x:v>0.00</x:v>
      </x:c>
      <x:c r="H115" s="33">
        <x:f>KANWIL!H115+SURABAYA!H115+KEDIRI!H115+MALANG!H115+MADIUN!H115+BANYUWANGI!H115</x:f>
        <x:v>166866.00</x:v>
      </x:c>
      <x:c r="I115" s="33">
        <x:f>KANWIL!I115+SURABAYA!I115+KEDIRI!I115+MALANG!I115+MADIUN!I115+BANYUWANGI!I115</x:f>
        <x:v>214758.00</x:v>
      </x:c>
      <x:c r="J115" s="33">
        <x:f>KANWIL!J115+SURABAYA!J115+KEDIRI!J115+MALANG!J115+MADIUN!J115+BANYUWANGI!J115</x:f>
        <x:v>944946.00</x:v>
      </x:c>
      <x:c r="K115" s="33">
        <x:f>SUM(F115:J115)</x:f>
        <x:v>9464162.00</x:v>
      </x:c>
      <x:c r="L115" s="33"/>
      <x:c r="M115" s="33"/>
      <x:c r="N115" s="33"/>
      <x:c r="O115" s="33"/>
      <x:c r="P115" s="33"/>
      <x:c r="Q115" s="33"/>
      <x:c r="R115" s="19"/>
      <x:c r="S115" s="37"/>
    </x:row>
    <x:row r="116" s="20" customFormat="1">
      <x:c r="A116" s="20">
        <x:v>221</x:v>
      </x:c>
      <x:c r="B116" s="7"/>
      <x:c r="C116" s="8"/>
      <x:c r="D116" s="21"/>
      <x:c r="E116" s="24" t="s">
        <x:v>132</x:v>
      </x:c>
      <x:c r="F116" s="33">
        <x:f>KANWIL!F116+SURABAYA!F116+KEDIRI!F116+MALANG!F116+MADIUN!F116+BANYUWANGI!F116</x:f>
        <x:v>4195626.00</x:v>
      </x:c>
      <x:c r="G116" s="33">
        <x:f>KANWIL!G116+SURABAYA!G116+KEDIRI!G116+MALANG!G116+MADIUN!G116+BANYUWANGI!G116</x:f>
        <x:v>0.00</x:v>
      </x:c>
      <x:c r="H116" s="33">
        <x:f>KANWIL!H116+SURABAYA!H116+KEDIRI!H116+MALANG!H116+MADIUN!H116+BANYUWANGI!H116</x:f>
        <x:v>86034.00</x:v>
      </x:c>
      <x:c r="I116" s="33">
        <x:f>KANWIL!I116+SURABAYA!I116+KEDIRI!I116+MALANG!I116+MADIUN!I116+BANYUWANGI!I116</x:f>
        <x:v>110730.00</x:v>
      </x:c>
      <x:c r="J116" s="33">
        <x:f>KANWIL!J116+SURABAYA!J116+KEDIRI!J116+MALANG!J116+MADIUN!J116+BANYUWANGI!J116</x:f>
        <x:v>487200.00</x:v>
      </x:c>
      <x:c r="K116" s="33">
        <x:f>SUM(F116:J116)</x:f>
        <x:v>4879590.00</x:v>
      </x:c>
      <x:c r="L116" s="33"/>
      <x:c r="M116" s="33"/>
      <x:c r="N116" s="33"/>
      <x:c r="O116" s="33"/>
      <x:c r="P116" s="33"/>
      <x:c r="Q116" s="33"/>
      <x:c r="R116" s="19"/>
      <x:c r="S116" s="37"/>
    </x:row>
    <x:row r="117" s="20" customFormat="1">
      <x:c r="A117" s="20">
        <x:v>235</x:v>
      </x:c>
      <x:c r="B117" s="7"/>
      <x:c r="C117" s="8"/>
      <x:c r="D117" s="21"/>
      <x:c r="E117" s="24" t="s">
        <x:v>133</x:v>
      </x:c>
      <x:c r="F117" s="33">
        <x:f>KANWIL!F117+SURABAYA!F117+KEDIRI!F117+MALANG!F117+MADIUN!F117+BANYUWANGI!F117</x:f>
        <x:v>3607054.00</x:v>
      </x:c>
      <x:c r="G117" s="33">
        <x:f>KANWIL!G117+SURABAYA!G117+KEDIRI!G117+MALANG!G117+MADIUN!G117+BANYUWANGI!G117</x:f>
        <x:v>0.00</x:v>
      </x:c>
      <x:c r="H117" s="33">
        <x:f>KANWIL!H117+SURABAYA!H117+KEDIRI!H117+MALANG!H117+MADIUN!H117+BANYUWANGI!H117</x:f>
        <x:v>73965.00</x:v>
      </x:c>
      <x:c r="I117" s="33">
        <x:f>KANWIL!I117+SURABAYA!I117+KEDIRI!I117+MALANG!I117+MADIUN!I117+BANYUWANGI!I117</x:f>
        <x:v>95195.00</x:v>
      </x:c>
      <x:c r="J117" s="33">
        <x:f>KANWIL!J117+SURABAYA!J117+KEDIRI!J117+MALANG!J117+MADIUN!J117+BANYUWANGI!J117</x:f>
        <x:v>418855.00</x:v>
      </x:c>
      <x:c r="K117" s="33">
        <x:f>SUM(F117:J117)</x:f>
        <x:v>4195069.00</x:v>
      </x:c>
      <x:c r="L117" s="33"/>
      <x:c r="M117" s="33"/>
      <x:c r="N117" s="33"/>
      <x:c r="O117" s="33"/>
      <x:c r="P117" s="33"/>
      <x:c r="Q117" s="33"/>
      <x:c r="R117" s="19"/>
      <x:c r="S117" s="37"/>
    </x:row>
    <x:row r="118" s="20" customFormat="1">
      <x:c r="A118" s="20">
        <x:v>236</x:v>
      </x:c>
      <x:c r="B118" s="7"/>
      <x:c r="C118" s="8"/>
      <x:c r="D118" s="21"/>
      <x:c r="E118" s="24" t="s">
        <x:v>134</x:v>
      </x:c>
      <x:c r="F118" s="33">
        <x:f>KANWIL!F118+SURABAYA!F118+KEDIRI!F118+MALANG!F118+MADIUN!F118+BANYUWANGI!F118</x:f>
        <x:v>39432627.00</x:v>
      </x:c>
      <x:c r="G118" s="33">
        <x:f>KANWIL!G118+SURABAYA!G118+KEDIRI!G118+MALANG!G118+MADIUN!G118+BANYUWANGI!G118</x:f>
        <x:v>0.00</x:v>
      </x:c>
      <x:c r="H118" s="33">
        <x:f>KANWIL!H118+SURABAYA!H118+KEDIRI!H118+MALANG!H118+MADIUN!H118+BANYUWANGI!H118</x:f>
        <x:v>808587.00</x:v>
      </x:c>
      <x:c r="I118" s="33">
        <x:f>KANWIL!I118+SURABAYA!I118+KEDIRI!I118+MALANG!I118+MADIUN!I118+BANYUWANGI!I118</x:f>
        <x:v>1040671.00</x:v>
      </x:c>
      <x:c r="J118" s="33">
        <x:f>KANWIL!J118+SURABAYA!J118+KEDIRI!J118+MALANG!J118+MADIUN!J118+BANYUWANGI!J118</x:f>
        <x:v>4578960.00</x:v>
      </x:c>
      <x:c r="K118" s="33">
        <x:f>SUM(F118:J118)</x:f>
        <x:v>45860845.00</x:v>
      </x:c>
      <x:c r="L118" s="33">
        <x:f>KANWIL!L118+SURABAYA!L118+KEDIRI!L118+MALANG!L118+MADIUN!L118+BANYUWANGI!L118</x:f>
        <x:v>29623278.179999999</x:v>
      </x:c>
      <x:c r="M118" s="33"/>
      <x:c r="N118" s="33">
        <x:f>KANWIL!N118+SURABAYA!N118+KEDIRI!N118+MALANG!N118+MADIUN!N118+BANYUWANGI!N118</x:f>
        <x:v>668795.017078572079562633134760522079</x:v>
      </x:c>
      <x:c r="O118" s="33">
        <x:f>KANWIL!O118+SURABAYA!O118+KEDIRI!O118+MALANG!O118+MADIUN!O118+BANYUWANGI!O118</x:f>
        <x:v>735469.931635052179002713494365327795</x:v>
      </x:c>
      <x:c r="P118" s="33">
        <x:f>KANWIL!P118+SURABAYA!P118+KEDIRI!P118+MALANG!P118+MADIUN!P118+BANYUWANGI!P118</x:f>
        <x:v>13783287.881286376761434653370857530449</x:v>
      </x:c>
      <x:c r="Q118" s="33">
        <x:f>N118+O118+P118</x:f>
        <x:v>15187552.83000000102</x:v>
      </x:c>
      <x:c r="R118" s="19">
        <x:f>SUM(L118:P118)</x:f>
        <x:v>44810831.01000000002</x:v>
      </x:c>
      <x:c r="S118" s="37">
        <x:f>IF(K118=0,0,R118/K118)</x:f>
        <x:v>0.977104347074285264</x:v>
      </x:c>
    </x:row>
    <x:row r="119" s="20" customFormat="1">
      <x:c r="A119" s="20">
        <x:v>240</x:v>
      </x:c>
      <x:c r="B119" s="7"/>
      <x:c r="C119" s="8"/>
      <x:c r="D119" s="21"/>
      <x:c r="E119" s="24" t="s">
        <x:v>135</x:v>
      </x:c>
      <x:c r="F119" s="33">
        <x:f>KANWIL!F119+SURABAYA!F119+KEDIRI!F119+MALANG!F119+MADIUN!F119+BANYUWANGI!F119</x:f>
        <x:v>0.00</x:v>
      </x:c>
      <x:c r="G119" s="33">
        <x:f>KANWIL!G119+SURABAYA!G119+KEDIRI!G119+MALANG!G119+MADIUN!G119+BANYUWANGI!G119</x:f>
        <x:v>0.00</x:v>
      </x:c>
      <x:c r="H119" s="33">
        <x:f>KANWIL!H119+SURABAYA!H119+KEDIRI!H119+MALANG!H119+MADIUN!H119+BANYUWANGI!H119</x:f>
        <x:v>0.00</x:v>
      </x:c>
      <x:c r="I119" s="33">
        <x:f>KANWIL!I119+SURABAYA!I119+KEDIRI!I119+MALANG!I119+MADIUN!I119+BANYUWANGI!I119</x:f>
        <x:v>0.00</x:v>
      </x:c>
      <x:c r="J119" s="33">
        <x:f>KANWIL!J119+SURABAYA!J119+KEDIRI!J119+MALANG!J119+MADIUN!J119+BANYUWANGI!J119</x:f>
        <x:v>0.00</x:v>
      </x:c>
      <x:c r="K119" s="33">
        <x:f>SUM(F119:J119)</x:f>
        <x:v>0.00</x:v>
      </x:c>
      <x:c r="L119" s="33"/>
      <x:c r="M119" s="33"/>
      <x:c r="N119" s="33"/>
      <x:c r="O119" s="33"/>
      <x:c r="P119" s="33"/>
      <x:c r="Q119" s="33"/>
      <x:c r="R119" s="19"/>
      <x:c r="S119" s="37"/>
    </x:row>
    <x:row r="120" s="20" customFormat="1">
      <x:c r="A120" s="20">
        <x:v>241</x:v>
      </x:c>
      <x:c r="B120" s="7"/>
      <x:c r="C120" s="8"/>
      <x:c r="D120" s="21"/>
      <x:c r="E120" s="24" t="s">
        <x:v>136</x:v>
      </x:c>
      <x:c r="F120" s="33">
        <x:f>KANWIL!F120+SURABAYA!F120+KEDIRI!F120+MALANG!F120+MADIUN!F120+BANYUWANGI!F120</x:f>
        <x:v>0.00</x:v>
      </x:c>
      <x:c r="G120" s="33">
        <x:f>KANWIL!G120+SURABAYA!G120+KEDIRI!G120+MALANG!G120+MADIUN!G120+BANYUWANGI!G120</x:f>
        <x:v>0.00</x:v>
      </x:c>
      <x:c r="H120" s="33">
        <x:f>KANWIL!H120+SURABAYA!H120+KEDIRI!H120+MALANG!H120+MADIUN!H120+BANYUWANGI!H120</x:f>
        <x:v>0.00</x:v>
      </x:c>
      <x:c r="I120" s="33">
        <x:f>KANWIL!I120+SURABAYA!I120+KEDIRI!I120+MALANG!I120+MADIUN!I120+BANYUWANGI!I120</x:f>
        <x:v>0.00</x:v>
      </x:c>
      <x:c r="J120" s="33">
        <x:f>KANWIL!J120+SURABAYA!J120+KEDIRI!J120+MALANG!J120+MADIUN!J120+BANYUWANGI!J120</x:f>
        <x:v>0.00</x:v>
      </x:c>
      <x:c r="K120" s="33">
        <x:f>SUM(F120:J120)</x:f>
        <x:v>0.00</x:v>
      </x:c>
      <x:c r="L120" s="33"/>
      <x:c r="M120" s="33"/>
      <x:c r="N120" s="33"/>
      <x:c r="O120" s="33"/>
      <x:c r="P120" s="33"/>
      <x:c r="Q120" s="33"/>
      <x:c r="R120" s="19"/>
      <x:c r="S120" s="37"/>
    </x:row>
    <x:row r="121" s="20" customFormat="1">
      <x:c r="A121" s="20">
        <x:v>242</x:v>
      </x:c>
      <x:c r="B121" s="7"/>
      <x:c r="C121" s="8"/>
      <x:c r="D121" s="21"/>
      <x:c r="E121" s="24" t="s">
        <x:v>137</x:v>
      </x:c>
      <x:c r="F121" s="33">
        <x:f>KANWIL!F121+SURABAYA!F121+KEDIRI!F121+MALANG!F121+MADIUN!F121+BANYUWANGI!F121</x:f>
        <x:v>0.00</x:v>
      </x:c>
      <x:c r="G121" s="33">
        <x:f>KANWIL!G121+SURABAYA!G121+KEDIRI!G121+MALANG!G121+MADIUN!G121+BANYUWANGI!G121</x:f>
        <x:v>0.00</x:v>
      </x:c>
      <x:c r="H121" s="33">
        <x:f>KANWIL!H121+SURABAYA!H121+KEDIRI!H121+MALANG!H121+MADIUN!H121+BANYUWANGI!H121</x:f>
        <x:v>0.00</x:v>
      </x:c>
      <x:c r="I121" s="33">
        <x:f>KANWIL!I121+SURABAYA!I121+KEDIRI!I121+MALANG!I121+MADIUN!I121+BANYUWANGI!I121</x:f>
        <x:v>0.00</x:v>
      </x:c>
      <x:c r="J121" s="33">
        <x:f>KANWIL!J121+SURABAYA!J121+KEDIRI!J121+MALANG!J121+MADIUN!J121+BANYUWANGI!J121</x:f>
        <x:v>0.00</x:v>
      </x:c>
      <x:c r="K121" s="33">
        <x:f>SUM(F121:J121)</x:f>
        <x:v>0.00</x:v>
      </x:c>
      <x:c r="L121" s="33"/>
      <x:c r="M121" s="33"/>
      <x:c r="N121" s="33"/>
      <x:c r="O121" s="33"/>
      <x:c r="P121" s="33"/>
      <x:c r="Q121" s="33"/>
      <x:c r="R121" s="19"/>
      <x:c r="S121" s="37"/>
    </x:row>
    <x:row r="122" s="20" customFormat="1">
      <x:c r="A122" s="20">
        <x:v>243</x:v>
      </x:c>
      <x:c r="B122" s="7"/>
      <x:c r="C122" s="8"/>
      <x:c r="D122" s="21"/>
      <x:c r="E122" s="24" t="s">
        <x:v>138</x:v>
      </x:c>
      <x:c r="F122" s="33">
        <x:f>KANWIL!F122+SURABAYA!F122+KEDIRI!F122+MALANG!F122+MADIUN!F122+BANYUWANGI!F122</x:f>
        <x:v>0.00</x:v>
      </x:c>
      <x:c r="G122" s="33">
        <x:f>KANWIL!G122+SURABAYA!G122+KEDIRI!G122+MALANG!G122+MADIUN!G122+BANYUWANGI!G122</x:f>
        <x:v>0.00</x:v>
      </x:c>
      <x:c r="H122" s="33">
        <x:f>KANWIL!H122+SURABAYA!H122+KEDIRI!H122+MALANG!H122+MADIUN!H122+BANYUWANGI!H122</x:f>
        <x:v>0.00</x:v>
      </x:c>
      <x:c r="I122" s="33">
        <x:f>KANWIL!I122+SURABAYA!I122+KEDIRI!I122+MALANG!I122+MADIUN!I122+BANYUWANGI!I122</x:f>
        <x:v>0.00</x:v>
      </x:c>
      <x:c r="J122" s="33">
        <x:f>KANWIL!J122+SURABAYA!J122+KEDIRI!J122+MALANG!J122+MADIUN!J122+BANYUWANGI!J122</x:f>
        <x:v>0.00</x:v>
      </x:c>
      <x:c r="K122" s="33">
        <x:f>SUM(F122:J122)</x:f>
        <x:v>0.00</x:v>
      </x:c>
      <x:c r="L122" s="33"/>
      <x:c r="M122" s="33"/>
      <x:c r="N122" s="33"/>
      <x:c r="O122" s="33"/>
      <x:c r="P122" s="33"/>
      <x:c r="Q122" s="33"/>
      <x:c r="R122" s="19"/>
      <x:c r="S122" s="37"/>
    </x:row>
    <x:row r="123" s="20" customFormat="1">
      <x:c r="A123" s="20">
        <x:v>245</x:v>
      </x:c>
      <x:c r="B123" s="7"/>
      <x:c r="C123" s="8"/>
      <x:c r="D123" s="21"/>
      <x:c r="E123" s="24" t="s">
        <x:v>139</x:v>
      </x:c>
      <x:c r="F123" s="33">
        <x:f>KANWIL!F123+SURABAYA!F123+KEDIRI!F123+MALANG!F123+MADIUN!F123+BANYUWANGI!F123</x:f>
        <x:v>187778306.00</x:v>
      </x:c>
      <x:c r="G123" s="33">
        <x:f>KANWIL!G123+SURABAYA!G123+KEDIRI!G123+MALANG!G123+MADIUN!G123+BANYUWANGI!G123</x:f>
        <x:v>0.00</x:v>
      </x:c>
      <x:c r="H123" s="33">
        <x:f>KANWIL!H123+SURABAYA!H123+KEDIRI!H123+MALANG!H123+MADIUN!H123+BANYUWANGI!H123</x:f>
        <x:v>3850486.00</x:v>
      </x:c>
      <x:c r="I123" s="33">
        <x:f>KANWIL!I123+SURABAYA!I123+KEDIRI!I123+MALANG!I123+MADIUN!I123+BANYUWANGI!I123</x:f>
        <x:v>4955675.00</x:v>
      </x:c>
      <x:c r="J123" s="33">
        <x:f>KANWIL!J123+SURABAYA!J123+KEDIRI!J123+MALANG!J123+MADIUN!J123+BANYUWANGI!J123</x:f>
        <x:v>21805019.00</x:v>
      </x:c>
      <x:c r="K123" s="33">
        <x:f>SUM(F123:J123)</x:f>
        <x:v>218389486.00</x:v>
      </x:c>
      <x:c r="L123" s="33">
        <x:f>KANWIL!L123+SURABAYA!L123+KEDIRI!L123+MALANG!L123+MADIUN!L123+BANYUWANGI!L123</x:f>
        <x:v>38453292.6599999994</x:v>
      </x:c>
      <x:c r="M123" s="33"/>
      <x:c r="N123" s="33">
        <x:f>KANWIL!N123+SURABAYA!N123+KEDIRI!N123+MALANG!N123+MADIUN!N123+BANYUWANGI!N123</x:f>
        <x:v>239822.171600478006467980231575316549</x:v>
      </x:c>
      <x:c r="O123" s="33">
        <x:f>KANWIL!O123+SURABAYA!O123+KEDIRI!O123+MALANG!O123+MADIUN!O123+BANYUWANGI!O123</x:f>
        <x:v>764133.451493798594568014245246119107</x:v>
      </x:c>
      <x:c r="P123" s="33">
        <x:f>KANWIL!P123+SURABAYA!P123+KEDIRI!P123+MALANG!P123+MADIUN!P123+BANYUWANGI!P123</x:f>
        <x:v>16736158.716905723798964005523156777437</x:v>
      </x:c>
      <x:c r="Q123" s="33">
        <x:f>N123+O123+P123</x:f>
        <x:v>17740114.3400000004</x:v>
      </x:c>
      <x:c r="R123" s="19">
        <x:f>SUM(L123:P123)</x:f>
        <x:v>56193406.9999999998</x:v>
      </x:c>
      <x:c r="S123" s="37">
        <x:f>IF(K123=0,0,R123/K123)</x:f>
        <x:v>0.257308206678044930</x:v>
      </x:c>
    </x:row>
    <x:row r="124" s="20" customFormat="1">
      <x:c r="A124" s="20">
        <x:v>246</x:v>
      </x:c>
      <x:c r="B124" s="7"/>
      <x:c r="C124" s="8"/>
      <x:c r="D124" s="21"/>
      <x:c r="E124" s="24" t="s">
        <x:v>140</x:v>
      </x:c>
      <x:c r="F124" s="33">
        <x:f>KANWIL!F124+SURABAYA!F124+KEDIRI!F124+MALANG!F124+MADIUN!F124+BANYUWANGI!F124</x:f>
        <x:v>0.00</x:v>
      </x:c>
      <x:c r="G124" s="33">
        <x:f>KANWIL!G124+SURABAYA!G124+KEDIRI!G124+MALANG!G124+MADIUN!G124+BANYUWANGI!G124</x:f>
        <x:v>0.00</x:v>
      </x:c>
      <x:c r="H124" s="33">
        <x:f>KANWIL!H124+SURABAYA!H124+KEDIRI!H124+MALANG!H124+MADIUN!H124+BANYUWANGI!H124</x:f>
        <x:v>0.00</x:v>
      </x:c>
      <x:c r="I124" s="33">
        <x:f>KANWIL!I124+SURABAYA!I124+KEDIRI!I124+MALANG!I124+MADIUN!I124+BANYUWANGI!I124</x:f>
        <x:v>0.00</x:v>
      </x:c>
      <x:c r="J124" s="33">
        <x:f>KANWIL!J124+SURABAYA!J124+KEDIRI!J124+MALANG!J124+MADIUN!J124+BANYUWANGI!J124</x:f>
        <x:v>0.00</x:v>
      </x:c>
      <x:c r="K124" s="33">
        <x:f>SUM(F124:J124)</x:f>
        <x:v>0.00</x:v>
      </x:c>
      <x:c r="L124" s="33"/>
      <x:c r="M124" s="33"/>
      <x:c r="N124" s="33"/>
      <x:c r="O124" s="33"/>
      <x:c r="P124" s="33"/>
      <x:c r="Q124" s="33"/>
      <x:c r="R124" s="19"/>
      <x:c r="S124" s="37"/>
    </x:row>
    <x:row r="125" s="20" customFormat="1">
      <x:c r="A125" s="20">
        <x:v>247</x:v>
      </x:c>
      <x:c r="B125" s="7"/>
      <x:c r="C125" s="8"/>
      <x:c r="D125" s="21"/>
      <x:c r="E125" s="24" t="s">
        <x:v>141</x:v>
      </x:c>
      <x:c r="F125" s="33">
        <x:f>KANWIL!F125+SURABAYA!F125+KEDIRI!F125+MALANG!F125+MADIUN!F125+BANYUWANGI!F125</x:f>
        <x:v>94855945.00</x:v>
      </x:c>
      <x:c r="G125" s="33">
        <x:f>KANWIL!G125+SURABAYA!G125+KEDIRI!G125+MALANG!G125+MADIUN!G125+BANYUWANGI!G125</x:f>
        <x:v>0.00</x:v>
      </x:c>
      <x:c r="H125" s="33">
        <x:f>KANWIL!H125+SURABAYA!H125+KEDIRI!H125+MALANG!H125+MADIUN!H125+BANYUWANGI!H125</x:f>
        <x:v>1945067.00</x:v>
      </x:c>
      <x:c r="I125" s="33">
        <x:f>KANWIL!I125+SURABAYA!I125+KEDIRI!I125+MALANG!I125+MADIUN!I125+BANYUWANGI!I125</x:f>
        <x:v>2503354.00</x:v>
      </x:c>
      <x:c r="J125" s="33">
        <x:f>KANWIL!J125+SURABAYA!J125+KEDIRI!J125+MALANG!J125+MADIUN!J125+BANYUWANGI!J125</x:f>
        <x:v>11014775.00</x:v>
      </x:c>
      <x:c r="K125" s="33">
        <x:f>SUM(F125:J125)</x:f>
        <x:v>110319141.00</x:v>
      </x:c>
      <x:c r="L125" s="33">
        <x:f>KANWIL!L125+SURABAYA!L125+KEDIRI!L125+MALANG!L125+MADIUN!L125+BANYUWANGI!L125</x:f>
        <x:v>2581884.65</x:v>
      </x:c>
      <x:c r="M125" s="33"/>
      <x:c r="N125" s="33">
        <x:f>KANWIL!N125+SURABAYA!N125+KEDIRI!N125+MALANG!N125+MADIUN!N125+BANYUWANGI!N125</x:f>
        <x:v>28136.562863205111334268182246133057</x:v>
      </x:c>
      <x:c r="O125" s="33">
        <x:f>KANWIL!O125+SURABAYA!O125+KEDIRI!O125+MALANG!O125+MADIUN!O125+BANYUWANGI!O125</x:f>
        <x:v>61147.983265474086986899038881989692</x:v>
      </x:c>
      <x:c r="P125" s="33">
        <x:f>KANWIL!P125+SURABAYA!P125+KEDIRI!P125+MALANG!P125+MADIUN!P125+BANYUWANGI!P125</x:f>
        <x:v>1247930.803871320801678832778869601100</x:v>
      </x:c>
      <x:c r="Q125" s="33">
        <x:f>N125+O125+P125</x:f>
        <x:v>1337215.35</x:v>
      </x:c>
      <x:c r="R125" s="19">
        <x:f>SUM(L125:P125)</x:f>
        <x:v>3919100.00</x:v>
      </x:c>
      <x:c r="S125" s="37">
        <x:f>IF(K125=0,0,R125/K125)</x:f>
        <x:v>0.035525113452433426</x:v>
      </x:c>
    </x:row>
    <x:row r="126" s="20" customFormat="1">
      <x:c r="A126" s="20">
        <x:v>248</x:v>
      </x:c>
      <x:c r="B126" s="7"/>
      <x:c r="C126" s="8"/>
      <x:c r="D126" s="21"/>
      <x:c r="E126" s="24" t="s">
        <x:v>142</x:v>
      </x:c>
      <x:c r="F126" s="33">
        <x:f>KANWIL!F126+SURABAYA!F126+KEDIRI!F126+MALANG!F126+MADIUN!F126+BANYUWANGI!F126</x:f>
        <x:v>196397805.00</x:v>
      </x:c>
      <x:c r="G126" s="33">
        <x:f>KANWIL!G126+SURABAYA!G126+KEDIRI!G126+MALANG!G126+MADIUN!G126+BANYUWANGI!G126</x:f>
        <x:v>0.00</x:v>
      </x:c>
      <x:c r="H126" s="33">
        <x:f>KANWIL!H126+SURABAYA!H126+KEDIRI!H126+MALANG!H126+MADIUN!H126+BANYUWANGI!H126</x:f>
        <x:v>4027233.00</x:v>
      </x:c>
      <x:c r="I126" s="33">
        <x:f>KANWIL!I126+SURABAYA!I126+KEDIRI!I126+MALANG!I126+MADIUN!I126+BANYUWANGI!I126</x:f>
        <x:v>5183154.00</x:v>
      </x:c>
      <x:c r="J126" s="33">
        <x:f>KANWIL!J126+SURABAYA!J126+KEDIRI!J126+MALANG!J126+MADIUN!J126+BANYUWANGI!J126</x:f>
        <x:v>22805925.00</x:v>
      </x:c>
      <x:c r="K126" s="33">
        <x:f>SUM(F126:J126)</x:f>
        <x:v>228414117.00</x:v>
      </x:c>
      <x:c r="L126" s="33">
        <x:f>KANWIL!L126+SURABAYA!L126+KEDIRI!L126+MALANG!L126+MADIUN!L126+BANYUWANGI!L126</x:f>
        <x:v>55681844.5799999973</x:v>
      </x:c>
      <x:c r="M126" s="33"/>
      <x:c r="N126" s="33">
        <x:f>KANWIL!N126+SURABAYA!N126+KEDIRI!N126+MALANG!N126+MADIUN!N126+BANYUWANGI!N126</x:f>
        <x:v>629787.530946405149809995128865094598</x:v>
      </x:c>
      <x:c r="O126" s="33">
        <x:f>KANWIL!O126+SURABAYA!O126+KEDIRI!O126+MALANG!O126+MADIUN!O126+BANYUWANGI!O126</x:f>
        <x:v>1345994.306862160910961558556396307063</x:v>
      </x:c>
      <x:c r="P126" s="33">
        <x:f>KANWIL!P126+SURABAYA!P126+KEDIRI!P126+MALANG!P126+MADIUN!P126+BANYUWANGI!P126</x:f>
        <x:v>22961982.592191433239228446314704241143</x:v>
      </x:c>
      <x:c r="Q126" s="33">
        <x:f>N126+O126+P126</x:f>
        <x:v>24937764.4299999993</x:v>
      </x:c>
      <x:c r="R126" s="19">
        <x:f>SUM(L126:P126)</x:f>
        <x:v>80619609.0099999966</x:v>
      </x:c>
      <x:c r="S126" s="37">
        <x:f>IF(K126=0,0,R126/K126)</x:f>
        <x:v>0.352953705615314471</x:v>
      </x:c>
    </x:row>
    <x:row r="127" s="20" customFormat="1">
      <x:c r="A127" s="20">
        <x:v>249</x:v>
      </x:c>
      <x:c r="B127" s="7"/>
      <x:c r="C127" s="8"/>
      <x:c r="D127" s="21"/>
      <x:c r="E127" s="24" t="s">
        <x:v>143</x:v>
      </x:c>
      <x:c r="F127" s="33">
        <x:f>KANWIL!F127+SURABAYA!F127+KEDIRI!F127+MALANG!F127+MADIUN!F127+BANYUWANGI!F127</x:f>
        <x:v>0.00</x:v>
      </x:c>
      <x:c r="G127" s="33">
        <x:f>KANWIL!G127+SURABAYA!G127+KEDIRI!G127+MALANG!G127+MADIUN!G127+BANYUWANGI!G127</x:f>
        <x:v>0.00</x:v>
      </x:c>
      <x:c r="H127" s="33">
        <x:f>KANWIL!H127+SURABAYA!H127+KEDIRI!H127+MALANG!H127+MADIUN!H127+BANYUWANGI!H127</x:f>
        <x:v>0.00</x:v>
      </x:c>
      <x:c r="I127" s="33">
        <x:f>KANWIL!I127+SURABAYA!I127+KEDIRI!I127+MALANG!I127+MADIUN!I127+BANYUWANGI!I127</x:f>
        <x:v>0.00</x:v>
      </x:c>
      <x:c r="J127" s="33">
        <x:f>KANWIL!J127+SURABAYA!J127+KEDIRI!J127+MALANG!J127+MADIUN!J127+BANYUWANGI!J127</x:f>
        <x:v>0.00</x:v>
      </x:c>
      <x:c r="K127" s="33">
        <x:f>SUM(F127:J127)</x:f>
        <x:v>0.00</x:v>
      </x:c>
      <x:c r="L127" s="33"/>
      <x:c r="M127" s="33"/>
      <x:c r="N127" s="33"/>
      <x:c r="O127" s="33"/>
      <x:c r="P127" s="33"/>
      <x:c r="Q127" s="33"/>
      <x:c r="R127" s="19"/>
      <x:c r="S127" s="37"/>
    </x:row>
    <x:row r="128" s="20" customFormat="1">
      <x:c r="A128" s="20">
        <x:v>250</x:v>
      </x:c>
      <x:c r="B128" s="7"/>
      <x:c r="C128" s="8"/>
      <x:c r="D128" s="21"/>
      <x:c r="E128" s="24" t="s">
        <x:v>144</x:v>
      </x:c>
      <x:c r="F128" s="33">
        <x:f>KANWIL!F128+SURABAYA!F128+KEDIRI!F128+MALANG!F128+MADIUN!F128+BANYUWANGI!F128</x:f>
        <x:v>0.00</x:v>
      </x:c>
      <x:c r="G128" s="33">
        <x:f>KANWIL!G128+SURABAYA!G128+KEDIRI!G128+MALANG!G128+MADIUN!G128+BANYUWANGI!G128</x:f>
        <x:v>0.00</x:v>
      </x:c>
      <x:c r="H128" s="33">
        <x:f>KANWIL!H128+SURABAYA!H128+KEDIRI!H128+MALANG!H128+MADIUN!H128+BANYUWANGI!H128</x:f>
        <x:v>0.00</x:v>
      </x:c>
      <x:c r="I128" s="33">
        <x:f>KANWIL!I128+SURABAYA!I128+KEDIRI!I128+MALANG!I128+MADIUN!I128+BANYUWANGI!I128</x:f>
        <x:v>0.00</x:v>
      </x:c>
      <x:c r="J128" s="33">
        <x:f>KANWIL!J128+SURABAYA!J128+KEDIRI!J128+MALANG!J128+MADIUN!J128+BANYUWANGI!J128</x:f>
        <x:v>0.00</x:v>
      </x:c>
      <x:c r="K128" s="33">
        <x:f>SUM(F128:J128)</x:f>
        <x:v>0.00</x:v>
      </x:c>
      <x:c r="L128" s="33"/>
      <x:c r="M128" s="33"/>
      <x:c r="N128" s="33"/>
      <x:c r="O128" s="33"/>
      <x:c r="P128" s="33"/>
      <x:c r="Q128" s="33"/>
      <x:c r="R128" s="19"/>
      <x:c r="S128" s="37"/>
    </x:row>
    <x:row r="129" s="20" customFormat="1">
      <x:c r="A129" s="20">
        <x:v>251</x:v>
      </x:c>
      <x:c r="B129" s="7"/>
      <x:c r="C129" s="8"/>
      <x:c r="D129" s="21"/>
      <x:c r="E129" s="24" t="s">
        <x:v>145</x:v>
      </x:c>
      <x:c r="F129" s="33">
        <x:f>KANWIL!F129+SURABAYA!F129+KEDIRI!F129+MALANG!F129+MADIUN!F129+BANYUWANGI!F129</x:f>
        <x:v>728974725.00</x:v>
      </x:c>
      <x:c r="G129" s="33">
        <x:f>KANWIL!G129+SURABAYA!G129+KEDIRI!G129+MALANG!G129+MADIUN!G129+BANYUWANGI!G129</x:f>
        <x:v>0.00</x:v>
      </x:c>
      <x:c r="H129" s="33">
        <x:f>KANWIL!H129+SURABAYA!H129+KEDIRI!H129+MALANG!H129+MADIUN!H129+BANYUWANGI!H129</x:f>
        <x:v>14947978.00</x:v>
      </x:c>
      <x:c r="I129" s="33">
        <x:f>KANWIL!I129+SURABAYA!I129+KEDIRI!I129+MALANG!I129+MADIUN!I129+BANYUWANGI!I129</x:f>
        <x:v>19238441.00</x:v>
      </x:c>
      <x:c r="J129" s="33">
        <x:f>KANWIL!J129+SURABAYA!J129+KEDIRI!J129+MALANG!J129+MADIUN!J129+BANYUWANGI!J129</x:f>
        <x:v>84649325.00</x:v>
      </x:c>
      <x:c r="K129" s="33">
        <x:f>SUM(F129:J129)</x:f>
        <x:v>847810469.00</x:v>
      </x:c>
      <x:c r="L129" s="33">
        <x:f>KANWIL!L129+SURABAYA!L129+KEDIRI!L129+MALANG!L129+MADIUN!L129+BANYUWANGI!L129</x:f>
        <x:v>291429409.439999998</x:v>
      </x:c>
      <x:c r="M129" s="33"/>
      <x:c r="N129" s="33">
        <x:f>KANWIL!N129+SURABAYA!N129+KEDIRI!N129+MALANG!N129+MADIUN!N129+BANYUWANGI!N129</x:f>
        <x:v>2556272.765313724195661591372176372799</x:v>
      </x:c>
      <x:c r="O129" s="33">
        <x:f>KANWIL!O129+SURABAYA!O129+KEDIRI!O129+MALANG!O129+MADIUN!O129+BANYUWANGI!O129</x:f>
        <x:v>5685202.879585471100003374170647158696</x:v>
      </x:c>
      <x:c r="P129" s="33">
        <x:f>KANWIL!P129+SURABAYA!P129+KEDIRI!P129+MALANG!P129+MADIUN!P129+BANYUWANGI!P129</x:f>
        <x:v>116825779.425100806704335034457015490876</x:v>
      </x:c>
      <x:c r="Q129" s="33">
        <x:f>N129+O129+P129</x:f>
        <x:v>125067255.070000002</x:v>
      </x:c>
      <x:c r="R129" s="19">
        <x:f>SUM(L129:P129)</x:f>
        <x:v>416496664.510000000</x:v>
      </x:c>
      <x:c r="S129" s="37">
        <x:f>IF(K129=0,0,R129/K129)</x:f>
        <x:v>0.491261525705458114</x:v>
      </x:c>
    </x:row>
    <x:row r="130" s="20" customFormat="1">
      <x:c r="A130" s="20">
        <x:v>252</x:v>
      </x:c>
      <x:c r="B130" s="7"/>
      <x:c r="C130" s="8"/>
      <x:c r="D130" s="21"/>
      <x:c r="E130" s="24" t="s">
        <x:v>146</x:v>
      </x:c>
      <x:c r="F130" s="33">
        <x:f>KANWIL!F130+SURABAYA!F130+KEDIRI!F130+MALANG!F130+MADIUN!F130+BANYUWANGI!F130</x:f>
        <x:v>236598186.00</x:v>
      </x:c>
      <x:c r="G130" s="33">
        <x:f>KANWIL!G130+SURABAYA!G130+KEDIRI!G130+MALANG!G130+MADIUN!G130+BANYUWANGI!G130</x:f>
        <x:v>0.00</x:v>
      </x:c>
      <x:c r="H130" s="33">
        <x:f>KANWIL!H130+SURABAYA!H130+KEDIRI!H130+MALANG!H130+MADIUN!H130+BANYUWANGI!H130</x:f>
        <x:v>4851560.00</x:v>
      </x:c>
      <x:c r="I130" s="33">
        <x:f>KANWIL!I130+SURABAYA!I130+KEDIRI!I130+MALANG!I130+MADIUN!I130+BANYUWANGI!I130</x:f>
        <x:v>6244086.00</x:v>
      </x:c>
      <x:c r="J130" s="33">
        <x:f>KANWIL!J130+SURABAYA!J130+KEDIRI!J130+MALANG!J130+MADIUN!J130+BANYUWANGI!J130</x:f>
        <x:v>27474036.00</x:v>
      </x:c>
      <x:c r="K130" s="33">
        <x:f>SUM(F130:J130)</x:f>
        <x:v>275167868.00</x:v>
      </x:c>
      <x:c r="L130" s="33">
        <x:f>KANWIL!L130+SURABAYA!L130+KEDIRI!L130+MALANG!L130+MADIUN!L130+BANYUWANGI!L130</x:f>
        <x:v>86895874.240000002</x:v>
      </x:c>
      <x:c r="M130" s="33"/>
      <x:c r="N130" s="33">
        <x:f>KANWIL!N130+SURABAYA!N130+KEDIRI!N130+MALANG!N130+MADIUN!N130+BANYUWANGI!N130</x:f>
        <x:v>977887.117432052629773660757787583008</x:v>
      </x:c>
      <x:c r="O130" s="33">
        <x:f>KANWIL!O130+SURABAYA!O130+KEDIRI!O130+MALANG!O130+MADIUN!O130+BANYUWANGI!O130</x:f>
        <x:v>2090050.047458807889749788782585064248</x:v>
      </x:c>
      <x:c r="P130" s="33">
        <x:f>KANWIL!P130+SURABAYA!P130+KEDIRI!P130+MALANG!P130+MADIUN!P130+BANYUWANGI!P130</x:f>
        <x:v>38741076.635109138980476550459576369756</x:v>
      </x:c>
      <x:c r="Q130" s="33">
        <x:f>N130+O130+P130</x:f>
        <x:v>41809013.7999999995</x:v>
      </x:c>
      <x:c r="R130" s="19">
        <x:f>SUM(L130:P130)</x:f>
        <x:v>128704888.0400000015</x:v>
      </x:c>
      <x:c r="S130" s="37">
        <x:f>IF(K130=0,0,R130/K130)</x:f>
        <x:v>0.467732257314287878</x:v>
      </x:c>
    </x:row>
    <x:row r="131" s="20" customFormat="1">
      <x:c r="A131" s="20">
        <x:v>253</x:v>
      </x:c>
      <x:c r="B131" s="7"/>
      <x:c r="C131" s="8"/>
      <x:c r="D131" s="21"/>
      <x:c r="E131" s="24" t="s">
        <x:v>147</x:v>
      </x:c>
      <x:c r="F131" s="33">
        <x:f>KANWIL!F131+SURABAYA!F131+KEDIRI!F131+MALANG!F131+MADIUN!F131+BANYUWANGI!F131</x:f>
        <x:v>45166372.00</x:v>
      </x:c>
      <x:c r="G131" s="33">
        <x:f>KANWIL!G131+SURABAYA!G131+KEDIRI!G131+MALANG!G131+MADIUN!G131+BANYUWANGI!G131</x:f>
        <x:v>0.00</x:v>
      </x:c>
      <x:c r="H131" s="33">
        <x:f>KANWIL!H131+SURABAYA!H131+KEDIRI!H131+MALANG!H131+MADIUN!H131+BANYUWANGI!H131</x:f>
        <x:v>926158.00</x:v>
      </x:c>
      <x:c r="I131" s="33">
        <x:f>KANWIL!I131+SURABAYA!I131+KEDIRI!I131+MALANG!I131+MADIUN!I131+BANYUWANGI!I131</x:f>
        <x:v>1191990.00</x:v>
      </x:c>
      <x:c r="J131" s="33">
        <x:f>KANWIL!J131+SURABAYA!J131+KEDIRI!J131+MALANG!J131+MADIUN!J131+BANYUWANGI!J131</x:f>
        <x:v>5244768.00</x:v>
      </x:c>
      <x:c r="K131" s="33">
        <x:f>SUM(F131:J131)</x:f>
        <x:v>52529288.00</x:v>
      </x:c>
      <x:c r="L131" s="33">
        <x:f>KANWIL!L131+SURABAYA!L131+KEDIRI!L131+MALANG!L131+MADIUN!L131+BANYUWANGI!L131</x:f>
        <x:v>17668710.51</x:v>
      </x:c>
      <x:c r="M131" s="33"/>
      <x:c r="N131" s="33">
        <x:f>KANWIL!N131+SURABAYA!N131+KEDIRI!N131+MALANG!N131+MADIUN!N131+BANYUWANGI!N131</x:f>
        <x:v>142191.708806466063175251348517111818</x:v>
      </x:c>
      <x:c r="O131" s="33">
        <x:f>KANWIL!O131+SURABAYA!O131+KEDIRI!O131+MALANG!O131+MADIUN!O131+BANYUWANGI!O131</x:f>
        <x:v>311901.921473540730648237776200231911</x:v>
      </x:c>
      <x:c r="P131" s="33">
        <x:f>KANWIL!P131+SURABAYA!P131+KEDIRI!P131+MALANG!P131+MADIUN!P131+BANYUWANGI!P131</x:f>
        <x:v>5887829.859719993206176510875274058073</x:v>
      </x:c>
      <x:c r="Q131" s="33">
        <x:f>N131+O131+P131</x:f>
        <x:v>6341923.49</x:v>
      </x:c>
      <x:c r="R131" s="19">
        <x:f>SUM(L131:P131)</x:f>
        <x:v>24010634.00</x:v>
      </x:c>
      <x:c r="S131" s="37">
        <x:f>IF(K131=0,0,R131/K131)</x:f>
        <x:v>0.457090414018175917</x:v>
      </x:c>
    </x:row>
    <x:row r="132" s="20" customFormat="1">
      <x:c r="A132" s="20">
        <x:v>254</x:v>
      </x:c>
      <x:c r="B132" s="7"/>
      <x:c r="C132" s="8"/>
      <x:c r="D132" s="21"/>
      <x:c r="E132" s="24" t="s">
        <x:v>148</x:v>
      </x:c>
      <x:c r="F132" s="33">
        <x:f>KANWIL!F132+SURABAYA!F132+KEDIRI!F132+MALANG!F132+MADIUN!F132+BANYUWANGI!F132</x:f>
        <x:v>11623668.00</x:v>
      </x:c>
      <x:c r="G132" s="33">
        <x:f>KANWIL!G132+SURABAYA!G132+KEDIRI!G132+MALANG!G132+MADIUN!G132+BANYUWANGI!G132</x:f>
        <x:v>0.00</x:v>
      </x:c>
      <x:c r="H132" s="33">
        <x:f>KANWIL!H132+SURABAYA!H132+KEDIRI!H132+MALANG!H132+MADIUN!H132+BANYUWANGI!H132</x:f>
        <x:v>238349.00</x:v>
      </x:c>
      <x:c r="I132" s="33">
        <x:f>KANWIL!I132+SURABAYA!I132+KEDIRI!I132+MALANG!I132+MADIUN!I132+BANYUWANGI!I132</x:f>
        <x:v>306762.00</x:v>
      </x:c>
      <x:c r="J132" s="33">
        <x:f>KANWIL!J132+SURABAYA!J132+KEDIRI!J132+MALANG!J132+MADIUN!J132+BANYUWANGI!J132</x:f>
        <x:v>1349752.00</x:v>
      </x:c>
      <x:c r="K132" s="33">
        <x:f>SUM(F132:J132)</x:f>
        <x:v>13518531.00</x:v>
      </x:c>
      <x:c r="L132" s="33">
        <x:f>KANWIL!L132+SURABAYA!L132+KEDIRI!L132+MALANG!L132+MADIUN!L132+BANYUWANGI!L132</x:f>
        <x:v>5368508.52</x:v>
      </x:c>
      <x:c r="M132" s="33"/>
      <x:c r="N132" s="33">
        <x:f>KANWIL!N132+SURABAYA!N132+KEDIRI!N132+MALANG!N132+MADIUN!N132+BANYUWANGI!N132</x:f>
        <x:v>66239.088807025472642244355640411763</x:v>
      </x:c>
      <x:c r="O132" s="33">
        <x:f>KANWIL!O132+SURABAYA!O132+KEDIRI!O132+MALANG!O132+MADIUN!O132+BANYUWANGI!O132</x:f>
        <x:v>112215.210649019765816342081449076111</x:v>
      </x:c>
      <x:c r="P132" s="33">
        <x:f>KANWIL!P132+SURABAYA!P132+KEDIRI!P132+MALANG!P132+MADIUN!P132+BANYUWANGI!P132</x:f>
        <x:v>1913732.180543954761541413562907976456</x:v>
      </x:c>
      <x:c r="Q132" s="33">
        <x:f>N132+O132+P132</x:f>
        <x:v>2092186.48000000000</x:v>
      </x:c>
      <x:c r="R132" s="19">
        <x:f>SUM(L132:P132)</x:f>
        <x:v>7460695.00000000000</x:v>
      </x:c>
      <x:c r="S132" s="37">
        <x:f>IF(K132=0,0,R132/K132)</x:f>
        <x:v>0.551886517847242425</x:v>
      </x:c>
    </x:row>
    <x:row r="133" s="20" customFormat="1">
      <x:c r="A133" s="20">
        <x:v>233</x:v>
      </x:c>
      <x:c r="B133" s="7"/>
      <x:c r="C133" s="8"/>
      <x:c r="D133" s="21"/>
      <x:c r="E133" s="24" t="s">
        <x:v>149</x:v>
      </x:c>
      <x:c r="F133" s="33">
        <x:f>KANWIL!F133+SURABAYA!F133+KEDIRI!F133+MALANG!F133+MADIUN!F133+BANYUWANGI!F133</x:f>
        <x:v>0.00</x:v>
      </x:c>
      <x:c r="G133" s="33">
        <x:f>KANWIL!G133+SURABAYA!G133+KEDIRI!G133+MALANG!G133+MADIUN!G133+BANYUWANGI!G133</x:f>
        <x:v>0.00</x:v>
      </x:c>
      <x:c r="H133" s="33">
        <x:f>KANWIL!H133+SURABAYA!H133+KEDIRI!H133+MALANG!H133+MADIUN!H133+BANYUWANGI!H133</x:f>
        <x:v>0.00</x:v>
      </x:c>
      <x:c r="I133" s="33">
        <x:f>KANWIL!I133+SURABAYA!I133+KEDIRI!I133+MALANG!I133+MADIUN!I133+BANYUWANGI!I133</x:f>
        <x:v>0.00</x:v>
      </x:c>
      <x:c r="J133" s="33">
        <x:f>KANWIL!J133+SURABAYA!J133+KEDIRI!J133+MALANG!J133+MADIUN!J133+BANYUWANGI!J133</x:f>
        <x:v>0.00</x:v>
      </x:c>
      <x:c r="K133" s="33">
        <x:f>SUM(F133:J133)</x:f>
        <x:v>0.00</x:v>
      </x:c>
      <x:c r="L133" s="33"/>
      <x:c r="M133" s="33"/>
      <x:c r="N133" s="33"/>
      <x:c r="O133" s="33"/>
      <x:c r="P133" s="33"/>
      <x:c r="Q133" s="33"/>
      <x:c r="R133" s="19"/>
      <x:c r="S133" s="37"/>
    </x:row>
    <x:row r="134" s="20" customFormat="1">
      <x:c r="A134" s="20">
        <x:v>234</x:v>
      </x:c>
      <x:c r="B134" s="7"/>
      <x:c r="C134" s="8"/>
      <x:c r="D134" s="21"/>
      <x:c r="E134" s="24" t="s">
        <x:v>150</x:v>
      </x:c>
      <x:c r="F134" s="33">
        <x:f>KANWIL!F134+SURABAYA!F134+KEDIRI!F134+MALANG!F134+MADIUN!F134+BANYUWANGI!F134</x:f>
        <x:v>2010633.00</x:v>
      </x:c>
      <x:c r="G134" s="33">
        <x:f>KANWIL!G134+SURABAYA!G134+KEDIRI!G134+MALANG!G134+MADIUN!G134+BANYUWANGI!G134</x:f>
        <x:v>0.00</x:v>
      </x:c>
      <x:c r="H134" s="33">
        <x:f>KANWIL!H134+SURABAYA!H134+KEDIRI!H134+MALANG!H134+MADIUN!H134+BANYUWANGI!H134</x:f>
        <x:v>41230.00</x:v>
      </x:c>
      <x:c r="I134" s="33">
        <x:f>KANWIL!I134+SURABAYA!I134+KEDIRI!I134+MALANG!I134+MADIUN!I134+BANYUWANGI!I134</x:f>
        <x:v>53065.00</x:v>
      </x:c>
      <x:c r="J134" s="33">
        <x:f>KANWIL!J134+SURABAYA!J134+KEDIRI!J134+MALANG!J134+MADIUN!J134+BANYUWANGI!J134</x:f>
        <x:v>233475.00</x:v>
      </x:c>
      <x:c r="K134" s="33">
        <x:f>SUM(F134:J134)</x:f>
        <x:v>2338403.00</x:v>
      </x:c>
      <x:c r="L134" s="33">
        <x:f>KANWIL!L134+SURABAYA!L134+KEDIRI!L134+MALANG!L134+MADIUN!L134+BANYUWANGI!L134</x:f>
        <x:v>2807275.00</x:v>
      </x:c>
      <x:c r="M134" s="33"/>
      <x:c r="N134" s="33">
        <x:f>KANWIL!N134+SURABAYA!N134+KEDIRI!N134+MALANG!N134+MADIUN!N134+BANYUWANGI!N134</x:f>
        <x:v>4616.020986165134313573336014359650</x:v>
      </x:c>
      <x:c r="O134" s="33">
        <x:f>KANWIL!O134+SURABAYA!O134+KEDIRI!O134+MALANG!O134+MADIUN!O134+BANYUWANGI!O134</x:f>
        <x:v>47266.819967783616126297319067948625</x:v>
      </x:c>
      <x:c r="P134" s="33">
        <x:f>KANWIL!P134+SURABAYA!P134+KEDIRI!P134+MALANG!P134+MADIUN!P134+BANYUWANGI!P134</x:f>
        <x:v>1140842.159046051249560129344915306275</x:v>
      </x:c>
      <x:c r="Q134" s="33">
        <x:f>N134+O134+P134</x:f>
        <x:v>1192725.00</x:v>
      </x:c>
      <x:c r="R134" s="19">
        <x:f>SUM(L134:P134)</x:f>
        <x:v>4000000.00</x:v>
      </x:c>
      <x:c r="S134" s="37">
        <x:f>IF(K134=0,0,R134/K134)</x:f>
        <x:v>1.710569136286602437</x:v>
      </x:c>
    </x:row>
    <x:row r="135" s="20" customFormat="1">
      <x:c r="A135" s="20">
        <x:v>237</x:v>
      </x:c>
      <x:c r="B135" s="7"/>
      <x:c r="C135" s="8"/>
      <x:c r="D135" s="21"/>
      <x:c r="E135" s="24" t="s">
        <x:v>151</x:v>
      </x:c>
      <x:c r="F135" s="33">
        <x:f>KANWIL!F135+SURABAYA!F135+KEDIRI!F135+MALANG!F135+MADIUN!F135+BANYUWANGI!F135</x:f>
        <x:v>0.00</x:v>
      </x:c>
      <x:c r="G135" s="33">
        <x:f>KANWIL!G135+SURABAYA!G135+KEDIRI!G135+MALANG!G135+MADIUN!G135+BANYUWANGI!G135</x:f>
        <x:v>0.00</x:v>
      </x:c>
      <x:c r="H135" s="33">
        <x:f>KANWIL!H135+SURABAYA!H135+KEDIRI!H135+MALANG!H135+MADIUN!H135+BANYUWANGI!H135</x:f>
        <x:v>0.00</x:v>
      </x:c>
      <x:c r="I135" s="33">
        <x:f>KANWIL!I135+SURABAYA!I135+KEDIRI!I135+MALANG!I135+MADIUN!I135+BANYUWANGI!I135</x:f>
        <x:v>0.00</x:v>
      </x:c>
      <x:c r="J135" s="33">
        <x:f>KANWIL!J135+SURABAYA!J135+KEDIRI!J135+MALANG!J135+MADIUN!J135+BANYUWANGI!J135</x:f>
        <x:v>0.00</x:v>
      </x:c>
      <x:c r="K135" s="33">
        <x:f>SUM(F135:J135)</x:f>
        <x:v>0.00</x:v>
      </x:c>
      <x:c r="L135" s="33"/>
      <x:c r="M135" s="33"/>
      <x:c r="N135" s="33"/>
      <x:c r="O135" s="33"/>
      <x:c r="P135" s="33"/>
      <x:c r="Q135" s="33"/>
      <x:c r="R135" s="19"/>
      <x:c r="S135" s="37"/>
    </x:row>
    <x:row r="136" s="20" customFormat="1">
      <x:c r="A136" s="20">
        <x:v>256</x:v>
      </x:c>
      <x:c r="B136" s="7"/>
      <x:c r="C136" s="8"/>
      <x:c r="D136" s="21"/>
      <x:c r="E136" s="24" t="s">
        <x:v>152</x:v>
      </x:c>
      <x:c r="F136" s="33">
        <x:f>KANWIL!F136+SURABAYA!F136+KEDIRI!F136+MALANG!F136+MADIUN!F136+BANYUWANGI!F136</x:f>
        <x:v>1601791553.00</x:v>
      </x:c>
      <x:c r="G136" s="33">
        <x:f>KANWIL!G136+SURABAYA!G136+KEDIRI!G136+MALANG!G136+MADIUN!G136+BANYUWANGI!G136</x:f>
        <x:v>0.00</x:v>
      </x:c>
      <x:c r="H136" s="33">
        <x:f>KANWIL!H136+SURABAYA!H136+KEDIRI!H136+MALANG!H136+MADIUN!H136+BANYUWANGI!H136</x:f>
        <x:v>32845509.00</x:v>
      </x:c>
      <x:c r="I136" s="33">
        <x:f>KANWIL!I136+SURABAYA!I136+KEDIRI!I136+MALANG!I136+MADIUN!I136+BANYUWANGI!I136</x:f>
        <x:v>42273036.00</x:v>
      </x:c>
      <x:c r="J136" s="33">
        <x:f>KANWIL!J136+SURABAYA!J136+KEDIRI!J136+MALANG!J136+MADIUN!J136+BANYUWANGI!J136</x:f>
        <x:v>186001750.00</x:v>
      </x:c>
      <x:c r="K136" s="33">
        <x:f>SUM(F136:J136)</x:f>
        <x:v>1862911848.00</x:v>
      </x:c>
      <x:c r="L136" s="33">
        <x:f>KANWIL!L136+SURABAYA!L136+KEDIRI!L136+MALANG!L136+MADIUN!L136+BANYUWANGI!L136</x:f>
        <x:v>809070674.360000021</x:v>
      </x:c>
      <x:c r="M136" s="33"/>
      <x:c r="N136" s="33">
        <x:f>KANWIL!N136+SURABAYA!N136+KEDIRI!N136+MALANG!N136+MADIUN!N136+BANYUWANGI!N136</x:f>
        <x:v>8657315.570913687464662994711361604381</x:v>
      </x:c>
      <x:c r="O136" s="33">
        <x:f>KANWIL!O136+SURABAYA!O136+KEDIRI!O136+MALANG!O136+MADIUN!O136+BANYUWANGI!O136</x:f>
        <x:v>16410385.336476985404358630901616057925</x:v>
      </x:c>
      <x:c r="P136" s="33">
        <x:f>KANWIL!P136+SURABAYA!P136+KEDIRI!P136+MALANG!P136+MADIUN!P136+BANYUWANGI!P136</x:f>
        <x:v>313120475.602609335130978374386604182478</x:v>
      </x:c>
      <x:c r="Q136" s="33">
        <x:f>N136+O136+P136</x:f>
        <x:v>338188176.510000008</x:v>
      </x:c>
      <x:c r="R136" s="19">
        <x:f>SUM(L136:P136)</x:f>
        <x:v>1147258850.870000029</x:v>
      </x:c>
      <x:c r="S136" s="37">
        <x:f>IF(K136=0,0,R136/K136)</x:f>
        <x:v>0.615841727616732635</x:v>
      </x:c>
    </x:row>
    <x:row r="137" s="20" customFormat="1">
      <x:c r="A137" s="20">
        <x:v>261</x:v>
      </x:c>
      <x:c r="B137" s="7"/>
      <x:c r="C137" s="8"/>
      <x:c r="D137" s="21"/>
      <x:c r="E137" s="24" t="s">
        <x:v>153</x:v>
      </x:c>
      <x:c r="F137" s="33">
        <x:f>KANWIL!F137+SURABAYA!F137+KEDIRI!F137+MALANG!F137+MADIUN!F137+BANYUWANGI!F137</x:f>
        <x:v>820.00</x:v>
      </x:c>
      <x:c r="G137" s="33">
        <x:f>KANWIL!G137+SURABAYA!G137+KEDIRI!G137+MALANG!G137+MADIUN!G137+BANYUWANGI!G137</x:f>
        <x:v>0.00</x:v>
      </x:c>
      <x:c r="H137" s="33">
        <x:f>KANWIL!H137+SURABAYA!H137+KEDIRI!H137+MALANG!H137+MADIUN!H137+BANYUWANGI!H137</x:f>
        <x:v>17.00</x:v>
      </x:c>
      <x:c r="I137" s="33">
        <x:f>KANWIL!I137+SURABAYA!I137+KEDIRI!I137+MALANG!I137+MADIUN!I137+BANYUWANGI!I137</x:f>
        <x:v>22.00</x:v>
      </x:c>
      <x:c r="J137" s="33">
        <x:f>KANWIL!J137+SURABAYA!J137+KEDIRI!J137+MALANG!J137+MADIUN!J137+BANYUWANGI!J137</x:f>
        <x:v>95.00</x:v>
      </x:c>
      <x:c r="K137" s="33">
        <x:f>SUM(F137:J137)</x:f>
        <x:v>954.00</x:v>
      </x:c>
      <x:c r="L137" s="33"/>
      <x:c r="M137" s="33"/>
      <x:c r="N137" s="33"/>
      <x:c r="O137" s="33"/>
      <x:c r="P137" s="33"/>
      <x:c r="Q137" s="33"/>
      <x:c r="R137" s="19"/>
      <x:c r="S137" s="37"/>
    </x:row>
    <x:row r="138" s="20" customFormat="1">
      <x:c r="A138" s="20">
        <x:v>227</x:v>
      </x:c>
      <x:c r="B138" s="7"/>
      <x:c r="C138" s="8"/>
      <x:c r="D138" s="21"/>
      <x:c r="E138" s="24" t="s">
        <x:v>154</x:v>
      </x:c>
      <x:c r="F138" s="33">
        <x:f>KANWIL!F138+SURABAYA!F138+KEDIRI!F138+MALANG!F138+MADIUN!F138+BANYUWANGI!F138</x:f>
        <x:v>492632237.00</x:v>
      </x:c>
      <x:c r="G138" s="33">
        <x:f>KANWIL!G138+SURABAYA!G138+KEDIRI!G138+MALANG!G138+MADIUN!G138+BANYUWANGI!G138</x:f>
        <x:v>0.00</x:v>
      </x:c>
      <x:c r="H138" s="33">
        <x:f>KANWIL!H138+SURABAYA!H138+KEDIRI!H138+MALANG!H138+MADIUN!H138+BANYUWANGI!H138</x:f>
        <x:v>10101661.00</x:v>
      </x:c>
      <x:c r="I138" s="33">
        <x:f>KANWIL!I138+SURABAYA!I138+KEDIRI!I138+MALANG!I138+MADIUN!I138+BANYUWANGI!I138</x:f>
        <x:v>13001106.00</x:v>
      </x:c>
      <x:c r="J138" s="33">
        <x:f>KANWIL!J138+SURABAYA!J138+KEDIRI!J138+MALANG!J138+MADIUN!J138+BANYUWANGI!J138</x:f>
        <x:v>57204983.00</x:v>
      </x:c>
      <x:c r="K138" s="33">
        <x:f>SUM(F138:J138)</x:f>
        <x:v>572939987.00</x:v>
      </x:c>
      <x:c r="L138" s="33">
        <x:f>KANWIL!L138+SURABAYA!L138+KEDIRI!L138+MALANG!L138+MADIUN!L138+BANYUWANGI!L138</x:f>
        <x:v>-1743620.50</x:v>
      </x:c>
      <x:c r="M138" s="33"/>
      <x:c r="N138" s="33">
        <x:f>KANWIL!N138+SURABAYA!N138+KEDIRI!N138+MALANG!N138+MADIUN!N138+BANYUWANGI!N138</x:f>
        <x:v>105924.967331962988337360050298848257</x:v>
      </x:c>
      <x:c r="O138" s="33">
        <x:f>KANWIL!O138+SURABAYA!O138+KEDIRI!O138+MALANG!O138+MADIUN!O138+BANYUWANGI!O138</x:f>
        <x:v>98263.253088790580271948139115800215</x:v>
      </x:c>
      <x:c r="P138" s="33">
        <x:f>KANWIL!P138+SURABAYA!P138+KEDIRI!P138+MALANG!P138+MADIUN!P138+BANYUWANGI!P138</x:f>
        <x:v>1539432.279579246431390691810583607906</x:v>
      </x:c>
      <x:c r="Q138" s="33">
        <x:f>N138+O138+P138</x:f>
        <x:v>1743620.50</x:v>
      </x:c>
      <x:c r="R138" s="19">
        <x:f>SUM(L138:P138)</x:f>
        <x:v>0.00</x:v>
      </x:c>
      <x:c r="S138" s="37">
        <x:f>IF(K138=0,0,R138/K138)</x:f>
        <x:v>0.000000000000000000</x:v>
      </x:c>
    </x:row>
    <x:row r="139" s="20" customFormat="1">
      <x:c r="A139" s="20">
        <x:v>226</x:v>
      </x:c>
      <x:c r="B139" s="7"/>
      <x:c r="C139" s="8"/>
      <x:c r="D139" s="21"/>
      <x:c r="E139" s="24" t="s">
        <x:v>155</x:v>
      </x:c>
      <x:c r="F139" s="33">
        <x:f>KANWIL!F139+SURABAYA!F139+KEDIRI!F139+MALANG!F139+MADIUN!F139+BANYUWANGI!F139</x:f>
        <x:v>415810.00</x:v>
      </x:c>
      <x:c r="G139" s="33">
        <x:f>KANWIL!G139+SURABAYA!G139+KEDIRI!G139+MALANG!G139+MADIUN!G139+BANYUWANGI!G139</x:f>
        <x:v>0.00</x:v>
      </x:c>
      <x:c r="H139" s="33">
        <x:f>KANWIL!H139+SURABAYA!H139+KEDIRI!H139+MALANG!H139+MADIUN!H139+BANYUWANGI!H139</x:f>
        <x:v>8526.00</x:v>
      </x:c>
      <x:c r="I139" s="33">
        <x:f>KANWIL!I139+SURABAYA!I139+KEDIRI!I139+MALANG!I139+MADIUN!I139+BANYUWANGI!I139</x:f>
        <x:v>10974.00</x:v>
      </x:c>
      <x:c r="J139" s="33">
        <x:f>KANWIL!J139+SURABAYA!J139+KEDIRI!J139+MALANG!J139+MADIUN!J139+BANYUWANGI!J139</x:f>
        <x:v>48282.00</x:v>
      </x:c>
      <x:c r="K139" s="33">
        <x:f>SUM(F139:J139)</x:f>
        <x:v>483592.00</x:v>
      </x:c>
      <x:c r="L139" s="33"/>
      <x:c r="M139" s="33"/>
      <x:c r="N139" s="33"/>
      <x:c r="O139" s="33"/>
      <x:c r="P139" s="33"/>
      <x:c r="Q139" s="33"/>
      <x:c r="R139" s="19"/>
      <x:c r="S139" s="37"/>
    </x:row>
    <x:row r="140" s="20" customFormat="1">
      <x:c r="A140" s="20">
        <x:v>228</x:v>
      </x:c>
      <x:c r="B140" s="7"/>
      <x:c r="C140" s="8"/>
      <x:c r="D140" s="21"/>
      <x:c r="E140" s="24" t="s">
        <x:v>156</x:v>
      </x:c>
      <x:c r="F140" s="33">
        <x:f>KANWIL!F140+SURABAYA!F140+KEDIRI!F140+MALANG!F140+MADIUN!F140+BANYUWANGI!F140</x:f>
        <x:v>2226237.00</x:v>
      </x:c>
      <x:c r="G140" s="33">
        <x:f>KANWIL!G140+SURABAYA!G140+KEDIRI!G140+MALANG!G140+MADIUN!G140+BANYUWANGI!G140</x:f>
        <x:v>0.00</x:v>
      </x:c>
      <x:c r="H140" s="33">
        <x:f>KANWIL!H140+SURABAYA!H140+KEDIRI!H140+MALANG!H140+MADIUN!H140+BANYUWANGI!H140</x:f>
        <x:v>45648.00</x:v>
      </x:c>
      <x:c r="I140" s="33">
        <x:f>KANWIL!I140+SURABAYA!I140+KEDIRI!I140+MALANG!I140+MADIUN!I140+BANYUWANGI!I140</x:f>
        <x:v>58752.00</x:v>
      </x:c>
      <x:c r="J140" s="33">
        <x:f>KANWIL!J140+SURABAYA!J140+KEDIRI!J140+MALANG!J140+MADIUN!J140+BANYUWANGI!J140</x:f>
        <x:v>258510.00</x:v>
      </x:c>
      <x:c r="K140" s="33">
        <x:f>SUM(F140:J140)</x:f>
        <x:v>2589147.00</x:v>
      </x:c>
      <x:c r="L140" s="33"/>
      <x:c r="M140" s="33"/>
      <x:c r="N140" s="33"/>
      <x:c r="O140" s="33"/>
      <x:c r="P140" s="33"/>
      <x:c r="Q140" s="33"/>
      <x:c r="R140" s="19"/>
      <x:c r="S140" s="37"/>
    </x:row>
    <x:row r="141" s="20" customFormat="1">
      <x:c r="A141" s="20">
        <x:v>260</x:v>
      </x:c>
      <x:c r="B141" s="7"/>
      <x:c r="C141" s="8"/>
      <x:c r="D141" s="21"/>
      <x:c r="E141" s="24" t="s">
        <x:v>157</x:v>
      </x:c>
      <x:c r="F141" s="33">
        <x:f>KANWIL!F141+SURABAYA!F141+KEDIRI!F141+MALANG!F141+MADIUN!F141+BANYUWANGI!F141</x:f>
        <x:v>257950.00</x:v>
      </x:c>
      <x:c r="G141" s="33">
        <x:f>KANWIL!G141+SURABAYA!G141+KEDIRI!G141+MALANG!G141+MADIUN!G141+BANYUWANGI!G141</x:f>
        <x:v>0.00</x:v>
      </x:c>
      <x:c r="H141" s="33">
        <x:f>KANWIL!H141+SURABAYA!H141+KEDIRI!H141+MALANG!H141+MADIUN!H141+BANYUWANGI!H141</x:f>
        <x:v>5289.00</x:v>
      </x:c>
      <x:c r="I141" s="33">
        <x:f>KANWIL!I141+SURABAYA!I141+KEDIRI!I141+MALANG!I141+MADIUN!I141+BANYUWANGI!I141</x:f>
        <x:v>6808.00</x:v>
      </x:c>
      <x:c r="J141" s="33">
        <x:f>KANWIL!J141+SURABAYA!J141+KEDIRI!J141+MALANG!J141+MADIUN!J141+BANYUWANGI!J141</x:f>
        <x:v>29953.00</x:v>
      </x:c>
      <x:c r="K141" s="33">
        <x:f>SUM(F141:J141)</x:f>
        <x:v>300000.00</x:v>
      </x:c>
      <x:c r="L141" s="33"/>
      <x:c r="M141" s="33"/>
      <x:c r="N141" s="33"/>
      <x:c r="O141" s="33"/>
      <x:c r="P141" s="33"/>
      <x:c r="Q141" s="33"/>
      <x:c r="R141" s="19"/>
      <x:c r="S141" s="37"/>
    </x:row>
    <x:row r="142" s="20" customFormat="1">
      <x:c r="A142" s="20">
        <x:v>238</x:v>
      </x:c>
      <x:c r="B142" s="7"/>
      <x:c r="C142" s="8"/>
      <x:c r="D142" s="21"/>
      <x:c r="E142" s="24" t="s">
        <x:v>158</x:v>
      </x:c>
      <x:c r="F142" s="33">
        <x:f>KANWIL!F142+SURABAYA!F142+KEDIRI!F142+MALANG!F142+MADIUN!F142+BANYUWANGI!F142</x:f>
        <x:v>0.00</x:v>
      </x:c>
      <x:c r="G142" s="33">
        <x:f>KANWIL!G142+SURABAYA!G142+KEDIRI!G142+MALANG!G142+MADIUN!G142+BANYUWANGI!G142</x:f>
        <x:v>0.00</x:v>
      </x:c>
      <x:c r="H142" s="33">
        <x:f>KANWIL!H142+SURABAYA!H142+KEDIRI!H142+MALANG!H142+MADIUN!H142+BANYUWANGI!H142</x:f>
        <x:v>0.00</x:v>
      </x:c>
      <x:c r="I142" s="33">
        <x:f>KANWIL!I142+SURABAYA!I142+KEDIRI!I142+MALANG!I142+MADIUN!I142+BANYUWANGI!I142</x:f>
        <x:v>0.00</x:v>
      </x:c>
      <x:c r="J142" s="33">
        <x:f>KANWIL!J142+SURABAYA!J142+KEDIRI!J142+MALANG!J142+MADIUN!J142+BANYUWANGI!J142</x:f>
        <x:v>0.00</x:v>
      </x:c>
      <x:c r="K142" s="33">
        <x:f>SUM(F142:J142)</x:f>
        <x:v>0.00</x:v>
      </x:c>
      <x:c r="L142" s="33"/>
      <x:c r="M142" s="33"/>
      <x:c r="N142" s="33"/>
      <x:c r="O142" s="33"/>
      <x:c r="P142" s="33"/>
      <x:c r="Q142" s="33"/>
      <x:c r="R142" s="19"/>
      <x:c r="S142" s="37"/>
    </x:row>
    <x:row r="143" s="23" customFormat="1">
      <x:c r="B143" s="12">
        <x:v>22</x:v>
      </x:c>
      <x:c r="C143" s="8" t="s">
        <x:v>34</x:v>
      </x:c>
      <x:c r="D143" s="14"/>
      <x:c r="E143" s="15" t="s">
        <x:v>159</x:v>
      </x:c>
      <x:c r="F143" s="32">
        <x:f>SUM(F56:F142)</x:f>
        <x:v>21764173095.00</x:v>
      </x:c>
      <x:c r="G143" s="32">
        <x:f>SUM(G56:G142)</x:f>
        <x:v>0.00</x:v>
      </x:c>
      <x:c r="H143" s="32">
        <x:f>SUM(H56:H142)</x:f>
        <x:v>446284893.00</x:v>
      </x:c>
      <x:c r="I143" s="32">
        <x:f>SUM(I56:I142)</x:f>
        <x:v>574380404.00</x:v>
      </x:c>
      <x:c r="J143" s="32">
        <x:f>SUM(J56:J142)</x:f>
        <x:v>2527279079.00</x:v>
      </x:c>
      <x:c r="K143" s="32">
        <x:f>SUM(K56:K142)</x:f>
        <x:v>25312117471.00</x:v>
      </x:c>
      <x:c r="L143" s="32">
        <x:f>SUM(L56:L142)</x:f>
        <x:v>9976198877.3400000875</x:v>
      </x:c>
      <x:c r="M143" s="32"/>
      <x:c r="N143" s="32">
        <x:f>SUM(N56:N142)</x:f>
        <x:v>138702334.824498317813427181600779952198</x:v>
      </x:c>
      <x:c r="O143" s="32">
        <x:f>SUM(O56:O142)</x:f>
        <x:v>241307992.317767261525090432219132583655</x:v>
      </x:c>
      <x:c r="P143" s="32">
        <x:f>SUM(P56:P142)</x:f>
        <x:v>4303838763.237734446281482386174175378007</x:v>
      </x:c>
      <x:c r="Q143" s="32">
        <x:f>SUM(Q56:Q142)</x:f>
        <x:v>4683849090.38000002562</x:v>
      </x:c>
      <x:c r="R143" s="16">
        <x:f>SUM(R56:R142)</x:f>
        <x:v>14660047967.72000011312</x:v>
      </x:c>
      <x:c r="S143" s="37">
        <x:f>IF(K143=0,0,R143/K143)</x:f>
        <x:v>0.579171141431212272</x:v>
      </x:c>
    </x:row>
    <x:row r="144" s="20" customFormat="1">
      <x:c r="B144" s="7"/>
      <x:c r="C144" s="8" t="s">
        <x:v>36</x:v>
      </x:c>
      <x:c r="D144" s="21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19"/>
      <x:c r="S144" s="19"/>
    </x:row>
    <x:row r="145" s="20" customFormat="1">
      <x:c r="B145" s="7"/>
      <x:c r="C145" s="8" t="s">
        <x:v>29</x:v>
      </x:c>
      <x:c r="D145" s="21"/>
      <x:c r="E145" s="22" t="s">
        <x:v>160</x:v>
      </x:c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19"/>
      <x:c r="S145" s="19"/>
    </x:row>
    <x:row r="146" s="20" customFormat="1">
      <x:c r="A146" s="20">
        <x:v>269</x:v>
      </x:c>
      <x:c r="B146" s="7"/>
      <x:c r="C146" s="8"/>
      <x:c r="D146" s="21"/>
      <x:c r="E146" s="24" t="s">
        <x:v>161</x:v>
      </x:c>
      <x:c r="F146" s="33">
        <x:f>KANWIL!F146+SURABAYA!F146+KEDIRI!F146+MALANG!F146+MADIUN!F146+BANYUWANGI!F146</x:f>
        <x:v>353818838.00</x:v>
      </x:c>
      <x:c r="G146" s="33">
        <x:f>KANWIL!G146+SURABAYA!G146+KEDIRI!G146+MALANG!G146+MADIUN!G146+BANYUWANGI!G146</x:f>
        <x:v>0.00</x:v>
      </x:c>
      <x:c r="H146" s="33">
        <x:f>KANWIL!H146+SURABAYA!H146+KEDIRI!H146+MALANG!H146+MADIUN!H146+BANYUWANGI!H146</x:f>
        <x:v>7255227.00</x:v>
      </x:c>
      <x:c r="I146" s="33">
        <x:f>KANWIL!I146+SURABAYA!I146+KEDIRI!I146+MALANG!I146+MADIUN!I146+BANYUWANGI!I146</x:f>
        <x:v>9337667.00</x:v>
      </x:c>
      <x:c r="J146" s="33">
        <x:f>KANWIL!J146+SURABAYA!J146+KEDIRI!J146+MALANG!J146+MADIUN!J146+BANYUWANGI!J146</x:f>
        <x:v>41085821.00</x:v>
      </x:c>
      <x:c r="K146" s="33">
        <x:f>SUM(F146:J146)</x:f>
        <x:v>411497553.00</x:v>
      </x:c>
      <x:c r="L146" s="33">
        <x:f>KANWIL!L146+SURABAYA!L146+KEDIRI!L146+MALANG!L146+MADIUN!L146+BANYUWANGI!L146</x:f>
        <x:v>228928937.909999993</x:v>
      </x:c>
      <x:c r="M146" s="33"/>
      <x:c r="N146" s="33">
        <x:f>KANWIL!N146+SURABAYA!N146+KEDIRI!N146+MALANG!N146+MADIUN!N146+BANYUWANGI!N146</x:f>
        <x:v>1650997.152640424663995319696323356801</x:v>
      </x:c>
      <x:c r="O146" s="33">
        <x:f>KANWIL!O146+SURABAYA!O146+KEDIRI!O146+MALANG!O146+MADIUN!O146+BANYUWANGI!O146</x:f>
        <x:v>4819793.847630140112463336912812843428</x:v>
      </x:c>
      <x:c r="P146" s="33">
        <x:f>KANWIL!P146+SURABAYA!P146+KEDIRI!P146+MALANG!P146+MADIUN!P146+BANYUWANGI!P146</x:f>
        <x:v>94059607.169729437223541343390721098147</x:v>
      </x:c>
      <x:c r="Q146" s="33">
        <x:f>N146+O146+P146</x:f>
        <x:v>100530398.170000002</x:v>
      </x:c>
      <x:c r="R146" s="19">
        <x:f>SUM(L146:P146)</x:f>
        <x:v>329459336.079999995</x:v>
      </x:c>
      <x:c r="S146" s="37">
        <x:f>IF(K146=0,0,R146/K146)</x:f>
        <x:v>0.800634982342167159</x:v>
      </x:c>
    </x:row>
    <x:row r="147" s="20" customFormat="1">
      <x:c r="A147" s="20">
        <x:v>270</x:v>
      </x:c>
      <x:c r="B147" s="7"/>
      <x:c r="C147" s="8"/>
      <x:c r="D147" s="21"/>
      <x:c r="E147" s="24" t="s">
        <x:v>162</x:v>
      </x:c>
      <x:c r="F147" s="33">
        <x:f>KANWIL!F147+SURABAYA!F147+KEDIRI!F147+MALANG!F147+MADIUN!F147+BANYUWANGI!F147</x:f>
        <x:v>96852368.00</x:v>
      </x:c>
      <x:c r="G147" s="33">
        <x:f>KANWIL!G147+SURABAYA!G147+KEDIRI!G147+MALANG!G147+MADIUN!G147+BANYUWANGI!G147</x:f>
        <x:v>0.00</x:v>
      </x:c>
      <x:c r="H147" s="33">
        <x:f>KANWIL!H147+SURABAYA!H147+KEDIRI!H147+MALANG!H147+MADIUN!H147+BANYUWANGI!H147</x:f>
        <x:v>1986005.00</x:v>
      </x:c>
      <x:c r="I147" s="33">
        <x:f>KANWIL!I147+SURABAYA!I147+KEDIRI!I147+MALANG!I147+MADIUN!I147+BANYUWANGI!I147</x:f>
        <x:v>2556040.00</x:v>
      </x:c>
      <x:c r="J147" s="33">
        <x:f>KANWIL!J147+SURABAYA!J147+KEDIRI!J147+MALANG!J147+MADIUN!J147+BANYUWANGI!J147</x:f>
        <x:v>11246601.00</x:v>
      </x:c>
      <x:c r="K147" s="33">
        <x:f>SUM(F147:J147)</x:f>
        <x:v>112641014.00</x:v>
      </x:c>
      <x:c r="L147" s="33">
        <x:f>KANWIL!L147+SURABAYA!L147+KEDIRI!L147+MALANG!L147+MADIUN!L147+BANYUWANGI!L147</x:f>
        <x:v>14210401.34</x:v>
      </x:c>
      <x:c r="M147" s="33"/>
      <x:c r="N147" s="33">
        <x:f>KANWIL!N147+SURABAYA!N147+KEDIRI!N147+MALANG!N147+MADIUN!N147+BANYUWANGI!N147</x:f>
        <x:v>170470.386375972031549711284175832920</x:v>
      </x:c>
      <x:c r="O147" s="33">
        <x:f>KANWIL!O147+SURABAYA!O147+KEDIRI!O147+MALANG!O147+MADIUN!O147+BANYUWANGI!O147</x:f>
        <x:v>302703.343101492545676919070942818606</x:v>
      </x:c>
      <x:c r="P147" s="33">
        <x:f>KANWIL!P147+SURABAYA!P147+KEDIRI!P147+MALANG!P147+MADIUN!P147+BANYUWANGI!P147</x:f>
        <x:v>5767091.570522535222773369644875108207</x:v>
      </x:c>
      <x:c r="Q147" s="33">
        <x:f>N147+O147+P147</x:f>
        <x:v>6240265.2999999998</x:v>
      </x:c>
      <x:c r="R147" s="19">
        <x:f>SUM(L147:P147)</x:f>
        <x:v>20450666.6399999998</x:v>
      </x:c>
      <x:c r="S147" s="37">
        <x:f>IF(K147=0,0,R147/K147)</x:f>
        <x:v>0.181556130522759674</x:v>
      </x:c>
    </x:row>
    <x:row r="148" s="20" customFormat="1">
      <x:c r="A148" s="20">
        <x:v>271</x:v>
      </x:c>
      <x:c r="B148" s="7"/>
      <x:c r="C148" s="8"/>
      <x:c r="D148" s="21"/>
      <x:c r="E148" s="24" t="s">
        <x:v>163</x:v>
      </x:c>
      <x:c r="F148" s="33">
        <x:f>KANWIL!F148+SURABAYA!F148+KEDIRI!F148+MALANG!F148+MADIUN!F148+BANYUWANGI!F148</x:f>
        <x:v>0.00</x:v>
      </x:c>
      <x:c r="G148" s="33">
        <x:f>KANWIL!G148+SURABAYA!G148+KEDIRI!G148+MALANG!G148+MADIUN!G148+BANYUWANGI!G148</x:f>
        <x:v>0.00</x:v>
      </x:c>
      <x:c r="H148" s="33">
        <x:f>KANWIL!H148+SURABAYA!H148+KEDIRI!H148+MALANG!H148+MADIUN!H148+BANYUWANGI!H148</x:f>
        <x:v>0.00</x:v>
      </x:c>
      <x:c r="I148" s="33">
        <x:f>KANWIL!I148+SURABAYA!I148+KEDIRI!I148+MALANG!I148+MADIUN!I148+BANYUWANGI!I148</x:f>
        <x:v>0.00</x:v>
      </x:c>
      <x:c r="J148" s="33">
        <x:f>KANWIL!J148+SURABAYA!J148+KEDIRI!J148+MALANG!J148+MADIUN!J148+BANYUWANGI!J148</x:f>
        <x:v>0.00</x:v>
      </x:c>
      <x:c r="K148" s="33">
        <x:f>SUM(F148:J148)</x:f>
        <x:v>0.00</x:v>
      </x:c>
      <x:c r="L148" s="33">
        <x:f>KANWIL!L148+SURABAYA!L148+KEDIRI!L148+MALANG!L148+MADIUN!L148+BANYUWANGI!L148</x:f>
        <x:v>1097900.6000000001</x:v>
      </x:c>
      <x:c r="M148" s="33"/>
      <x:c r="N148" s="33">
        <x:f>KANWIL!N148+SURABAYA!N148+KEDIRI!N148+MALANG!N148+MADIUN!N148+BANYUWANGI!N148</x:f>
        <x:v>1687.547405798763696649530268822779</x:v>
      </x:c>
      <x:c r="O148" s="33">
        <x:f>KANWIL!O148+SURABAYA!O148+KEDIRI!O148+MALANG!O148+MADIUN!O148+BANYUWANGI!O148</x:f>
        <x:v>16572.995646687105004212206168817976</x:v>
      </x:c>
      <x:c r="P148" s="33">
        <x:f>KANWIL!P148+SURABAYA!P148+KEDIRI!P148+MALANG!P148+MADIUN!P148+BANYUWANGI!P148</x:f>
        <x:v>383805.516947514131299138263561555111</x:v>
      </x:c>
      <x:c r="Q148" s="33">
        <x:f>N148+O148+P148</x:f>
        <x:v>402066.06</x:v>
      </x:c>
      <x:c r="R148" s="19">
        <x:f>SUM(L148:P148)</x:f>
        <x:v>1499966.6600000001</x:v>
      </x:c>
      <x:c r="S148" s="37">
        <x:v>0.00</x:v>
      </x:c>
    </x:row>
    <x:row r="149" s="20" customFormat="1">
      <x:c r="A149" s="20">
        <x:v>272</x:v>
      </x:c>
      <x:c r="B149" s="7"/>
      <x:c r="C149" s="8"/>
      <x:c r="D149" s="21"/>
      <x:c r="E149" s="24" t="s">
        <x:v>164</x:v>
      </x:c>
      <x:c r="F149" s="33">
        <x:f>KANWIL!F149+SURABAYA!F149+KEDIRI!F149+MALANG!F149+MADIUN!F149+BANYUWANGI!F149</x:f>
        <x:v>927316620.00</x:v>
      </x:c>
      <x:c r="G149" s="33">
        <x:f>KANWIL!G149+SURABAYA!G149+KEDIRI!G149+MALANG!G149+MADIUN!G149+BANYUWANGI!G149</x:f>
        <x:v>0.00</x:v>
      </x:c>
      <x:c r="H149" s="33">
        <x:f>KANWIL!H149+SURABAYA!H149+KEDIRI!H149+MALANG!H149+MADIUN!H149+BANYUWANGI!H149</x:f>
        <x:v>19015075.00</x:v>
      </x:c>
      <x:c r="I149" s="33">
        <x:f>KANWIL!I149+SURABAYA!I149+KEDIRI!I149+MALANG!I149+MADIUN!I149+BANYUWANGI!I149</x:f>
        <x:v>24472902.00</x:v>
      </x:c>
      <x:c r="J149" s="33">
        <x:f>KANWIL!J149+SURABAYA!J149+KEDIRI!J149+MALANG!J149+MADIUN!J149+BANYUWANGI!J149</x:f>
        <x:v>107680999.00</x:v>
      </x:c>
      <x:c r="K149" s="33">
        <x:f>SUM(F149:J149)</x:f>
        <x:v>1078485596.00</x:v>
      </x:c>
      <x:c r="L149" s="33">
        <x:f>KANWIL!L149+SURABAYA!L149+KEDIRI!L149+MALANG!L149+MADIUN!L149+BANYUWANGI!L149</x:f>
        <x:v>593559241.779999995</x:v>
      </x:c>
      <x:c r="M149" s="33"/>
      <x:c r="N149" s="33">
        <x:f>KANWIL!N149+SURABAYA!N149+KEDIRI!N149+MALANG!N149+MADIUN!N149+BANYUWANGI!N149</x:f>
        <x:v>6405421.223628609603764703345536819106</x:v>
      </x:c>
      <x:c r="O149" s="33">
        <x:f>KANWIL!O149+SURABAYA!O149+KEDIRI!O149+MALANG!O149+MADIUN!O149+BANYUWANGI!O149</x:f>
        <x:v>13011830.203234198867085611322172925928</x:v>
      </x:c>
      <x:c r="P149" s="33">
        <x:f>KANWIL!P149+SURABAYA!P149+KEDIRI!P149+MALANG!P149+MADIUN!P149+BANYUWANGI!P149</x:f>
        <x:v>239929114.423137184529149685331951113937</x:v>
      </x:c>
      <x:c r="Q149" s="33">
        <x:f>N149+O149+P149</x:f>
        <x:v>259346365.849999993</x:v>
      </x:c>
      <x:c r="R149" s="19">
        <x:f>SUM(L149:P149)</x:f>
        <x:v>852905607.629999988</x:v>
      </x:c>
      <x:c r="S149" s="37">
        <x:f>IF(K149=0,0,R149/K149)</x:f>
        <x:v>0.790836345699326324</x:v>
      </x:c>
    </x:row>
    <x:row r="150" s="20" customFormat="1">
      <x:c r="A150" s="20">
        <x:v>273</x:v>
      </x:c>
      <x:c r="B150" s="7"/>
      <x:c r="C150" s="8"/>
      <x:c r="D150" s="21"/>
      <x:c r="E150" s="24" t="s">
        <x:v>165</x:v>
      </x:c>
      <x:c r="F150" s="33">
        <x:f>KANWIL!F150+SURABAYA!F150+KEDIRI!F150+MALANG!F150+MADIUN!F150+BANYUWANGI!F150</x:f>
        <x:v>0.00</x:v>
      </x:c>
      <x:c r="G150" s="33">
        <x:f>KANWIL!G150+SURABAYA!G150+KEDIRI!G150+MALANG!G150+MADIUN!G150+BANYUWANGI!G150</x:f>
        <x:v>0.00</x:v>
      </x:c>
      <x:c r="H150" s="33">
        <x:f>KANWIL!H150+SURABAYA!H150+KEDIRI!H150+MALANG!H150+MADIUN!H150+BANYUWANGI!H150</x:f>
        <x:v>0.00</x:v>
      </x:c>
      <x:c r="I150" s="33">
        <x:f>KANWIL!I150+SURABAYA!I150+KEDIRI!I150+MALANG!I150+MADIUN!I150+BANYUWANGI!I150</x:f>
        <x:v>0.00</x:v>
      </x:c>
      <x:c r="J150" s="33">
        <x:f>KANWIL!J150+SURABAYA!J150+KEDIRI!J150+MALANG!J150+MADIUN!J150+BANYUWANGI!J150</x:f>
        <x:v>0.00</x:v>
      </x:c>
      <x:c r="K150" s="33">
        <x:f>SUM(F150:J150)</x:f>
        <x:v>0.00</x:v>
      </x:c>
      <x:c r="L150" s="33">
        <x:f>KANWIL!L150+SURABAYA!L150+KEDIRI!L150+MALANG!L150+MADIUN!L150+BANYUWANGI!L150</x:f>
        <x:v>409715923.090000017</x:v>
      </x:c>
      <x:c r="M150" s="33"/>
      <x:c r="N150" s="33">
        <x:f>KANWIL!N150+SURABAYA!N150+KEDIRI!N150+MALANG!N150+MADIUN!N150+BANYUWANGI!N150</x:f>
        <x:v>1415092.168107311060606742435786770869</x:v>
      </x:c>
      <x:c r="O150" s="33">
        <x:f>KANWIL!O150+SURABAYA!O150+KEDIRI!O150+MALANG!O150+MADIUN!O150+BANYUWANGI!O150</x:f>
        <x:v>5348376.076807395479193506878973804863</x:v>
      </x:c>
      <x:c r="P150" s="33">
        <x:f>KANWIL!P150+SURABAYA!P150+KEDIRI!P150+MALANG!P150+MADIUN!P150+BANYUWANGI!P150</x:f>
        <x:v>169757591.975085293260199750685038145979</x:v>
      </x:c>
      <x:c r="Q150" s="33">
        <x:f>N150+O150+P150</x:f>
        <x:v>176521060.2199999998</x:v>
      </x:c>
      <x:c r="R150" s="19">
        <x:f>SUM(L150:P150)</x:f>
        <x:v>586236983.3100000168</x:v>
      </x:c>
      <x:c r="S150" s="37">
        <x:v>0.00</x:v>
      </x:c>
    </x:row>
    <x:row r="151" s="20" customFormat="1">
      <x:c r="A151" s="20">
        <x:v>265</x:v>
      </x:c>
      <x:c r="B151" s="7"/>
      <x:c r="C151" s="8"/>
      <x:c r="D151" s="21"/>
      <x:c r="E151" s="24" t="s">
        <x:v>166</x:v>
      </x:c>
      <x:c r="F151" s="33">
        <x:f>KANWIL!F151+SURABAYA!F151+KEDIRI!F151+MALANG!F151+MADIUN!F151+BANYUWANGI!F151</x:f>
        <x:v>445223.00</x:v>
      </x:c>
      <x:c r="G151" s="33">
        <x:f>KANWIL!G151+SURABAYA!G151+KEDIRI!G151+MALANG!G151+MADIUN!G151+BANYUWANGI!G151</x:f>
        <x:v>0.00</x:v>
      </x:c>
      <x:c r="H151" s="33">
        <x:f>KANWIL!H151+SURABAYA!H151+KEDIRI!H151+MALANG!H151+MADIUN!H151+BANYUWANGI!H151</x:f>
        <x:v>9129.00</x:v>
      </x:c>
      <x:c r="I151" s="33">
        <x:f>KANWIL!I151+SURABAYA!I151+KEDIRI!I151+MALANG!I151+MADIUN!I151+BANYUWANGI!I151</x:f>
        <x:v>11751.00</x:v>
      </x:c>
      <x:c r="J151" s="33">
        <x:f>KANWIL!J151+SURABAYA!J151+KEDIRI!J151+MALANG!J151+MADIUN!J151+BANYUWANGI!J151</x:f>
        <x:v>51699.00</x:v>
      </x:c>
      <x:c r="K151" s="33">
        <x:f>SUM(F151:J151)</x:f>
        <x:v>517802.00</x:v>
      </x:c>
      <x:c r="L151" s="33"/>
      <x:c r="M151" s="33"/>
      <x:c r="N151" s="33"/>
      <x:c r="O151" s="33"/>
      <x:c r="P151" s="33"/>
      <x:c r="Q151" s="33"/>
      <x:c r="R151" s="19"/>
      <x:c r="S151" s="37"/>
    </x:row>
    <x:row r="152" s="20" customFormat="1">
      <x:c r="A152" s="20">
        <x:v>266</x:v>
      </x:c>
      <x:c r="B152" s="7"/>
      <x:c r="C152" s="8"/>
      <x:c r="D152" s="21"/>
      <x:c r="E152" s="24" t="s">
        <x:v>167</x:v>
      </x:c>
      <x:c r="F152" s="33">
        <x:f>KANWIL!F152+SURABAYA!F152+KEDIRI!F152+MALANG!F152+MADIUN!F152+BANYUWANGI!F152</x:f>
        <x:v>114918992.00</x:v>
      </x:c>
      <x:c r="G152" s="33">
        <x:f>KANWIL!G152+SURABAYA!G152+KEDIRI!G152+MALANG!G152+MADIUN!G152+BANYUWANGI!G152</x:f>
        <x:v>0.00</x:v>
      </x:c>
      <x:c r="H152" s="33">
        <x:f>KANWIL!H152+SURABAYA!H152+KEDIRI!H152+MALANG!H152+MADIUN!H152+BANYUWANGI!H152</x:f>
        <x:v>2356470.00</x:v>
      </x:c>
      <x:c r="I152" s="33">
        <x:f>KANWIL!I152+SURABAYA!I152+KEDIRI!I152+MALANG!I152+MADIUN!I152+BANYUWANGI!I152</x:f>
        <x:v>3032838.00</x:v>
      </x:c>
      <x:c r="J152" s="33">
        <x:f>KANWIL!J152+SURABAYA!J152+KEDIRI!J152+MALANG!J152+MADIUN!J152+BANYUWANGI!J152</x:f>
        <x:v>13344517.00</x:v>
      </x:c>
      <x:c r="K152" s="33">
        <x:f>SUM(F152:J152)</x:f>
        <x:v>133652817.00</x:v>
      </x:c>
      <x:c r="L152" s="33"/>
      <x:c r="M152" s="33"/>
      <x:c r="N152" s="33"/>
      <x:c r="O152" s="33"/>
      <x:c r="P152" s="33"/>
      <x:c r="Q152" s="33"/>
      <x:c r="R152" s="19"/>
      <x:c r="S152" s="37"/>
    </x:row>
    <x:row r="153" s="20" customFormat="1">
      <x:c r="A153" s="20">
        <x:v>267</x:v>
      </x:c>
      <x:c r="B153" s="7"/>
      <x:c r="C153" s="8"/>
      <x:c r="D153" s="21"/>
      <x:c r="E153" s="24" t="s">
        <x:v>168</x:v>
      </x:c>
      <x:c r="F153" s="33">
        <x:f>KANWIL!F153+SURABAYA!F153+KEDIRI!F153+MALANG!F153+MADIUN!F153+BANYUWANGI!F153</x:f>
        <x:v>205512475.00</x:v>
      </x:c>
      <x:c r="G153" s="33">
        <x:f>KANWIL!G153+SURABAYA!G153+KEDIRI!G153+MALANG!G153+MADIUN!G153+BANYUWANGI!G153</x:f>
        <x:v>0.00</x:v>
      </x:c>
      <x:c r="H153" s="33">
        <x:f>KANWIL!H153+SURABAYA!H153+KEDIRI!H153+MALANG!H153+MADIUN!H153+BANYUWANGI!H153</x:f>
        <x:v>4214132.00</x:v>
      </x:c>
      <x:c r="I153" s="33">
        <x:f>KANWIL!I153+SURABAYA!I153+KEDIRI!I153+MALANG!I153+MADIUN!I153+BANYUWANGI!I153</x:f>
        <x:v>5423701.00</x:v>
      </x:c>
      <x:c r="J153" s="33">
        <x:f>KANWIL!J153+SURABAYA!J153+KEDIRI!J153+MALANG!J153+MADIUN!J153+BANYUWANGI!J153</x:f>
        <x:v>23864327.00</x:v>
      </x:c>
      <x:c r="K153" s="33">
        <x:f>SUM(F153:J153)</x:f>
        <x:v>239014635.00</x:v>
      </x:c>
      <x:c r="L153" s="33">
        <x:f>KANWIL!L153+SURABAYA!L153+KEDIRI!L153+MALANG!L153+MADIUN!L153+BANYUWANGI!L153</x:f>
        <x:v>28972470.5000000003</x:v>
      </x:c>
      <x:c r="M153" s="33"/>
      <x:c r="N153" s="33">
        <x:f>KANWIL!N153+SURABAYA!N153+KEDIRI!N153+MALANG!N153+MADIUN!N153+BANYUWANGI!N153</x:f>
        <x:v>323168.507022449835524669642511739159</x:v>
      </x:c>
      <x:c r="O153" s="33">
        <x:f>KANWIL!O153+SURABAYA!O153+KEDIRI!O153+MALANG!O153+MADIUN!O153+BANYUWANGI!O153</x:f>
        <x:v>660694.936031111635923161136324455733</x:v>
      </x:c>
      <x:c r="P153" s="33">
        <x:f>KANWIL!P153+SURABAYA!P153+KEDIRI!P153+MALANG!P153+MADIUN!P153+BANYUWANGI!P153</x:f>
        <x:v>11548773.246946438328552169221147133785</x:v>
      </x:c>
      <x:c r="Q153" s="33">
        <x:f>N153+O153+P153</x:f>
        <x:v>12532636.6899999998</x:v>
      </x:c>
      <x:c r="R153" s="19">
        <x:f>SUM(L153:P153)</x:f>
        <x:v>41505107.1900000001</x:v>
      </x:c>
      <x:c r="S153" s="37">
        <x:f>IF(K153=0,0,R153/K153)</x:f>
        <x:v>0.173650902966673986</x:v>
      </x:c>
    </x:row>
    <x:row r="154" s="20" customFormat="1">
      <x:c r="A154" s="20">
        <x:v>268</x:v>
      </x:c>
      <x:c r="B154" s="7"/>
      <x:c r="C154" s="8"/>
      <x:c r="D154" s="21"/>
      <x:c r="E154" s="24" t="s">
        <x:v>169</x:v>
      </x:c>
      <x:c r="F154" s="33">
        <x:f>KANWIL!F154+SURABAYA!F154+KEDIRI!F154+MALANG!F154+MADIUN!F154+BANYUWANGI!F154</x:f>
        <x:v>0.00</x:v>
      </x:c>
      <x:c r="G154" s="33">
        <x:f>KANWIL!G154+SURABAYA!G154+KEDIRI!G154+MALANG!G154+MADIUN!G154+BANYUWANGI!G154</x:f>
        <x:v>0.00</x:v>
      </x:c>
      <x:c r="H154" s="33">
        <x:f>KANWIL!H154+SURABAYA!H154+KEDIRI!H154+MALANG!H154+MADIUN!H154+BANYUWANGI!H154</x:f>
        <x:v>0.00</x:v>
      </x:c>
      <x:c r="I154" s="33">
        <x:f>KANWIL!I154+SURABAYA!I154+KEDIRI!I154+MALANG!I154+MADIUN!I154+BANYUWANGI!I154</x:f>
        <x:v>0.00</x:v>
      </x:c>
      <x:c r="J154" s="33">
        <x:f>KANWIL!J154+SURABAYA!J154+KEDIRI!J154+MALANG!J154+MADIUN!J154+BANYUWANGI!J154</x:f>
        <x:v>0.00</x:v>
      </x:c>
      <x:c r="K154" s="33">
        <x:f>SUM(F154:J154)</x:f>
        <x:v>0.00</x:v>
      </x:c>
      <x:c r="L154" s="33"/>
      <x:c r="M154" s="33"/>
      <x:c r="N154" s="33"/>
      <x:c r="O154" s="33"/>
      <x:c r="P154" s="33"/>
      <x:c r="Q154" s="33"/>
      <x:c r="R154" s="19"/>
      <x:c r="S154" s="37"/>
    </x:row>
    <x:row r="155" s="20" customFormat="1">
      <x:c r="A155" s="20">
        <x:v>274</x:v>
      </x:c>
      <x:c r="B155" s="7"/>
      <x:c r="C155" s="8"/>
      <x:c r="D155" s="21"/>
      <x:c r="E155" s="24" t="s">
        <x:v>170</x:v>
      </x:c>
      <x:c r="F155" s="33">
        <x:f>KANWIL!F155+SURABAYA!F155+KEDIRI!F155+MALANG!F155+MADIUN!F155+BANYUWANGI!F155</x:f>
        <x:v>2130053687.00</x:v>
      </x:c>
      <x:c r="G155" s="33">
        <x:f>KANWIL!G155+SURABAYA!G155+KEDIRI!G155+MALANG!G155+MADIUN!G155+BANYUWANGI!G155</x:f>
        <x:v>0.00</x:v>
      </x:c>
      <x:c r="H155" s="33">
        <x:f>KANWIL!H155+SURABAYA!H155+KEDIRI!H155+MALANG!H155+MADIUN!H155+BANYUWANGI!H155</x:f>
        <x:v>43677780.00</x:v>
      </x:c>
      <x:c r="I155" s="33">
        <x:f>KANWIL!I155+SURABAYA!I155+KEDIRI!I155+MALANG!I155+MADIUN!I155+BANYUWANGI!I155</x:f>
        <x:v>56214452.00</x:v>
      </x:c>
      <x:c r="J155" s="33">
        <x:f>KANWIL!J155+SURABAYA!J155+KEDIRI!J155+MALANG!J155+MADIUN!J155+BANYUWANGI!J155</x:f>
        <x:v>247344114.00</x:v>
      </x:c>
      <x:c r="K155" s="33">
        <x:f>SUM(F155:J155)</x:f>
        <x:v>2477290033.00</x:v>
      </x:c>
      <x:c r="L155" s="33">
        <x:f>KANWIL!L155+SURABAYA!L155+KEDIRI!L155+MALANG!L155+MADIUN!L155+BANYUWANGI!L155</x:f>
        <x:v>1052262176.279999993</x:v>
      </x:c>
      <x:c r="M155" s="33"/>
      <x:c r="N155" s="33">
        <x:f>KANWIL!N155+SURABAYA!N155+KEDIRI!N155+MALANG!N155+MADIUN!N155+BANYUWANGI!N155</x:f>
        <x:v>22916842.243968407558799464458103405832</x:v>
      </x:c>
      <x:c r="O155" s="33">
        <x:f>KANWIL!O155+SURABAYA!O155+KEDIRI!O155+MALANG!O155+MADIUN!O155+BANYUWANGI!O155</x:f>
        <x:v>28213552.723188607263831711668736421424</x:v>
      </x:c>
      <x:c r="P155" s="33">
        <x:f>KANWIL!P155+SURABAYA!P155+KEDIRI!P155+MALANG!P155+MADIUN!P155+BANYUWANGI!P155</x:f>
        <x:v>409771502.392843003177368823872626879160</x:v>
      </x:c>
      <x:c r="Q155" s="33">
        <x:f>N155+O155+P155</x:f>
        <x:v>460901897.360000018</x:v>
      </x:c>
      <x:c r="R155" s="19">
        <x:f>SUM(L155:P155)</x:f>
        <x:v>1513164073.640000011</x:v>
      </x:c>
      <x:c r="S155" s="37">
        <x:f>IF(K155=0,0,R155/K155)</x:f>
        <x:v>0.610814258113959000</x:v>
      </x:c>
    </x:row>
    <x:row r="156" s="20" customFormat="1">
      <x:c r="A156" s="20">
        <x:v>275</x:v>
      </x:c>
      <x:c r="B156" s="7"/>
      <x:c r="C156" s="8"/>
      <x:c r="D156" s="21"/>
      <x:c r="E156" s="24" t="s">
        <x:v>171</x:v>
      </x:c>
      <x:c r="F156" s="33">
        <x:f>KANWIL!F156+SURABAYA!F156+KEDIRI!F156+MALANG!F156+MADIUN!F156+BANYUWANGI!F156</x:f>
        <x:v>167705261.00</x:v>
      </x:c>
      <x:c r="G156" s="33">
        <x:f>KANWIL!G156+SURABAYA!G156+KEDIRI!G156+MALANG!G156+MADIUN!G156+BANYUWANGI!G156</x:f>
        <x:v>0.00</x:v>
      </x:c>
      <x:c r="H156" s="33">
        <x:f>KANWIL!H156+SURABAYA!H156+KEDIRI!H156+MALANG!H156+MADIUN!H156+BANYUWANGI!H156</x:f>
        <x:v>3438877.00</x:v>
      </x:c>
      <x:c r="I156" s="33">
        <x:f>KANWIL!I156+SURABAYA!I156+KEDIRI!I156+MALANG!I156+MADIUN!I156+BANYUWANGI!I156</x:f>
        <x:v>4425925.00</x:v>
      </x:c>
      <x:c r="J156" s="33">
        <x:f>KANWIL!J156+SURABAYA!J156+KEDIRI!J156+MALANG!J156+MADIUN!J156+BANYUWANGI!J156</x:f>
        <x:v>19474114.00</x:v>
      </x:c>
      <x:c r="K156" s="33">
        <x:f>SUM(F156:J156)</x:f>
        <x:v>195044177.00</x:v>
      </x:c>
      <x:c r="L156" s="33">
        <x:f>KANWIL!L156+SURABAYA!L156+KEDIRI!L156+MALANG!L156+MADIUN!L156+BANYUWANGI!L156</x:f>
        <x:v>92813668.5899999997</x:v>
      </x:c>
      <x:c r="M156" s="33"/>
      <x:c r="N156" s="33">
        <x:f>KANWIL!N156+SURABAYA!N156+KEDIRI!N156+MALANG!N156+MADIUN!N156+BANYUWANGI!N156</x:f>
        <x:v>1056818.560869952841283027983196263501</x:v>
      </x:c>
      <x:c r="O156" s="33">
        <x:f>KANWIL!O156+SURABAYA!O156+KEDIRI!O156+MALANG!O156+MADIUN!O156+BANYUWANGI!O156</x:f>
        <x:v>2339043.892953623898719976234566547160</x:v>
      </x:c>
      <x:c r="P156" s="33">
        <x:f>KANWIL!P156+SURABAYA!P156+KEDIRI!P156+MALANG!P156+MADIUN!P156+BANYUWANGI!P156</x:f>
        <x:v>37188217.346176421659996995782179463329</x:v>
      </x:c>
      <x:c r="Q156" s="33">
        <x:f>N156+O156+P156</x:f>
        <x:v>40584079.7999999984</x:v>
      </x:c>
      <x:c r="R156" s="19">
        <x:f>SUM(L156:P156)</x:f>
        <x:v>133397748.3899999981</x:v>
      </x:c>
      <x:c r="S156" s="37">
        <x:f>IF(K156=0,0,R156/K156)</x:f>
        <x:v>0.683936072544221600</x:v>
      </x:c>
    </x:row>
    <x:row r="157" s="20" customFormat="1">
      <x:c r="A157" s="20">
        <x:v>276</x:v>
      </x:c>
      <x:c r="B157" s="7"/>
      <x:c r="C157" s="8"/>
      <x:c r="D157" s="21"/>
      <x:c r="E157" s="24" t="s">
        <x:v>172</x:v>
      </x:c>
      <x:c r="F157" s="33">
        <x:f>KANWIL!F157+SURABAYA!F157+KEDIRI!F157+MALANG!F157+MADIUN!F157+BANYUWANGI!F157</x:f>
        <x:v>1262219669.00</x:v>
      </x:c>
      <x:c r="G157" s="33">
        <x:f>KANWIL!G157+SURABAYA!G157+KEDIRI!G157+MALANG!G157+MADIUN!G157+BANYUWANGI!G157</x:f>
        <x:v>0.00</x:v>
      </x:c>
      <x:c r="H157" s="33">
        <x:f>KANWIL!H157+SURABAYA!H157+KEDIRI!H157+MALANG!H157+MADIUN!H157+BANYUWANGI!H157</x:f>
        <x:v>25882425.00</x:v>
      </x:c>
      <x:c r="I157" s="33">
        <x:f>KANWIL!I157+SURABAYA!I157+KEDIRI!I157+MALANG!I157+MADIUN!I157+BANYUWANGI!I157</x:f>
        <x:v>33311361.00</x:v>
      </x:c>
      <x:c r="J157" s="33">
        <x:f>KANWIL!J157+SURABAYA!J157+KEDIRI!J157+MALANG!J157+MADIUN!J157+BANYUWANGI!J157</x:f>
        <x:v>146570300.00</x:v>
      </x:c>
      <x:c r="K157" s="33">
        <x:f>SUM(F157:J157)</x:f>
        <x:v>1467983755.00</x:v>
      </x:c>
      <x:c r="L157" s="33">
        <x:f>KANWIL!L157+SURABAYA!L157+KEDIRI!L157+MALANG!L157+MADIUN!L157+BANYUWANGI!L157</x:f>
        <x:v>596369892.270000020</x:v>
      </x:c>
      <x:c r="M157" s="33"/>
      <x:c r="N157" s="33">
        <x:f>KANWIL!N157+SURABAYA!N157+KEDIRI!N157+MALANG!N157+MADIUN!N157+BANYUWANGI!N157</x:f>
        <x:v>6862960.873516106538207647279362759261</x:v>
      </x:c>
      <x:c r="O157" s="33">
        <x:f>KANWIL!O157+SURABAYA!O157+KEDIRI!O157+MALANG!O157+MADIUN!O157+BANYUWANGI!O157</x:f>
        <x:v>13799024.676936085899724955027405032140</x:v>
      </x:c>
      <x:c r="P157" s="33">
        <x:f>KANWIL!P157+SURABAYA!P157+KEDIRI!P157+MALANG!P157+MADIUN!P157+BANYUWANGI!P157</x:f>
        <x:v>239347242.379547806562067397692895845438</x:v>
      </x:c>
      <x:c r="Q157" s="33">
        <x:f>N157+O157+P157</x:f>
        <x:v>260009227.929999999</x:v>
      </x:c>
      <x:c r="R157" s="19">
        <x:f>SUM(L157:P157)</x:f>
        <x:v>856379120.200000019</x:v>
      </x:c>
      <x:c r="S157" s="37">
        <x:f>IF(K157=0,0,R157/K157)</x:f>
        <x:v>0.583370978924763386</x:v>
      </x:c>
    </x:row>
    <x:row r="158" s="20" customFormat="1">
      <x:c r="A158" s="20">
        <x:v>277</x:v>
      </x:c>
      <x:c r="B158" s="7"/>
      <x:c r="C158" s="8"/>
      <x:c r="D158" s="21"/>
      <x:c r="E158" s="24" t="s">
        <x:v>173</x:v>
      </x:c>
      <x:c r="F158" s="33">
        <x:f>KANWIL!F158+SURABAYA!F158+KEDIRI!F158+MALANG!F158+MADIUN!F158+BANYUWANGI!F158</x:f>
        <x:v>0.00</x:v>
      </x:c>
      <x:c r="G158" s="33">
        <x:f>KANWIL!G158+SURABAYA!G158+KEDIRI!G158+MALANG!G158+MADIUN!G158+BANYUWANGI!G158</x:f>
        <x:v>0.00</x:v>
      </x:c>
      <x:c r="H158" s="33">
        <x:f>KANWIL!H158+SURABAYA!H158+KEDIRI!H158+MALANG!H158+MADIUN!H158+BANYUWANGI!H158</x:f>
        <x:v>0.00</x:v>
      </x:c>
      <x:c r="I158" s="33">
        <x:f>KANWIL!I158+SURABAYA!I158+KEDIRI!I158+MALANG!I158+MADIUN!I158+BANYUWANGI!I158</x:f>
        <x:v>0.00</x:v>
      </x:c>
      <x:c r="J158" s="33">
        <x:f>KANWIL!J158+SURABAYA!J158+KEDIRI!J158+MALANG!J158+MADIUN!J158+BANYUWANGI!J158</x:f>
        <x:v>0.00</x:v>
      </x:c>
      <x:c r="K158" s="33">
        <x:f>SUM(F158:J158)</x:f>
        <x:v>0.00</x:v>
      </x:c>
      <x:c r="L158" s="33"/>
      <x:c r="M158" s="33"/>
      <x:c r="N158" s="33"/>
      <x:c r="O158" s="33"/>
      <x:c r="P158" s="33"/>
      <x:c r="Q158" s="33"/>
      <x:c r="R158" s="19"/>
      <x:c r="S158" s="37"/>
    </x:row>
    <x:row r="159" s="20" customFormat="1">
      <x:c r="A159" s="20">
        <x:v>278</x:v>
      </x:c>
      <x:c r="B159" s="7"/>
      <x:c r="C159" s="8"/>
      <x:c r="D159" s="21"/>
      <x:c r="E159" s="24" t="s">
        <x:v>174</x:v>
      </x:c>
      <x:c r="F159" s="33">
        <x:f>KANWIL!F159+SURABAYA!F159+KEDIRI!F159+MALANG!F159+MADIUN!F159+BANYUWANGI!F159</x:f>
        <x:v>0.00</x:v>
      </x:c>
      <x:c r="G159" s="33">
        <x:f>KANWIL!G159+SURABAYA!G159+KEDIRI!G159+MALANG!G159+MADIUN!G159+BANYUWANGI!G159</x:f>
        <x:v>0.00</x:v>
      </x:c>
      <x:c r="H159" s="33">
        <x:f>KANWIL!H159+SURABAYA!H159+KEDIRI!H159+MALANG!H159+MADIUN!H159+BANYUWANGI!H159</x:f>
        <x:v>0.00</x:v>
      </x:c>
      <x:c r="I159" s="33">
        <x:f>KANWIL!I159+SURABAYA!I159+KEDIRI!I159+MALANG!I159+MADIUN!I159+BANYUWANGI!I159</x:f>
        <x:v>0.00</x:v>
      </x:c>
      <x:c r="J159" s="33">
        <x:f>KANWIL!J159+SURABAYA!J159+KEDIRI!J159+MALANG!J159+MADIUN!J159+BANYUWANGI!J159</x:f>
        <x:v>0.00</x:v>
      </x:c>
      <x:c r="K159" s="33">
        <x:f>SUM(F159:J159)</x:f>
        <x:v>0.00</x:v>
      </x:c>
      <x:c r="L159" s="33"/>
      <x:c r="M159" s="33"/>
      <x:c r="N159" s="33">
        <x:f>KANWIL!N159+SURABAYA!N159+KEDIRI!N159+MALANG!N159+MADIUN!N159+BANYUWANGI!N159</x:f>
        <x:v>95291.026003943894599425274323782863</x:v>
      </x:c>
      <x:c r="O159" s="33">
        <x:f>KANWIL!O159+SURABAYA!O159+KEDIRI!O159+MALANG!O159+MADIUN!O159+BANYUWANGI!O159</x:f>
        <x:v>572233.421026558439453382215232353430</x:v>
      </x:c>
      <x:c r="P159" s="33">
        <x:f>KANWIL!P159+SURABAYA!P159+KEDIRI!P159+MALANG!P159+MADIUN!P159+BANYUWANGI!P159</x:f>
        <x:v>4563664.532969498065947192510433401328</x:v>
      </x:c>
      <x:c r="Q159" s="33">
        <x:f>N159+O159+P159</x:f>
        <x:v>5231188.9800000004</x:v>
      </x:c>
      <x:c r="R159" s="19">
        <x:f>SUM(L159:P159)</x:f>
        <x:v>5231188.9800000004</x:v>
      </x:c>
      <x:c r="S159" s="37">
        <x:v>0.00</x:v>
      </x:c>
    </x:row>
    <x:row r="160" s="20" customFormat="1">
      <x:c r="A160" s="20">
        <x:v>279</x:v>
      </x:c>
      <x:c r="B160" s="7"/>
      <x:c r="C160" s="8"/>
      <x:c r="D160" s="21"/>
      <x:c r="E160" s="24" t="s">
        <x:v>175</x:v>
      </x:c>
      <x:c r="F160" s="33">
        <x:f>KANWIL!F160+SURABAYA!F160+KEDIRI!F160+MALANG!F160+MADIUN!F160+BANYUWANGI!F160</x:f>
        <x:v>0.00</x:v>
      </x:c>
      <x:c r="G160" s="33">
        <x:f>KANWIL!G160+SURABAYA!G160+KEDIRI!G160+MALANG!G160+MADIUN!G160+BANYUWANGI!G160</x:f>
        <x:v>0.00</x:v>
      </x:c>
      <x:c r="H160" s="33">
        <x:f>KANWIL!H160+SURABAYA!H160+KEDIRI!H160+MALANG!H160+MADIUN!H160+BANYUWANGI!H160</x:f>
        <x:v>0.00</x:v>
      </x:c>
      <x:c r="I160" s="33">
        <x:f>KANWIL!I160+SURABAYA!I160+KEDIRI!I160+MALANG!I160+MADIUN!I160+BANYUWANGI!I160</x:f>
        <x:v>0.00</x:v>
      </x:c>
      <x:c r="J160" s="33">
        <x:f>KANWIL!J160+SURABAYA!J160+KEDIRI!J160+MALANG!J160+MADIUN!J160+BANYUWANGI!J160</x:f>
        <x:v>0.00</x:v>
      </x:c>
      <x:c r="K160" s="33">
        <x:f>SUM(F160:J160)</x:f>
        <x:v>0.00</x:v>
      </x:c>
      <x:c r="L160" s="33"/>
      <x:c r="M160" s="33"/>
      <x:c r="N160" s="33"/>
      <x:c r="O160" s="33"/>
      <x:c r="P160" s="33"/>
      <x:c r="Q160" s="33"/>
      <x:c r="R160" s="19"/>
      <x:c r="S160" s="37"/>
    </x:row>
    <x:row r="161" s="23" customFormat="1">
      <x:c r="B161" s="12">
        <x:v>23</x:v>
      </x:c>
      <x:c r="C161" s="8" t="s">
        <x:v>34</x:v>
      </x:c>
      <x:c r="D161" s="14"/>
      <x:c r="E161" s="15" t="s">
        <x:v>176</x:v>
      </x:c>
      <x:c r="F161" s="32">
        <x:f>SUM(F146:F160)</x:f>
        <x:v>5258843133.00</x:v>
      </x:c>
      <x:c r="G161" s="32">
        <x:f>SUM(G146:G160)</x:f>
        <x:v>0.00</x:v>
      </x:c>
      <x:c r="H161" s="32">
        <x:f>SUM(H146:H160)</x:f>
        <x:v>107835120.00</x:v>
      </x:c>
      <x:c r="I161" s="32">
        <x:f>SUM(I146:I160)</x:f>
        <x:v>138786637.00</x:v>
      </x:c>
      <x:c r="J161" s="32">
        <x:f>SUM(J146:J160)</x:f>
        <x:v>610662492.00</x:v>
      </x:c>
      <x:c r="K161" s="32">
        <x:f>SUM(K146:K160)</x:f>
        <x:v>6116127382.00</x:v>
      </x:c>
      <x:c r="L161" s="32">
        <x:f>SUM(L146:L160)</x:f>
        <x:v>3017930612.3600000181</x:v>
      </x:c>
      <x:c r="M161" s="32"/>
      <x:c r="N161" s="32">
        <x:f>SUM(N146:N160)</x:f>
        <x:v>40898749.689538976792027360929589553091</x:v>
      </x:c>
      <x:c r="O161" s="32">
        <x:f>SUM(O146:O160)</x:f>
        <x:v>69083826.116555901247076772673336020688</x:v>
      </x:c>
      <x:c r="P161" s="32">
        <x:f>SUM(P146:P160)</x:f>
        <x:v>1212316610.553905132160895866395429744421</x:v>
      </x:c>
      <x:c r="Q161" s="32">
        <x:f>SUM(Q146:Q160)</x:f>
        <x:v>1322299186.3600000102</x:v>
      </x:c>
      <x:c r="R161" s="16">
        <x:f>SUM(R146:R160)</x:f>
        <x:v>4340229798.7200000283</x:v>
      </x:c>
      <x:c r="S161" s="37">
        <x:f>IF(K161=0,0,R161/K161)</x:f>
        <x:v>0.709636920168383770</x:v>
      </x:c>
    </x:row>
    <x:row r="162" s="20" customFormat="1">
      <x:c r="B162" s="7"/>
      <x:c r="C162" s="8"/>
      <x:c r="D162" s="21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19"/>
      <x:c r="S162" s="19"/>
    </x:row>
    <x:row r="163" s="23" customFormat="1">
      <x:c r="B163" s="12"/>
      <x:c r="C163" s="8" t="s">
        <x:v>34</x:v>
      </x:c>
      <x:c r="D163" s="14"/>
      <x:c r="E163" s="15" t="s">
        <x:v>177</x:v>
      </x:c>
      <x:c r="F163" s="32">
        <x:f>SUM(F53,F143,F161)</x:f>
        <x:v>67048938600.00</x:v>
      </x:c>
      <x:c r="G163" s="32">
        <x:f>SUM(G53,G143,G161)</x:f>
        <x:v>0.00</x:v>
      </x:c>
      <x:c r="H163" s="32">
        <x:f>SUM(H53,H143,H161)</x:f>
        <x:v>1374870886.00</x:v>
      </x:c>
      <x:c r="I163" s="32">
        <x:f>SUM(I53,I143,I161)</x:f>
        <x:v>1769495013.00</x:v>
      </x:c>
      <x:c r="J163" s="32">
        <x:f>SUM(J53,J143,J161)</x:f>
        <x:v>7785794528.00</x:v>
      </x:c>
      <x:c r="K163" s="32">
        <x:f>SUM(K53,K143,K161)</x:f>
        <x:v>77979099027.00</x:v>
      </x:c>
      <x:c r="L163" s="32">
        <x:f>SUM(L53,L143,L161)</x:f>
        <x:v>28064501429.3100002064</x:v>
      </x:c>
      <x:c r="M163" s="32"/>
      <x:c r="N163" s="32">
        <x:f>SUM(N53,N143,N161)</x:f>
        <x:v>360338576.696906900329377025339571820968</x:v>
      </x:c>
      <x:c r="O163" s="32">
        <x:f>SUM(O53,O143,O161)</x:f>
        <x:v>659983804.652292071406139878222905233876</x:v>
      </x:c>
      <x:c r="P163" s="32">
        <x:f>SUM(P53,P143,P161)</x:f>
        <x:v>11663702826.500801118684483096421301448601</x:v>
      </x:c>
      <x:c r="Q163" s="32">
        <x:f>SUM(Q53,Q143,Q161)</x:f>
        <x:v>12684025207.85000009042</x:v>
      </x:c>
      <x:c r="R163" s="16">
        <x:f>SUM(R161,R143,R53)</x:f>
        <x:v>40748526637.16000029682</x:v>
      </x:c>
      <x:c r="S163" s="37">
        <x:f>IF(K163=0,0,R163/K163)</x:f>
        <x:v>0.522557033174376128</x:v>
      </x:c>
    </x:row>
    <x:row r="164" s="20" customFormat="1">
      <x:c r="B164" s="7"/>
      <x:c r="C164" s="8"/>
      <x:c r="D164" s="21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19"/>
      <x:c r="S164" s="19"/>
    </x:row>
    <x:row r="165" s="23" customFormat="1">
      <x:c r="A165" s="23">
        <x:v>0</x:v>
      </x:c>
      <x:c r="B165" s="12">
        <x:v>25</x:v>
      </x:c>
      <x:c r="C165" s="8" t="s">
        <x:v>27</x:v>
      </x:c>
      <x:c r="D165" s="14" t="s">
        <x:v>178</x:v>
      </x:c>
      <x:c r="E165" s="15"/>
      <x:c r="F165" s="15">
        <x:v>0.00</x:v>
      </x:c>
      <x:c r="G165" s="15">
        <x:v>0.00</x:v>
      </x:c>
      <x:c r="H165" s="15">
        <x:v>0.00</x:v>
      </x:c>
      <x:c r="I165" s="15">
        <x:v>0.00</x:v>
      </x:c>
      <x:c r="J165" s="15">
        <x:v>0.00</x:v>
      </x:c>
      <x:c r="K165" s="15">
        <x:v>0.00</x:v>
      </x:c>
      <x:c r="L165" s="32">
        <x:f>KANWIL!L165+SURABAYA!L165+KEDIRI!L165+MALANG!L165+MADIUN!L165+BANYUWANGI!L165</x:f>
        <x:v>3797284.26</x:v>
      </x:c>
      <x:c r="M165" s="32"/>
      <x:c r="N165" s="32">
        <x:f>KANWIL!N165+SURABAYA!N165+KEDIRI!N165+MALANG!N165+MADIUN!N165+BANYUWANGI!N165</x:f>
        <x:v>14817865.877995109839544931405950614240</x:v>
      </x:c>
      <x:c r="O165" s="32">
        <x:f>KANWIL!O165+SURABAYA!O165+KEDIRI!O165+MALANG!O165+MADIUN!O165+BANYUWANGI!O165</x:f>
        <x:v>19280117.507614442260670390971713439436</x:v>
      </x:c>
      <x:c r="P165" s="32">
        <x:f>KANWIL!P165+SURABAYA!P165+KEDIRI!P165+MALANG!P165+MADIUN!P165+BANYUWANGI!P165</x:f>
        <x:v>289071888.974390439899784677621947701024</x:v>
      </x:c>
      <x:c r="Q165" s="32">
        <x:f>N165+O165+P165</x:f>
        <x:v>323169872.359999992</x:v>
      </x:c>
      <x:c r="R165" s="16">
        <x:f>SUM(L165:P165)</x:f>
        <x:v>326967156.619999992</x:v>
      </x:c>
      <x:c r="S165" s="16">
        <x:v>0.00</x:v>
      </x:c>
    </x:row>
    <x:row r="166" s="20" customFormat="1">
      <x:c r="B166" s="7"/>
      <x:c r="C166" s="8"/>
      <x:c r="D166" s="21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19"/>
      <x:c r="S166" s="19"/>
    </x:row>
    <x:row r="167" s="23" customFormat="1">
      <x:c r="B167" s="12"/>
      <x:c r="C167" s="8" t="s">
        <x:v>27</x:v>
      </x:c>
      <x:c r="D167" s="14" t="s">
        <x:v>179</x:v>
      </x:c>
      <x:c r="E167" s="15"/>
      <x:c r="F167" s="32">
        <x:f>F24+F26-F163+F165</x:f>
        <x:v>296549258290.00</x:v>
      </x:c>
      <x:c r="G167" s="32">
        <x:f>G24+G26-G163+G165</x:f>
        <x:v>9607420733.00</x:v>
      </x:c>
      <x:c r="H167" s="32">
        <x:f>H24+H26-H163+H165</x:f>
        <x:v>11885511311.00</x:v>
      </x:c>
      <x:c r="I167" s="32">
        <x:f>I24+I26-I163+I165</x:f>
        <x:v>13269773235.00</x:v>
      </x:c>
      <x:c r="J167" s="32">
        <x:f>J24+J26-J163+J165</x:f>
        <x:v>2648224171.00</x:v>
      </x:c>
      <x:c r="K167" s="32">
        <x:f>K24+K26-K163+K165</x:f>
        <x:v>333960187740.00</x:v>
      </x:c>
      <x:c r="L167" s="32">
        <x:f>L24+L26-L163+L165</x:f>
        <x:v>165407836938.679996866977</x:v>
      </x:c>
      <x:c r="M167" s="32">
        <x:f>M24+M26-M163+M165</x:f>
        <x:v>15467701438.46999978</x:v>
      </x:c>
      <x:c r="N167" s="32">
        <x:f>N24+N26-N163+N165</x:f>
        <x:v>2660871335.361087913680167906066378793272</x:v>
      </x:c>
      <x:c r="O167" s="32">
        <x:f>O24+O26-O163+O165</x:f>
        <x:v>7467739746.585322206549630512748808205560</x:v>
      </x:c>
      <x:c r="P167" s="32">
        <x:f>P24+P26-P163+P165</x:f>
        <x:v>27205411378.843595282712301581200646252423</x:v>
      </x:c>
      <x:c r="Q167" s="32">
        <x:f>Q24+Q26-Q163+Q165</x:f>
        <x:v>16330632986.9000052589421</x:v>
      </x:c>
      <x:c r="R167" s="16">
        <x:f>R24+R26-R163+R165</x:f>
        <x:v>197206171364.0500019059191</x:v>
      </x:c>
      <x:c r="S167" s="37">
        <x:f>IF(K167=0,0,R167/K167)</x:f>
        <x:v>0.590508026416556241</x:v>
      </x:c>
      <x:c r="V167" s="47"/>
    </x:row>
    <x:row r="168" s="7" customFormat="1">
      <x:c r="C168" s="8"/>
      <x:c r="D168" s="25"/>
      <x:c r="E168" s="26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/>
    </x:row>
    <x:row r="169"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8"/>
    </x:row>
    <x:row r="170">
      <x:c r="F170"/>
      <x:c r="G170"/>
      <x:c r="H170"/>
      <x:c r="I170"/>
      <x:c r="J170" s="46"/>
      <x:c r="K170" s="66"/>
      <x:c r="L170"/>
      <x:c r="M170"/>
      <x:c r="N170"/>
      <x:c r="O170" s="45"/>
      <x:c r="P170" s="45"/>
      <x:c r="Q170" s="45"/>
      <x:c r="R170" s="66"/>
      <x:c r="S170" s="37"/>
    </x:row>
    <x:row r="171"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</x:row>
    <x:row r="172"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</x:row>
    <x:row r="173">
      <x:c r="F173"/>
      <x:c r="G173"/>
      <x:c r="H173"/>
      <x:c r="I173"/>
      <x:c r="J173"/>
      <x:c r="K173" s="55"/>
      <x:c r="L173"/>
      <x:c r="M173"/>
      <x:c r="N173"/>
      <x:c r="O173"/>
      <x:c r="P173"/>
      <x:c r="Q173"/>
      <x:c r="R173" s="55"/>
      <x:c r="S173"/>
    </x:row>
    <x:row r="174"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</x:row>
    <x:row r="175">
      <x:c r="F175"/>
      <x:c r="G175"/>
      <x:c r="H175"/>
      <x:c r="I175"/>
      <x:c r="J175"/>
      <x:c r="K175" s="48"/>
      <x:c r="L175"/>
      <x:c r="M175"/>
      <x:c r="N175"/>
      <x:c r="O175"/>
      <x:c r="P175"/>
      <x:c r="Q175"/>
      <x:c r="R175"/>
      <x:c r="S175"/>
    </x:row>
    <x:row r="176">
      <x:c r="F176"/>
      <x:c r="G176"/>
      <x:c r="H176"/>
      <x:c r="I176"/>
      <x:c r="J176"/>
      <x:c r="K176" s="52"/>
      <x:c r="L176"/>
      <x:c r="M176"/>
      <x:c r="N176"/>
      <x:c r="O176"/>
      <x:c r="P176"/>
      <x:c r="Q176"/>
      <x:c r="R176"/>
      <x:c r="S176"/>
    </x:row>
  </x:sheetData>
  <x:mergeCells>
    <x:mergeCell ref="D5:E7"/>
    <x:mergeCell ref="F5:K5"/>
    <x:mergeCell ref="L5:R5"/>
  </x:mergeCells>
  <x:conditionalFormatting sqref="A1:A1048576">
    <x:cfRule type="duplicateValues" dxfId="83" priority="26"/>
  </x:conditionalFormatting>
  <x:conditionalFormatting sqref="D8:R168">
    <x:cfRule type="expression" dxfId="82" priority="25">
      <x:formula>IF(MOD(ROW(),2)=0,TRUE,FALSE)</x:formula>
    </x:cfRule>
  </x:conditionalFormatting>
  <x:conditionalFormatting sqref="D9:S167">
    <x:cfRule type="expression" dxfId="81" priority="7">
      <x:formula>IF($C9="Y2",1,0)</x:formula>
    </x:cfRule>
    <x:cfRule type="expression" dxfId="80" priority="8">
      <x:formula>IF($C9="X2",1,0)</x:formula>
    </x:cfRule>
    <x:cfRule type="expression" dxfId="79" priority="9">
      <x:formula>IF($C9="X1",1,0)</x:formula>
    </x:cfRule>
  </x:conditionalFormatting>
  <x:conditionalFormatting sqref="F168:R168">
    <x:cfRule type="expression" dxfId="78" priority="11">
      <x:formula>IF($C168="Y2",1,0)</x:formula>
    </x:cfRule>
    <x:cfRule type="expression" dxfId="77" priority="12">
      <x:formula>IF($C168="X2",1,0)</x:formula>
    </x:cfRule>
    <x:cfRule type="expression" dxfId="76" priority="13">
      <x:formula>IF($C168="X1",1,0)</x:formula>
    </x:cfRule>
  </x:conditionalFormatting>
  <x:conditionalFormatting sqref="L167:R167">
    <x:cfRule type="cellIs" dxfId="75" priority="1" operator="lessThan">
      <x:formula>0</x:formula>
    </x:cfRule>
  </x:conditionalFormatting>
  <x:conditionalFormatting sqref="S8:S167">
    <x:cfRule type="expression" dxfId="74" priority="10">
      <x:formula>IF(MOD(ROW(),2)=0,TRUE,FALSE)</x:formula>
    </x:cfRule>
  </x:conditionalFormatting>
  <x:conditionalFormatting sqref="S30:S53 S56:S143 S146:S163">
    <x:cfRule type="cellIs" dxfId="73" priority="6" operator="greaterThan">
      <x:formula>1</x:formula>
    </x:cfRule>
  </x:conditionalFormatting>
  <x:conditionalFormatting sqref="S170:S170">
    <x:cfRule type="expression" dxfId="72" priority="2">
      <x:formula>IF($C170="Y2",1,0)</x:formula>
    </x:cfRule>
    <x:cfRule type="expression" dxfId="71" priority="3">
      <x:formula>IF($C170="X2",1,0)</x:formula>
    </x:cfRule>
    <x:cfRule type="expression" dxfId="70" priority="4">
      <x:formula>IF($C170="X1",1,0)</x:formula>
    </x:cfRule>
    <x:cfRule type="expression" dxfId="69" priority="5">
      <x:formula>IF(MOD(ROW(),2)=0,TRUE,FALSE)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4D0CB"/>
  </x:sheetPr>
  <x:sheetViews>
    <x:sheetView showGridLines="0" workbookViewId="0">
      <x:pane xSplit="5" ySplit="7" topLeftCell="F8" activePane="bottomRight" state="frozen"/>
    </x:sheetView>
  </x:sheetViews>
  <x:sheetFormatPr defaultColWidth="8.85546875" defaultRowHeight="16.5"/>
  <x:cols>
    <x:col min="1" max="1" width="9" style="1" hidden="1" customWidth="1"/>
    <x:col min="2" max="2" width="3.85546875" style="1" hidden="1" customWidth="1"/>
    <x:col min="3" max="3" width="12" style="2" hidden="1" customWidth="1"/>
    <x:col min="4" max="4" width="4" style="1" customWidth="1"/>
    <x:col min="5" max="5" width="57.140625" style="1" customWidth="1"/>
    <x:col min="6" max="6" width="27.5703125" style="1" customWidth="1"/>
    <x:col min="7" max="7" width="10.28515625" style="1" customWidth="1"/>
    <x:col min="8" max="10" width="23.5703125" style="1" customWidth="1"/>
    <x:col min="11" max="11" width="24.85546875" style="1" customWidth="1"/>
    <x:col min="12" max="12" width="23.5703125" style="1" customWidth="1"/>
    <x:col min="13" max="13" width="10.28515625" style="1" customWidth="1"/>
    <x:col min="14" max="16" width="21.7109375" style="1" customWidth="1"/>
    <x:col min="17" max="17" width="21" style="1" customWidth="1"/>
    <x:col min="18" max="18" width="20.85546875" style="3" customWidth="1"/>
    <x:col min="19" max="19" width="9.7109375" style="36" customWidth="1"/>
    <x:col min="20" max="21" width="22.28515625" style="1" customWidth="1"/>
    <x:col min="22" max="22" width="19.5703125" style="1" customWidth="1"/>
    <x:col min="23" max="16384" width="8.85546875" style="1" customWidth="0"/>
  </x:cols>
  <x:sheetData>
    <x:row r="1">
      <x:c r="D1" s="1" t="s">
        <x:v>0</x:v>
      </x:c>
    </x:row>
    <x:row r="2">
      <x:c r="D2" s="1" t="inlineStr">
        <x:is>
          <x:t>LABA RUGI RKA TAHUN 2026</x:t>
        </x:is>
      </x:c>
    </x:row>
    <x:row r="4" s="2" customFormat="1" ht="16.5" hidden="1" customHeight="1">
      <x:c r="R4" s="4"/>
      <x:c r="S4" s="36"/>
    </x:row>
    <x:row r="5" s="5" customFormat="1" ht="33" customHeight="1">
      <x:c r="C5" s="6"/>
      <x:c r="D5" s="67" t="s">
        <x:v>2</x:v>
      </x:c>
      <x:c r="E5" s="67"/>
      <x:c r="F5" s="69" t="s">
        <x:v>180</x:v>
      </x:c>
      <x:c r="G5" s="70"/>
      <x:c r="H5" s="70"/>
      <x:c r="I5" s="70"/>
      <x:c r="J5" s="70"/>
      <x:c r="K5" s="70"/>
      <x:c r="L5" s="73" t="s">
        <x:v>181</x:v>
      </x:c>
      <x:c r="M5" s="70"/>
      <x:c r="N5" s="70"/>
      <x:c r="O5" s="70"/>
      <x:c r="P5" s="70"/>
      <x:c r="Q5" s="70"/>
      <x:c r="R5" s="72"/>
      <x:c r="S5" s="39" t="s">
        <x:v>5</x:v>
      </x:c>
    </x:row>
    <x:row r="6" s="5" customFormat="1">
      <x:c r="C6" s="6"/>
      <x:c r="D6" s="68"/>
      <x:c r="E6" s="68"/>
      <x:c r="F6" s="29" t="s">
        <x:v>6</x:v>
      </x:c>
      <x:c r="G6" s="29" t="s">
        <x:v>7</x:v>
      </x:c>
      <x:c r="H6" s="29" t="s">
        <x:v>8</x:v>
      </x:c>
      <x:c r="I6" s="29" t="s">
        <x:v>9</x:v>
      </x:c>
      <x:c r="J6" s="29" t="s">
        <x:v>10</x:v>
      </x:c>
      <x:c r="K6" s="29" t="s">
        <x:v>11</x:v>
      </x:c>
      <x:c r="L6" s="29" t="s">
        <x:v>6</x:v>
      </x:c>
      <x:c r="M6" s="29" t="s">
        <x:v>7</x:v>
      </x:c>
      <x:c r="N6" s="29" t="s">
        <x:v>8</x:v>
      </x:c>
      <x:c r="O6" s="29" t="s">
        <x:v>9</x:v>
      </x:c>
      <x:c r="P6" s="29" t="s">
        <x:v>10</x:v>
      </x:c>
      <x:c r="Q6" s="29" t="s">
        <x:v>12</x:v>
      </x:c>
      <x:c r="R6" s="29" t="s">
        <x:v>11</x:v>
      </x:c>
      <x:c r="S6" s="29" t="s">
        <x:v>5</x:v>
      </x:c>
    </x:row>
    <x:row r="7">
      <x:c r="D7" s="68"/>
      <x:c r="E7" s="68"/>
      <x:c r="F7" s="29" t="s">
        <x:v>13</x:v>
      </x:c>
      <x:c r="G7" s="29" t="s">
        <x:v>14</x:v>
      </x:c>
      <x:c r="H7" s="29" t="s">
        <x:v>15</x:v>
      </x:c>
      <x:c r="I7" s="29" t="s">
        <x:v>16</x:v>
      </x:c>
      <x:c r="J7" s="29" t="s">
        <x:v>17</x:v>
      </x:c>
      <x:c r="K7" s="29" t="s">
        <x:v>18</x:v>
      </x:c>
      <x:c r="L7" s="29" t="s">
        <x:v>19</x:v>
      </x:c>
      <x:c r="M7" s="29" t="s">
        <x:v>20</x:v>
      </x:c>
      <x:c r="N7" s="29" t="s">
        <x:v>21</x:v>
      </x:c>
      <x:c r="O7" s="29" t="s">
        <x:v>22</x:v>
      </x:c>
      <x:c r="P7" s="29" t="s">
        <x:v>23</x:v>
      </x:c>
      <x:c r="Q7" s="29" t="s">
        <x:v>24</x:v>
      </x:c>
      <x:c r="R7" s="29" t="s">
        <x:v>25</x:v>
      </x:c>
      <x:c r="S7" s="29" t="s">
        <x:v>26</x:v>
      </x:c>
    </x:row>
    <x:row r="8" s="7" customFormat="1">
      <x:c r="C8" s="8"/>
      <x:c r="D8" s="9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1"/>
      <x:c r="S8" s="40"/>
    </x:row>
    <x:row r="9" s="12" customFormat="1">
      <x:c r="C9" s="13" t="s">
        <x:v>27</x:v>
      </x:c>
      <x:c r="D9" s="14" t="s">
        <x:v>28</x:v>
      </x:c>
      <x:c r="E9" s="15"/>
      <x:c r="F9" s="15">
        <x:v>0.00</x:v>
      </x:c>
      <x:c r="G9" s="15">
        <x:v>0.00</x:v>
      </x:c>
      <x:c r="H9" s="15">
        <x:v>0.00</x:v>
      </x:c>
      <x:c r="I9" s="15">
        <x:v>0.00</x:v>
      </x:c>
      <x:c r="J9" s="15">
        <x:v>0.00</x:v>
      </x:c>
      <x:c r="K9" s="15">
        <x:v>0.00</x:v>
      </x:c>
      <x:c r="L9" s="15"/>
      <x:c r="M9" s="15"/>
      <x:c r="N9" s="15"/>
      <x:c r="O9" s="15"/>
      <x:c r="P9" s="15"/>
      <x:c r="Q9" s="15"/>
      <x:c r="R9" s="16"/>
      <x:c r="S9" s="41"/>
    </x:row>
    <x:row r="10" s="7" customFormat="1">
      <x:c r="C10" s="8"/>
      <x:c r="D10" s="17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9"/>
      <x:c r="S10" s="42"/>
    </x:row>
    <x:row r="11" s="12" customFormat="1">
      <x:c r="C11" s="13" t="s">
        <x:v>29</x:v>
      </x:c>
      <x:c r="D11" s="14" t="s">
        <x:v>30</x:v>
      </x:c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6"/>
      <x:c r="S11" s="43"/>
    </x:row>
    <x:row r="12" s="20" customFormat="1">
      <x:c r="A12" s="20">
        <x:v>7</x:v>
      </x:c>
      <x:c r="B12" s="7">
        <x:v>8</x:v>
      </x:c>
      <x:c r="C12" s="8"/>
      <x:c r="D12" s="21"/>
      <x:c r="E12" s="22" t="s">
        <x:v>31</x:v>
      </x:c>
      <x:c r="F12" s="22">
        <x:v>0.00</x:v>
      </x:c>
      <x:c r="G12" s="22">
        <x:v>0.00</x:v>
      </x:c>
      <x:c r="H12" s="22">
        <x:v>0.00</x:v>
      </x:c>
      <x:c r="I12" s="22">
        <x:v>0.00</x:v>
      </x:c>
      <x:c r="J12" s="22">
        <x:v>0.00</x:v>
      </x:c>
      <x:c r="K12" s="22">
        <x:v>0.00</x:v>
      </x:c>
      <x:c r="L12" s="22"/>
      <x:c r="M12" s="22"/>
      <x:c r="N12" s="22"/>
      <x:c r="O12" s="22"/>
      <x:c r="P12" s="22"/>
      <x:c r="Q12" s="22"/>
      <x:c r="R12" s="19"/>
      <x:c r="S12" s="41"/>
    </x:row>
    <x:row r="13" s="20" customFormat="1">
      <x:c r="A13" s="20">
        <x:v>12</x:v>
      </x:c>
      <x:c r="B13" s="7">
        <x:v>10</x:v>
      </x:c>
      <x:c r="C13" s="8"/>
      <x:c r="D13" s="21"/>
      <x:c r="E13" s="22" t="s">
        <x:v>32</x:v>
      </x:c>
      <x:c r="F13" s="22">
        <x:v>0.00</x:v>
      </x:c>
      <x:c r="G13" s="22">
        <x:v>0.00</x:v>
      </x:c>
      <x:c r="H13" s="22">
        <x:v>0.00</x:v>
      </x:c>
      <x:c r="I13" s="22">
        <x:v>0.00</x:v>
      </x:c>
      <x:c r="J13" s="22">
        <x:v>0.00</x:v>
      </x:c>
      <x:c r="K13" s="22">
        <x:v>0.00</x:v>
      </x:c>
      <x:c r="L13" s="22"/>
      <x:c r="M13" s="22"/>
      <x:c r="N13" s="22"/>
      <x:c r="O13" s="22"/>
      <x:c r="P13" s="22"/>
      <x:c r="Q13" s="22"/>
      <x:c r="R13" s="19"/>
      <x:c r="S13" s="41"/>
    </x:row>
    <x:row r="14" s="20" customFormat="1">
      <x:c r="A14" s="20">
        <x:v>9</x:v>
      </x:c>
      <x:c r="B14" s="7">
        <x:v>9</x:v>
      </x:c>
      <x:c r="C14" s="8"/>
      <x:c r="D14" s="21"/>
      <x:c r="E14" s="22" t="s">
        <x:v>33</x:v>
      </x:c>
      <x:c r="F14" s="22">
        <x:v>0.00</x:v>
      </x:c>
      <x:c r="G14" s="22">
        <x:v>0.00</x:v>
      </x:c>
      <x:c r="H14" s="22">
        <x:v>0.00</x:v>
      </x:c>
      <x:c r="I14" s="22">
        <x:v>0.00</x:v>
      </x:c>
      <x:c r="J14" s="22">
        <x:v>0.00</x:v>
      </x:c>
      <x:c r="K14" s="22">
        <x:v>0.00</x:v>
      </x:c>
      <x:c r="L14" s="22"/>
      <x:c r="M14" s="22"/>
      <x:c r="N14" s="22"/>
      <x:c r="O14" s="22"/>
      <x:c r="P14" s="22"/>
      <x:c r="Q14" s="22"/>
      <x:c r="R14" s="19"/>
      <x:c r="S14" s="41"/>
    </x:row>
    <x:row r="15" s="23" customFormat="1">
      <x:c r="B15" s="12"/>
      <x:c r="C15" s="13" t="s">
        <x:v>34</x:v>
      </x:c>
      <x:c r="D15" s="14"/>
      <x:c r="E15" s="15" t="s">
        <x:v>35</x:v>
      </x:c>
      <x:c r="F15" s="15">
        <x:v>0.00</x:v>
      </x:c>
      <x:c r="G15" s="15">
        <x:v>0.00</x:v>
      </x:c>
      <x:c r="H15" s="15">
        <x:v>0.00</x:v>
      </x:c>
      <x:c r="I15" s="15">
        <x:v>0.00</x:v>
      </x:c>
      <x:c r="J15" s="15">
        <x:v>0.00</x:v>
      </x:c>
      <x:c r="K15" s="15">
        <x:v>0.00</x:v>
      </x:c>
      <x:c r="L15" s="15"/>
      <x:c r="M15" s="15"/>
      <x:c r="N15" s="15"/>
      <x:c r="O15" s="15"/>
      <x:c r="P15" s="15"/>
      <x:c r="Q15" s="15"/>
      <x:c r="R15" s="16"/>
      <x:c r="S15" s="41"/>
    </x:row>
    <x:row r="16" s="20" customFormat="1">
      <x:c r="B16" s="7"/>
      <x:c r="C16" s="8" t="s">
        <x:v>36</x:v>
      </x:c>
      <x:c r="D16" s="21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19"/>
      <x:c r="S16" s="42"/>
    </x:row>
    <x:row r="17" s="23" customFormat="1">
      <x:c r="B17" s="12"/>
      <x:c r="C17" s="13" t="s">
        <x:v>29</x:v>
      </x:c>
      <x:c r="D17" s="14" t="s">
        <x:v>37</x:v>
      </x:c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6"/>
      <x:c r="S17" s="43"/>
    </x:row>
    <x:row r="18" s="20" customFormat="1">
      <x:c r="A18" s="20">
        <x:v>22</x:v>
      </x:c>
      <x:c r="B18" s="7">
        <x:v>13</x:v>
      </x:c>
      <x:c r="C18" s="8"/>
      <x:c r="D18" s="21"/>
      <x:c r="E18" s="22" t="s">
        <x:v>38</x:v>
      </x:c>
      <x:c r="F18" s="22">
        <x:v>0.00</x:v>
      </x:c>
      <x:c r="G18" s="22">
        <x:v>0.00</x:v>
      </x:c>
      <x:c r="H18" s="22">
        <x:v>0.00</x:v>
      </x:c>
      <x:c r="I18" s="22">
        <x:v>0.00</x:v>
      </x:c>
      <x:c r="J18" s="22">
        <x:v>0.00</x:v>
      </x:c>
      <x:c r="K18" s="22">
        <x:v>0.00</x:v>
      </x:c>
      <x:c r="L18" s="22"/>
      <x:c r="M18" s="22"/>
      <x:c r="N18" s="22"/>
      <x:c r="O18" s="22"/>
      <x:c r="P18" s="22"/>
      <x:c r="Q18" s="22"/>
      <x:c r="R18" s="19"/>
      <x:c r="S18" s="41"/>
    </x:row>
    <x:row r="19" s="20" customFormat="1">
      <x:c r="A19" s="20">
        <x:v>24</x:v>
      </x:c>
      <x:c r="B19" s="7">
        <x:v>14</x:v>
      </x:c>
      <x:c r="C19" s="8"/>
      <x:c r="D19" s="21"/>
      <x:c r="E19" s="22" t="s">
        <x:v>39</x:v>
      </x:c>
      <x:c r="F19" s="22">
        <x:v>0.00</x:v>
      </x:c>
      <x:c r="G19" s="22">
        <x:v>0.00</x:v>
      </x:c>
      <x:c r="H19" s="22">
        <x:v>0.00</x:v>
      </x:c>
      <x:c r="I19" s="22">
        <x:v>0.00</x:v>
      </x:c>
      <x:c r="J19" s="22">
        <x:v>0.00</x:v>
      </x:c>
      <x:c r="K19" s="22">
        <x:v>0.00</x:v>
      </x:c>
      <x:c r="L19" s="22"/>
      <x:c r="M19" s="22"/>
      <x:c r="N19" s="22"/>
      <x:c r="O19" s="22"/>
      <x:c r="P19" s="22"/>
      <x:c r="Q19" s="22"/>
      <x:c r="R19" s="19"/>
      <x:c r="S19" s="41"/>
    </x:row>
    <x:row r="20" s="20" customFormat="1">
      <x:c r="A20" s="20">
        <x:v>32</x:v>
      </x:c>
      <x:c r="B20" s="7">
        <x:v>15</x:v>
      </x:c>
      <x:c r="C20" s="8"/>
      <x:c r="D20" s="21"/>
      <x:c r="E20" s="22" t="s">
        <x:v>40</x:v>
      </x:c>
      <x:c r="F20" s="22">
        <x:v>0.00</x:v>
      </x:c>
      <x:c r="G20" s="22">
        <x:v>0.00</x:v>
      </x:c>
      <x:c r="H20" s="22">
        <x:v>0.00</x:v>
      </x:c>
      <x:c r="I20" s="22">
        <x:v>0.00</x:v>
      </x:c>
      <x:c r="J20" s="22">
        <x:v>0.00</x:v>
      </x:c>
      <x:c r="K20" s="22">
        <x:v>0.00</x:v>
      </x:c>
      <x:c r="L20" s="22"/>
      <x:c r="M20" s="22"/>
      <x:c r="N20" s="22"/>
      <x:c r="O20" s="22"/>
      <x:c r="P20" s="22"/>
      <x:c r="Q20" s="22"/>
      <x:c r="R20" s="19"/>
      <x:c r="S20" s="41"/>
    </x:row>
    <x:row r="21" s="20" customFormat="1">
      <x:c r="A21" s="20">
        <x:v>37</x:v>
      </x:c>
      <x:c r="B21" s="7">
        <x:v>16</x:v>
      </x:c>
      <x:c r="C21" s="8"/>
      <x:c r="D21" s="21"/>
      <x:c r="E21" s="22" t="s">
        <x:v>41</x:v>
      </x:c>
      <x:c r="F21" s="22">
        <x:v>0.00</x:v>
      </x:c>
      <x:c r="G21" s="22">
        <x:v>0.00</x:v>
      </x:c>
      <x:c r="H21" s="22">
        <x:v>0.00</x:v>
      </x:c>
      <x:c r="I21" s="22">
        <x:v>0.00</x:v>
      </x:c>
      <x:c r="J21" s="22">
        <x:v>0.00</x:v>
      </x:c>
      <x:c r="K21" s="22">
        <x:v>0.00</x:v>
      </x:c>
      <x:c r="L21" s="22"/>
      <x:c r="M21" s="22"/>
      <x:c r="N21" s="22"/>
      <x:c r="O21" s="22"/>
      <x:c r="P21" s="22"/>
      <x:c r="Q21" s="22"/>
      <x:c r="R21" s="19"/>
      <x:c r="S21" s="41"/>
    </x:row>
    <x:row r="22" s="23" customFormat="1">
      <x:c r="B22" s="12"/>
      <x:c r="C22" s="13" t="s">
        <x:v>34</x:v>
      </x:c>
      <x:c r="D22" s="14"/>
      <x:c r="E22" s="15" t="s">
        <x:v>42</x:v>
      </x:c>
      <x:c r="F22" s="15">
        <x:v>0.00</x:v>
      </x:c>
      <x:c r="G22" s="15">
        <x:v>0.00</x:v>
      </x:c>
      <x:c r="H22" s="15">
        <x:v>0.00</x:v>
      </x:c>
      <x:c r="I22" s="15">
        <x:v>0.00</x:v>
      </x:c>
      <x:c r="J22" s="15">
        <x:v>0.00</x:v>
      </x:c>
      <x:c r="K22" s="15">
        <x:v>0.00</x:v>
      </x:c>
      <x:c r="L22" s="15"/>
      <x:c r="M22" s="15"/>
      <x:c r="N22" s="15"/>
      <x:c r="O22" s="15"/>
      <x:c r="P22" s="15"/>
      <x:c r="Q22" s="15"/>
      <x:c r="R22" s="16"/>
      <x:c r="S22" s="41"/>
    </x:row>
    <x:row r="23" s="20" customFormat="1">
      <x:c r="B23" s="7"/>
      <x:c r="C23" s="8"/>
      <x:c r="D23" s="21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19"/>
      <x:c r="S23" s="42"/>
    </x:row>
    <x:row r="24" s="23" customFormat="1">
      <x:c r="B24" s="12"/>
      <x:c r="C24" s="13" t="s">
        <x:v>27</x:v>
      </x:c>
      <x:c r="D24" s="14" t="s">
        <x:v>43</x:v>
      </x:c>
      <x:c r="E24" s="15"/>
      <x:c r="F24" s="15">
        <x:v>0.00</x:v>
      </x:c>
      <x:c r="G24" s="15">
        <x:v>0.00</x:v>
      </x:c>
      <x:c r="H24" s="15">
        <x:v>0.00</x:v>
      </x:c>
      <x:c r="I24" s="15">
        <x:v>0.00</x:v>
      </x:c>
      <x:c r="J24" s="15">
        <x:v>0.00</x:v>
      </x:c>
      <x:c r="K24" s="15">
        <x:v>0.00</x:v>
      </x:c>
      <x:c r="L24" s="15"/>
      <x:c r="M24" s="15"/>
      <x:c r="N24" s="15"/>
      <x:c r="O24" s="15"/>
      <x:c r="P24" s="15"/>
      <x:c r="Q24" s="15"/>
      <x:c r="R24" s="16"/>
      <x:c r="S24" s="41"/>
    </x:row>
    <x:row r="25" s="20" customFormat="1">
      <x:c r="B25" s="7"/>
      <x:c r="C25" s="8"/>
      <x:c r="D25" s="21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19"/>
      <x:c r="S25" s="42"/>
    </x:row>
    <x:row r="26" s="23" customFormat="1">
      <x:c r="B26" s="12">
        <x:v>19</x:v>
      </x:c>
      <x:c r="C26" s="13" t="s">
        <x:v>27</x:v>
      </x:c>
      <x:c r="D26" s="14" t="s">
        <x:v>44</x:v>
      </x:c>
      <x:c r="E26" s="15"/>
      <x:c r="F26" s="15">
        <x:v>0.00</x:v>
      </x:c>
      <x:c r="G26" s="15">
        <x:v>0.00</x:v>
      </x:c>
      <x:c r="H26" s="15">
        <x:v>0.00</x:v>
      </x:c>
      <x:c r="I26" s="15">
        <x:v>0.00</x:v>
      </x:c>
      <x:c r="J26" s="15">
        <x:v>0.00</x:v>
      </x:c>
      <x:c r="K26" s="15">
        <x:v>0.00</x:v>
      </x:c>
      <x:c r="L26" s="15"/>
      <x:c r="M26" s="15"/>
      <x:c r="N26" s="15"/>
      <x:c r="O26" s="15"/>
      <x:c r="P26" s="15"/>
      <x:c r="Q26" s="15"/>
      <x:c r="R26" s="19"/>
      <x:c r="S26" s="42"/>
    </x:row>
    <x:row r="27" s="20" customFormat="1">
      <x:c r="B27" s="7"/>
      <x:c r="C27" s="8"/>
      <x:c r="D27" s="21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19"/>
      <x:c r="S27" s="42"/>
    </x:row>
    <x:row r="28" s="23" customFormat="1">
      <x:c r="B28" s="12"/>
      <x:c r="C28" s="13" t="s">
        <x:v>27</x:v>
      </x:c>
      <x:c r="D28" s="14" t="s">
        <x:v>45</x:v>
      </x:c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6"/>
      <x:c r="S28" s="43"/>
    </x:row>
    <x:row r="29" s="23" customFormat="1">
      <x:c r="B29" s="12"/>
      <x:c r="C29" s="13" t="s">
        <x:v>29</x:v>
      </x:c>
      <x:c r="D29" s="14"/>
      <x:c r="E29" s="15" t="s">
        <x:v>46</x:v>
      </x:c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6"/>
      <x:c r="S29" s="43"/>
    </x:row>
    <x:row r="30" s="20" customFormat="1">
      <x:c r="A30" s="20">
        <x:v>94</x:v>
      </x:c>
      <x:c r="B30" s="7"/>
      <x:c r="C30" s="8"/>
      <x:c r="D30" s="21"/>
      <x:c r="E30" s="24" t="s">
        <x:v>47</x:v>
      </x:c>
      <x:c r="F30" s="31">
        <x:v>1696793732.00</x:v>
      </x:c>
      <x:c r="G30" s="31">
        <x:v>0.00</x:v>
      </x:c>
      <x:c r="H30" s="31">
        <x:v>34793575.00</x:v>
      </x:c>
      <x:c r="I30" s="31">
        <x:v>44780247.00</x:v>
      </x:c>
      <x:c r="J30" s="31">
        <x:v>197033505.00</x:v>
      </x:c>
      <x:c r="K30" s="31">
        <x:f>SUM(F30:J30)</x:f>
        <x:v>1973401059.00</x:v>
      </x:c>
      <x:c r="L30" s="31">
        <x:v>774895270.36000001</x:v>
      </x:c>
      <x:c r="M30" s="31"/>
      <x:c r="N30" s="31">
        <x:v>9298167.764216453514388719498564914286</x:v>
      </x:c>
      <x:c r="O30" s="31">
        <x:v>16510706.209929548788980348397647504417</x:v>
      </x:c>
      <x:c r="P30" s="31">
        <x:v>314561291.695854017696630932103447211130</x:v>
      </x:c>
      <x:c r="Q30" s="31">
        <x:f>N30+O30+P30</x:f>
        <x:v>340370165.67000002</x:v>
      </x:c>
      <x:c r="R30" s="19">
        <x:f>SUM(L30:P30)</x:f>
        <x:v>1115265436.03000003</x:v>
      </x:c>
      <x:c r="S30" s="41">
        <x:f>IF(K30=0,0,R30/K30)</x:f>
        <x:v>0.565148899127047661</x:v>
      </x:c>
    </x:row>
    <x:row r="31" s="20" customFormat="1">
      <x:c r="A31" s="20">
        <x:v>95</x:v>
      </x:c>
      <x:c r="B31" s="7"/>
      <x:c r="C31" s="8"/>
      <x:c r="D31" s="21"/>
      <x:c r="E31" s="24" t="s">
        <x:v>48</x:v>
      </x:c>
      <x:c r="F31" s="31">
        <x:v>43007556.00</x:v>
      </x:c>
      <x:c r="G31" s="31">
        <x:v>0.00</x:v>
      </x:c>
      <x:c r="H31" s="31">
        <x:v>881891.00</x:v>
      </x:c>
      <x:c r="I31" s="31">
        <x:v>1135017.00</x:v>
      </x:c>
      <x:c r="J31" s="31">
        <x:v>4994083.00</x:v>
      </x:c>
      <x:c r="K31" s="31">
        <x:f>SUM(F31:J31)</x:f>
        <x:v>50018547.00</x:v>
      </x:c>
      <x:c r="L31" s="31">
        <x:v>16581526.699999999</x:v>
      </x:c>
      <x:c r="M31" s="31"/>
      <x:c r="N31" s="31">
        <x:v>168906.414393817558871915531299549736</x:v>
      </x:c>
      <x:c r="O31" s="31">
        <x:v>299926.206511497958381411520690193166</x:v>
      </x:c>
      <x:c r="P31" s="31">
        <x:v>5714181.679094684282746672948004074082</x:v>
      </x:c>
      <x:c r="Q31" s="31">
        <x:f>N31+O31+P31</x:f>
        <x:v>6183014.2999999998</x:v>
      </x:c>
      <x:c r="R31" s="19">
        <x:f>SUM(L31:P31)</x:f>
        <x:v>22764540.9999999988</x:v>
      </x:c>
      <x:c r="S31" s="41">
        <x:f>IF(K31=0,0,R31/K31)</x:f>
        <x:v>0.455121997046415578</x:v>
      </x:c>
    </x:row>
    <x:row r="32" s="20" customFormat="1">
      <x:c r="A32" s="20">
        <x:v>96</x:v>
      </x:c>
      <x:c r="B32" s="7"/>
      <x:c r="C32" s="8"/>
      <x:c r="D32" s="21"/>
      <x:c r="E32" s="24" t="s">
        <x:v>49</x:v>
      </x:c>
      <x:c r="F32" s="31">
        <x:v>180463354.00</x:v>
      </x:c>
      <x:c r="G32" s="31">
        <x:v>0.00</x:v>
      </x:c>
      <x:c r="H32" s="31">
        <x:v>3700488.00</x:v>
      </x:c>
      <x:c r="I32" s="31">
        <x:v>4762626.00</x:v>
      </x:c>
      <x:c r="J32" s="31">
        <x:v>20955598.00</x:v>
      </x:c>
      <x:c r="K32" s="31">
        <x:f>SUM(F32:J32)</x:f>
        <x:v>209882066.00</x:v>
      </x:c>
      <x:c r="L32" s="31">
        <x:v>6418318.7999999998</x:v>
      </x:c>
      <x:c r="M32" s="31"/>
      <x:c r="N32" s="31">
        <x:v>76235.300831867083506633333770404140</x:v>
      </x:c>
      <x:c r="O32" s="31">
        <x:v>135370.611369757783572894184347121728</x:v>
      </x:c>
      <x:c r="P32" s="31">
        <x:v>2579075.287798375132920472481879683450</x:v>
      </x:c>
      <x:c r="Q32" s="31">
        <x:f>N32+O32+P32</x:f>
        <x:v>2790681.20</x:v>
      </x:c>
      <x:c r="R32" s="19">
        <x:f>SUM(L32:P32)</x:f>
        <x:v>9208999.9999999998</x:v>
      </x:c>
      <x:c r="S32" s="41">
        <x:f>IF(K32=0,0,R32/K32)</x:f>
        <x:v>0.043877021869986737</x:v>
      </x:c>
    </x:row>
    <x:row r="33" s="20" customFormat="1">
      <x:c r="A33" s="20">
        <x:v>97</x:v>
      </x:c>
      <x:c r="B33" s="7"/>
      <x:c r="C33" s="8"/>
      <x:c r="D33" s="21"/>
      <x:c r="E33" s="24" t="s">
        <x:v>50</x:v>
      </x:c>
      <x:c r="F33" s="31">
        <x:v>8268054.00</x:v>
      </x:c>
      <x:c r="G33" s="31">
        <x:v>0.00</x:v>
      </x:c>
      <x:c r="H33" s="31">
        <x:v>169540.00</x:v>
      </x:c>
      <x:c r="I33" s="31">
        <x:v>218203.00</x:v>
      </x:c>
      <x:c r="J33" s="31">
        <x:v>960095.00</x:v>
      </x:c>
      <x:c r="K33" s="31">
        <x:f>SUM(F33:J33)</x:f>
        <x:v>9615892.00</x:v>
      </x:c>
      <x:c r="L33" s="31"/>
      <x:c r="M33" s="31"/>
      <x:c r="N33" s="31"/>
      <x:c r="O33" s="31"/>
      <x:c r="P33" s="31"/>
      <x:c r="Q33" s="31"/>
      <x:c r="R33" s="19"/>
      <x:c r="S33" s="41"/>
    </x:row>
    <x:row r="34" s="20" customFormat="1">
      <x:c r="A34" s="20">
        <x:v>100</x:v>
      </x:c>
      <x:c r="B34" s="7"/>
      <x:c r="C34" s="8"/>
      <x:c r="D34" s="21"/>
      <x:c r="E34" s="24" t="s">
        <x:v>51</x:v>
      </x:c>
      <x:c r="F34" s="31">
        <x:v>131045331.00</x:v>
      </x:c>
      <x:c r="G34" s="31">
        <x:v>0.00</x:v>
      </x:c>
      <x:c r="H34" s="31">
        <x:v>2687148.00</x:v>
      </x:c>
      <x:c r="I34" s="31">
        <x:v>3458430.00</x:v>
      </x:c>
      <x:c r="J34" s="31">
        <x:v>15217124.00</x:v>
      </x:c>
      <x:c r="K34" s="31">
        <x:f>SUM(F34:J34)</x:f>
        <x:v>152408033.00</x:v>
      </x:c>
      <x:c r="L34" s="31"/>
      <x:c r="M34" s="31"/>
      <x:c r="N34" s="31"/>
      <x:c r="O34" s="31"/>
      <x:c r="P34" s="31"/>
      <x:c r="Q34" s="31"/>
      <x:c r="R34" s="19"/>
      <x:c r="S34" s="41"/>
    </x:row>
    <x:row r="35" s="20" customFormat="1">
      <x:c r="A35" s="20">
        <x:v>101</x:v>
      </x:c>
      <x:c r="B35" s="7"/>
      <x:c r="C35" s="8"/>
      <x:c r="D35" s="21"/>
      <x:c r="E35" s="24" t="s">
        <x:v>52</x:v>
      </x:c>
      <x:c r="F35" s="31">
        <x:v>2154273121.00</x:v>
      </x:c>
      <x:c r="G35" s="31">
        <x:v>0.00</x:v>
      </x:c>
      <x:c r="H35" s="31">
        <x:v>44174411.00</x:v>
      </x:c>
      <x:c r="I35" s="31">
        <x:v>56853630.00</x:v>
      </x:c>
      <x:c r="J35" s="31">
        <x:v>250156501.00</x:v>
      </x:c>
      <x:c r="K35" s="31">
        <x:f>SUM(F35:J35)</x:f>
        <x:v>2505457663.00</x:v>
      </x:c>
      <x:c r="L35" s="31">
        <x:v>999438749.09000003</x:v>
      </x:c>
      <x:c r="M35" s="31"/>
      <x:c r="N35" s="31">
        <x:v>11989436.844156782394751761283771003513</x:v>
      </x:c>
      <x:c r="O35" s="31">
        <x:v>21289578.159494403691322363938839283915</x:v>
      </x:c>
      <x:c r="P35" s="31">
        <x:v>405608162.386348803913925874776950825394</x:v>
      </x:c>
      <x:c r="Q35" s="31">
        <x:f>N35+O35+P35</x:f>
        <x:v>438887177.38999999</x:v>
      </x:c>
      <x:c r="R35" s="19">
        <x:f>SUM(L35:P35)</x:f>
        <x:v>1438325926.48000002</x:v>
      </x:c>
      <x:c r="S35" s="41">
        <x:f>IF(K35=0,0,R35/K35)</x:f>
        <x:v>0.574077122803092450</x:v>
      </x:c>
    </x:row>
    <x:row r="36" s="20" customFormat="1">
      <x:c r="A36" s="20">
        <x:v>102</x:v>
      </x:c>
      <x:c r="B36" s="7"/>
      <x:c r="C36" s="8"/>
      <x:c r="D36" s="21"/>
      <x:c r="E36" s="24" t="s">
        <x:v>53</x:v>
      </x:c>
      <x:c r="F36" s="31">
        <x:v>0.00</x:v>
      </x:c>
      <x:c r="G36" s="31">
        <x:v>0.00</x:v>
      </x:c>
      <x:c r="H36" s="31">
        <x:v>0.00</x:v>
      </x:c>
      <x:c r="I36" s="31">
        <x:v>0.00</x:v>
      </x:c>
      <x:c r="J36" s="31">
        <x:v>0.00</x:v>
      </x:c>
      <x:c r="K36" s="31">
        <x:f>SUM(F36:J36)</x:f>
        <x:v>0.00</x:v>
      </x:c>
      <x:c r="L36" s="31"/>
      <x:c r="M36" s="31"/>
      <x:c r="N36" s="31"/>
      <x:c r="O36" s="31"/>
      <x:c r="P36" s="31"/>
      <x:c r="Q36" s="31"/>
      <x:c r="R36" s="19"/>
      <x:c r="S36" s="41"/>
    </x:row>
    <x:row r="37" s="20" customFormat="1">
      <x:c r="A37" s="20">
        <x:v>103</x:v>
      </x:c>
      <x:c r="B37" s="7"/>
      <x:c r="C37" s="8"/>
      <x:c r="D37" s="21"/>
      <x:c r="E37" s="24" t="s">
        <x:v>54</x:v>
      </x:c>
      <x:c r="F37" s="31">
        <x:v>0.00</x:v>
      </x:c>
      <x:c r="G37" s="31">
        <x:v>0.00</x:v>
      </x:c>
      <x:c r="H37" s="31">
        <x:v>0.00</x:v>
      </x:c>
      <x:c r="I37" s="31">
        <x:v>0.00</x:v>
      </x:c>
      <x:c r="J37" s="31">
        <x:v>0.00</x:v>
      </x:c>
      <x:c r="K37" s="31">
        <x:f>SUM(F37:J37)</x:f>
        <x:v>0.00</x:v>
      </x:c>
      <x:c r="L37" s="31"/>
      <x:c r="M37" s="31"/>
      <x:c r="N37" s="31"/>
      <x:c r="O37" s="31"/>
      <x:c r="P37" s="31"/>
      <x:c r="Q37" s="31"/>
      <x:c r="R37" s="19"/>
      <x:c r="S37" s="41"/>
    </x:row>
    <x:row r="38" s="20" customFormat="1">
      <x:c r="A38" s="20">
        <x:v>104</x:v>
      </x:c>
      <x:c r="B38" s="7"/>
      <x:c r="C38" s="8"/>
      <x:c r="D38" s="21"/>
      <x:c r="E38" s="24" t="s">
        <x:v>55</x:v>
      </x:c>
      <x:c r="F38" s="31">
        <x:v>198153866.00</x:v>
      </x:c>
      <x:c r="G38" s="31">
        <x:v>0.00</x:v>
      </x:c>
      <x:c r="H38" s="31">
        <x:v>4063241.00</x:v>
      </x:c>
      <x:c r="I38" s="31">
        <x:v>5229498.00</x:v>
      </x:c>
      <x:c r="J38" s="31">
        <x:v>23009839.00</x:v>
      </x:c>
      <x:c r="K38" s="31">
        <x:f>SUM(F38:J38)</x:f>
        <x:v>230456444.00</x:v>
      </x:c>
      <x:c r="L38" s="31"/>
      <x:c r="M38" s="31"/>
      <x:c r="N38" s="31"/>
      <x:c r="O38" s="31"/>
      <x:c r="P38" s="31"/>
      <x:c r="Q38" s="31"/>
      <x:c r="R38" s="19"/>
      <x:c r="S38" s="41"/>
    </x:row>
    <x:row r="39" s="20" customFormat="1">
      <x:c r="A39" s="20">
        <x:v>105</x:v>
      </x:c>
      <x:c r="B39" s="7"/>
      <x:c r="C39" s="8"/>
      <x:c r="D39" s="21"/>
      <x:c r="E39" s="24" t="s">
        <x:v>56</x:v>
      </x:c>
      <x:c r="F39" s="31">
        <x:v>50291539.00</x:v>
      </x:c>
      <x:c r="G39" s="31">
        <x:v>0.00</x:v>
      </x:c>
      <x:c r="H39" s="31">
        <x:v>1031252.00</x:v>
      </x:c>
      <x:c r="I39" s="31">
        <x:v>1327249.00</x:v>
      </x:c>
      <x:c r="J39" s="31">
        <x:v>5839908.00</x:v>
      </x:c>
      <x:c r="K39" s="31">
        <x:f>SUM(F39:J39)</x:f>
        <x:v>58489948.00</x:v>
      </x:c>
      <x:c r="L39" s="31"/>
      <x:c r="M39" s="31"/>
      <x:c r="N39" s="31"/>
      <x:c r="O39" s="31"/>
      <x:c r="P39" s="31"/>
      <x:c r="Q39" s="31"/>
      <x:c r="R39" s="19"/>
      <x:c r="S39" s="41"/>
    </x:row>
    <x:row r="40" s="20" customFormat="1">
      <x:c r="A40" s="20">
        <x:v>106</x:v>
      </x:c>
      <x:c r="B40" s="7"/>
      <x:c r="C40" s="8"/>
      <x:c r="D40" s="21"/>
      <x:c r="E40" s="24" t="s">
        <x:v>57</x:v>
      </x:c>
      <x:c r="F40" s="31">
        <x:v>71343529.00</x:v>
      </x:c>
      <x:c r="G40" s="31">
        <x:v>0.00</x:v>
      </x:c>
      <x:c r="H40" s="31">
        <x:v>1462934.00</x:v>
      </x:c>
      <x:c r="I40" s="31">
        <x:v>1882834.00</x:v>
      </x:c>
      <x:c r="J40" s="31">
        <x:v>8284487.00</x:v>
      </x:c>
      <x:c r="K40" s="31">
        <x:f>SUM(F40:J40)</x:f>
        <x:v>82973784.00</x:v>
      </x:c>
      <x:c r="L40" s="31"/>
      <x:c r="M40" s="31"/>
      <x:c r="N40" s="31"/>
      <x:c r="O40" s="31"/>
      <x:c r="P40" s="31"/>
      <x:c r="Q40" s="31"/>
      <x:c r="R40" s="19"/>
      <x:c r="S40" s="41"/>
    </x:row>
    <x:row r="41" s="20" customFormat="1">
      <x:c r="A41" s="20">
        <x:v>107</x:v>
      </x:c>
      <x:c r="B41" s="7"/>
      <x:c r="C41" s="8"/>
      <x:c r="D41" s="21"/>
      <x:c r="E41" s="24" t="s">
        <x:v>58</x:v>
      </x:c>
      <x:c r="F41" s="31">
        <x:v>10354282.00</x:v>
      </x:c>
      <x:c r="G41" s="31">
        <x:v>0.00</x:v>
      </x:c>
      <x:c r="H41" s="31">
        <x:v>212320.00</x:v>
      </x:c>
      <x:c r="I41" s="31">
        <x:v>273261.00</x:v>
      </x:c>
      <x:c r="J41" s="31">
        <x:v>1202350.00</x:v>
      </x:c>
      <x:c r="K41" s="31">
        <x:f>SUM(F41:J41)</x:f>
        <x:v>12042213.00</x:v>
      </x:c>
      <x:c r="L41" s="31"/>
      <x:c r="M41" s="31"/>
      <x:c r="N41" s="31"/>
      <x:c r="O41" s="31"/>
      <x:c r="P41" s="31"/>
      <x:c r="Q41" s="31"/>
      <x:c r="R41" s="19"/>
      <x:c r="S41" s="41"/>
    </x:row>
    <x:row r="42" s="20" customFormat="1">
      <x:c r="A42" s="20">
        <x:v>108</x:v>
      </x:c>
      <x:c r="B42" s="7"/>
      <x:c r="C42" s="8"/>
      <x:c r="D42" s="21"/>
      <x:c r="E42" s="24" t="s">
        <x:v>59</x:v>
      </x:c>
      <x:c r="F42" s="31">
        <x:v>23991631.00</x:v>
      </x:c>
      <x:c r="G42" s="31">
        <x:v>0.00</x:v>
      </x:c>
      <x:c r="H42" s="31">
        <x:v>491960.00</x:v>
      </x:c>
      <x:c r="I42" s="31">
        <x:v>633165.00</x:v>
      </x:c>
      <x:c r="J42" s="31">
        <x:v>2785934.00</x:v>
      </x:c>
      <x:c r="K42" s="31">
        <x:f>SUM(F42:J42)</x:f>
        <x:v>27902690.00</x:v>
      </x:c>
      <x:c r="L42" s="31"/>
      <x:c r="M42" s="31"/>
      <x:c r="N42" s="31"/>
      <x:c r="O42" s="31"/>
      <x:c r="P42" s="31"/>
      <x:c r="Q42" s="31"/>
      <x:c r="R42" s="19"/>
      <x:c r="S42" s="41"/>
    </x:row>
    <x:row r="43" s="20" customFormat="1">
      <x:c r="A43" s="20">
        <x:v>109</x:v>
      </x:c>
      <x:c r="B43" s="7"/>
      <x:c r="C43" s="8"/>
      <x:c r="D43" s="21"/>
      <x:c r="E43" s="24" t="s">
        <x:v>60</x:v>
      </x:c>
      <x:c r="F43" s="31">
        <x:v>401073878.00</x:v>
      </x:c>
      <x:c r="G43" s="31">
        <x:v>0.00</x:v>
      </x:c>
      <x:c r="H43" s="31">
        <x:v>8224214.00</x:v>
      </x:c>
      <x:c r="I43" s="31">
        <x:v>10584779.00</x:v>
      </x:c>
      <x:c r="J43" s="31">
        <x:v>46573128.00</x:v>
      </x:c>
      <x:c r="K43" s="31">
        <x:f>SUM(F43:J43)</x:f>
        <x:v>466455999.00</x:v>
      </x:c>
      <x:c r="L43" s="31">
        <x:v>301878701.35000002</x:v>
      </x:c>
      <x:c r="M43" s="31"/>
      <x:c r="N43" s="31">
        <x:v>3771792.718351442258226145414908814937</x:v>
      </x:c>
      <x:c r="O43" s="31">
        <x:v>6697551.930296888396464747449819642748</x:v>
      </x:c>
      <x:c r="P43" s="31">
        <x:v>127601482.311351679345309107135133471486</x:v>
      </x:c>
      <x:c r="Q43" s="31">
        <x:f>N43+O43+P43</x:f>
        <x:v>138070826.96000001</x:v>
      </x:c>
      <x:c r="R43" s="19">
        <x:f>SUM(L43:P43)</x:f>
        <x:v>439949528.31000003</x:v>
      </x:c>
      <x:c r="S43" s="41">
        <x:f>IF(K43=0,0,R43/K43)</x:f>
        <x:v>0.943174767294610418</x:v>
      </x:c>
    </x:row>
    <x:row r="44" s="20" customFormat="1">
      <x:c r="A44" s="20">
        <x:v>110</x:v>
      </x:c>
      <x:c r="B44" s="7"/>
      <x:c r="C44" s="8"/>
      <x:c r="D44" s="21"/>
      <x:c r="E44" s="24" t="s">
        <x:v>61</x:v>
      </x:c>
      <x:c r="F44" s="31">
        <x:v>976585.00</x:v>
      </x:c>
      <x:c r="G44" s="31">
        <x:v>0.00</x:v>
      </x:c>
      <x:c r="H44" s="31">
        <x:v>20025.00</x:v>
      </x:c>
      <x:c r="I44" s="31">
        <x:v>25773.00</x:v>
      </x:c>
      <x:c r="J44" s="31">
        <x:v>113402.00</x:v>
      </x:c>
      <x:c r="K44" s="31">
        <x:f>SUM(F44:J44)</x:f>
        <x:v>1135785.00</x:v>
      </x:c>
      <x:c r="L44" s="31"/>
      <x:c r="M44" s="31"/>
      <x:c r="N44" s="31"/>
      <x:c r="O44" s="31"/>
      <x:c r="P44" s="31"/>
      <x:c r="Q44" s="31"/>
      <x:c r="R44" s="19"/>
      <x:c r="S44" s="41"/>
    </x:row>
    <x:row r="45" s="20" customFormat="1">
      <x:c r="A45" s="20">
        <x:v>111</x:v>
      </x:c>
      <x:c r="B45" s="7"/>
      <x:c r="C45" s="8"/>
      <x:c r="D45" s="21"/>
      <x:c r="E45" s="24" t="s">
        <x:v>62</x:v>
      </x:c>
      <x:c r="F45" s="31">
        <x:v>102363826.00</x:v>
      </x:c>
      <x:c r="G45" s="31">
        <x:v>0.00</x:v>
      </x:c>
      <x:c r="H45" s="31">
        <x:v>2099020.00</x:v>
      </x:c>
      <x:c r="I45" s="31">
        <x:v>2701494.00</x:v>
      </x:c>
      <x:c r="J45" s="31">
        <x:v>11886597.00</x:v>
      </x:c>
      <x:c r="K45" s="31">
        <x:f>SUM(F45:J45)</x:f>
        <x:v>119050937.00</x:v>
      </x:c>
      <x:c r="L45" s="31">
        <x:v>33038265.00</x:v>
      </x:c>
      <x:c r="M45" s="31"/>
      <x:c r="N45" s="31">
        <x:v>396428.830106905321564904540813424240</x:v>
      </x:c>
      <x:c r="O45" s="31">
        <x:v>703936.529541931184901089234516138400</x:v>
      </x:c>
      <x:c r="P45" s="31">
        <x:v>13411369.640351163493534006224655925625</x:v>
      </x:c>
      <x:c r="Q45" s="31">
        <x:f>N45+O45+P45</x:f>
        <x:v>14511735.00</x:v>
      </x:c>
      <x:c r="R45" s="19">
        <x:f>SUM(L45:P45)</x:f>
        <x:v>47550000.00</x:v>
      </x:c>
      <x:c r="S45" s="41">
        <x:f>IF(K45=0,0,R45/K45)</x:f>
        <x:v>0.399408868155317416</x:v>
      </x:c>
    </x:row>
    <x:row r="46" s="20" customFormat="1">
      <x:c r="A46" s="20">
        <x:v>112</x:v>
      </x:c>
      <x:c r="B46" s="7"/>
      <x:c r="C46" s="8"/>
      <x:c r="D46" s="21"/>
      <x:c r="E46" s="24" t="s">
        <x:v>63</x:v>
      </x:c>
      <x:c r="F46" s="31">
        <x:v>990927668.00</x:v>
      </x:c>
      <x:c r="G46" s="31">
        <x:v>0.00</x:v>
      </x:c>
      <x:c r="H46" s="31">
        <x:v>20319450.00</x:v>
      </x:c>
      <x:c r="I46" s="31">
        <x:v>26151667.00</x:v>
      </x:c>
      <x:c r="J46" s="31">
        <x:v>115067581.00</x:v>
      </x:c>
      <x:c r="K46" s="31">
        <x:f>SUM(F46:J46)</x:f>
        <x:v>1152466366.00</x:v>
      </x:c>
      <x:c r="L46" s="31">
        <x:v>490167948.10000002</x:v>
      </x:c>
      <x:c r="M46" s="31"/>
      <x:c r="N46" s="31">
        <x:v>5883310.822684563678359082344950075658</x:v>
      </x:c>
      <x:c r="O46" s="31">
        <x:v>10446963.208049777463887084958492307142</x:v>
      </x:c>
      <x:c r="P46" s="31">
        <x:v>199035110.869265668857753832696342251814</x:v>
      </x:c>
      <x:c r="Q46" s="31">
        <x:f>N46+O46+P46</x:f>
        <x:v>215365384.90000001</x:v>
      </x:c>
      <x:c r="R46" s="19">
        <x:f>SUM(L46:P46)</x:f>
        <x:v>705533333.00000003</x:v>
      </x:c>
      <x:c r="S46" s="41">
        <x:f>IF(K46=0,0,R46/K46)</x:f>
        <x:v>0.612194293746530065</x:v>
      </x:c>
    </x:row>
    <x:row r="47" s="20" customFormat="1">
      <x:c r="A47" s="20">
        <x:v>113</x:v>
      </x:c>
      <x:c r="B47" s="7"/>
      <x:c r="C47" s="8"/>
      <x:c r="D47" s="21"/>
      <x:c r="E47" s="24" t="s">
        <x:v>64</x:v>
      </x:c>
      <x:c r="F47" s="31">
        <x:v>16470226.00</x:v>
      </x:c>
      <x:c r="G47" s="31">
        <x:v>0.00</x:v>
      </x:c>
      <x:c r="H47" s="31">
        <x:v>337730.00</x:v>
      </x:c>
      <x:c r="I47" s="31">
        <x:v>434667.00</x:v>
      </x:c>
      <x:c r="J47" s="31">
        <x:v>1912540.00</x:v>
      </x:c>
      <x:c r="K47" s="31">
        <x:f>SUM(F47:J47)</x:f>
        <x:v>19155163.00</x:v>
      </x:c>
      <x:c r="L47" s="31"/>
      <x:c r="M47" s="31"/>
      <x:c r="N47" s="31"/>
      <x:c r="O47" s="31"/>
      <x:c r="P47" s="31"/>
      <x:c r="Q47" s="31"/>
      <x:c r="R47" s="19"/>
      <x:c r="S47" s="41"/>
    </x:row>
    <x:row r="48" s="20" customFormat="1">
      <x:c r="A48" s="20">
        <x:v>114</x:v>
      </x:c>
      <x:c r="B48" s="7"/>
      <x:c r="C48" s="8"/>
      <x:c r="D48" s="21"/>
      <x:c r="E48" s="24" t="s">
        <x:v>65</x:v>
      </x:c>
      <x:c r="F48" s="31">
        <x:v>158022668.00</x:v>
      </x:c>
      <x:c r="G48" s="31">
        <x:v>0.00</x:v>
      </x:c>
      <x:c r="H48" s="31">
        <x:v>3240331.00</x:v>
      </x:c>
      <x:c r="I48" s="31">
        <x:v>4170391.00</x:v>
      </x:c>
      <x:c r="J48" s="31">
        <x:v>18349762.00</x:v>
      </x:c>
      <x:c r="K48" s="31">
        <x:f>SUM(F48:J48)</x:f>
        <x:v>183783152.00</x:v>
      </x:c>
      <x:c r="L48" s="31"/>
      <x:c r="M48" s="31"/>
      <x:c r="N48" s="31"/>
      <x:c r="O48" s="31"/>
      <x:c r="P48" s="31"/>
      <x:c r="Q48" s="31"/>
      <x:c r="R48" s="19"/>
      <x:c r="S48" s="41"/>
    </x:row>
    <x:row r="49" s="20" customFormat="1">
      <x:c r="A49" s="20">
        <x:v>115</x:v>
      </x:c>
      <x:c r="B49" s="7"/>
      <x:c r="C49" s="8"/>
      <x:c r="D49" s="21"/>
      <x:c r="E49" s="24" t="s">
        <x:v>66</x:v>
      </x:c>
      <x:c r="F49" s="31">
        <x:v>284009877.00</x:v>
      </x:c>
      <x:c r="G49" s="31">
        <x:v>0.00</x:v>
      </x:c>
      <x:c r="H49" s="31">
        <x:v>5823760.00</x:v>
      </x:c>
      <x:c r="I49" s="31">
        <x:v>7495332.00</x:v>
      </x:c>
      <x:c r="J49" s="31">
        <x:v>32979531.00</x:v>
      </x:c>
      <x:c r="K49" s="31">
        <x:f>SUM(F49:J49)</x:f>
        <x:v>330308500.00</x:v>
      </x:c>
      <x:c r="L49" s="31">
        <x:v>82541295.00</x:v>
      </x:c>
      <x:c r="M49" s="31"/>
      <x:c r="N49" s="31">
        <x:v>970566.438703804723061000754473576720</x:v>
      </x:c>
      <x:c r="O49" s="31">
        <x:v>1723429.575913497469368842084823055200</x:v>
      </x:c>
      <x:c r="P49" s="31">
        <x:v>32834708.985382697807570157160667839375</x:v>
      </x:c>
      <x:c r="Q49" s="31">
        <x:f>N49+O49+P49</x:f>
        <x:v>35528705.00</x:v>
      </x:c>
      <x:c r="R49" s="19">
        <x:f>SUM(L49:P49)</x:f>
        <x:v>118070000.00</x:v>
      </x:c>
      <x:c r="S49" s="41">
        <x:f>IF(K49=0,0,R49/K49)</x:f>
        <x:v>0.357453713725199321</x:v>
      </x:c>
    </x:row>
    <x:row r="50" s="20" customFormat="1">
      <x:c r="A50" s="20">
        <x:v>124</x:v>
      </x:c>
      <x:c r="B50" s="7"/>
      <x:c r="C50" s="8"/>
      <x:c r="D50" s="21"/>
      <x:c r="E50" s="24" t="s">
        <x:v>67</x:v>
      </x:c>
      <x:c r="F50" s="31">
        <x:v>56223859.00</x:v>
      </x:c>
      <x:c r="G50" s="31">
        <x:v>0.00</x:v>
      </x:c>
      <x:c r="H50" s="31">
        <x:v>1152897.00</x:v>
      </x:c>
      <x:c r="I50" s="31">
        <x:v>1483809.00</x:v>
      </x:c>
      <x:c r="J50" s="31">
        <x:v>6528775.00</x:v>
      </x:c>
      <x:c r="K50" s="31">
        <x:f>SUM(F50:J50)</x:f>
        <x:v>65389340.00</x:v>
      </x:c>
      <x:c r="L50" s="31"/>
      <x:c r="M50" s="31"/>
      <x:c r="N50" s="31"/>
      <x:c r="O50" s="31"/>
      <x:c r="P50" s="31"/>
      <x:c r="Q50" s="31"/>
      <x:c r="R50" s="19"/>
      <x:c r="S50" s="41"/>
    </x:row>
    <x:row r="51" s="20" customFormat="1">
      <x:c r="A51" s="20">
        <x:v>143</x:v>
      </x:c>
      <x:c r="B51" s="7"/>
      <x:c r="C51" s="8"/>
      <x:c r="D51" s="21"/>
      <x:c r="E51" s="24" t="s">
        <x:v>68</x:v>
      </x:c>
      <x:c r="F51" s="31">
        <x:v>0.00</x:v>
      </x:c>
      <x:c r="G51" s="31">
        <x:v>0.00</x:v>
      </x:c>
      <x:c r="H51" s="31">
        <x:v>0.00</x:v>
      </x:c>
      <x:c r="I51" s="31">
        <x:v>0.00</x:v>
      </x:c>
      <x:c r="J51" s="31">
        <x:v>0.00</x:v>
      </x:c>
      <x:c r="K51" s="31">
        <x:f>SUM(F51:J51)</x:f>
        <x:v>0.00</x:v>
      </x:c>
      <x:c r="L51" s="31"/>
      <x:c r="M51" s="31"/>
      <x:c r="N51" s="31"/>
      <x:c r="O51" s="31"/>
      <x:c r="P51" s="31"/>
      <x:c r="Q51" s="31"/>
      <x:c r="R51" s="19"/>
      <x:c r="S51" s="41"/>
    </x:row>
    <x:row r="52" s="20" customFormat="1">
      <x:c r="A52" s="20">
        <x:v>0</x:v>
      </x:c>
      <x:c r="B52" s="7"/>
      <x:c r="C52" s="8"/>
      <x:c r="D52" s="21"/>
      <x:c r="E52" s="24" t="s">
        <x:v>69</x:v>
      </x:c>
      <x:c r="F52" s="31">
        <x:v>91501256.00</x:v>
      </x:c>
      <x:c r="G52" s="31">
        <x:v>0.00</x:v>
      </x:c>
      <x:c r="H52" s="31">
        <x:v>1876277.00</x:v>
      </x:c>
      <x:c r="I52" s="31">
        <x:v>2414818.00</x:v>
      </x:c>
      <x:c r="J52" s="31">
        <x:v>10625224.00</x:v>
      </x:c>
      <x:c r="K52" s="31">
        <x:f>SUM(F52:J52)</x:f>
        <x:v>106417575.00</x:v>
      </x:c>
      <x:c r="L52" s="31">
        <x:v>71207806.900000006</x:v>
      </x:c>
      <x:c r="M52" s="31"/>
      <x:c r="N52" s="31">
        <x:v>862118.967094595751896045895290323132</x:v>
      </x:c>
      <x:c r="O52" s="31">
        <x:v>1530859.987113417110501069447012510072</x:v>
      </x:c>
      <x:c r="P52" s="31">
        <x:v>29165881.145791988137602884657665607935</x:v>
      </x:c>
      <x:c r="Q52" s="31">
        <x:f>N52+O52+P52</x:f>
        <x:v>31558860.100000001</x:v>
      </x:c>
      <x:c r="R52" s="19">
        <x:f>SUM(L52:P52)</x:f>
        <x:v>102766667.000000007</x:v>
      </x:c>
      <x:c r="S52" s="41">
        <x:f>IF(K52=0,0,R52/K52)</x:f>
        <x:v>0.965692621730950052</x:v>
      </x:c>
    </x:row>
    <x:row r="53" s="23" customFormat="1">
      <x:c r="B53" s="12">
        <x:v>21</x:v>
      </x:c>
      <x:c r="C53" s="8" t="s">
        <x:v>34</x:v>
      </x:c>
      <x:c r="D53" s="14"/>
      <x:c r="E53" s="15" t="s">
        <x:v>70</x:v>
      </x:c>
      <x:c r="F53" s="32">
        <x:f>SUM(F30:F52)</x:f>
        <x:v>6669555838.00</x:v>
      </x:c>
      <x:c r="G53" s="32">
        <x:f>SUM(G30:G52)</x:f>
        <x:v>0.00</x:v>
      </x:c>
      <x:c r="H53" s="32">
        <x:f>SUM(H30:H52)</x:f>
        <x:v>136762464.00</x:v>
      </x:c>
      <x:c r="I53" s="32">
        <x:f>SUM(I30:I52)</x:f>
        <x:v>176016890.00</x:v>
      </x:c>
      <x:c r="J53" s="32">
        <x:f>SUM(J30:J52)</x:f>
        <x:v>774475964.00</x:v>
      </x:c>
      <x:c r="K53" s="32">
        <x:f>SUM(K30:K52)</x:f>
        <x:v>7756811156.00</x:v>
      </x:c>
      <x:c r="L53" s="32">
        <x:f>SUM(L30:L52)</x:f>
        <x:v>2776167881.3000000848</x:v>
      </x:c>
      <x:c r="M53" s="32"/>
      <x:c r="N53" s="32">
        <x:f>SUM(N30:N52)</x:f>
        <x:v>33416964.100540232284626208597842086362</x:v>
      </x:c>
      <x:c r="O53" s="32">
        <x:f>SUM(O30:O52)</x:f>
        <x:v>59338322.418220719847379851216187756788</x:v>
      </x:c>
      <x:c r="P53" s="32">
        <x:f>SUM(P30:P52)</x:f>
        <x:v>1130511264.001239078667993940184746890291</x:v>
      </x:c>
      <x:c r="Q53" s="32">
        <x:f>SUM(Q30:Q52)</x:f>
        <x:v>1223266550.5200000308</x:v>
      </x:c>
      <x:c r="R53" s="16">
        <x:f>SUM(R30:R52)</x:f>
        <x:v>3999434431.8200001156</x:v>
      </x:c>
      <x:c r="S53" s="41">
        <x:f>IF(K53=0,0,R53/K53)</x:f>
        <x:v>0.515602913540879828</x:v>
      </x:c>
      <x:c r="U53" s="47"/>
    </x:row>
    <x:row r="54" s="20" customFormat="1">
      <x:c r="B54" s="7"/>
      <x:c r="C54" s="8" t="s">
        <x:v>36</x:v>
      </x:c>
      <x:c r="D54" s="21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19"/>
      <x:c r="S54" s="42"/>
    </x:row>
    <x:row r="55" s="20" customFormat="1">
      <x:c r="B55" s="7"/>
      <x:c r="C55" s="8" t="s">
        <x:v>29</x:v>
      </x:c>
      <x:c r="D55" s="21"/>
      <x:c r="E55" s="22" t="s">
        <x:v>71</x:v>
      </x:c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19"/>
      <x:c r="S55" s="42"/>
    </x:row>
    <x:row r="56" s="20" customFormat="1">
      <x:c r="A56" s="20">
        <x:v>169</x:v>
      </x:c>
      <x:c r="B56" s="7"/>
      <x:c r="C56" s="8"/>
      <x:c r="D56" s="21"/>
      <x:c r="E56" s="24" t="s">
        <x:v>72</x:v>
      </x:c>
      <x:c r="F56" s="31">
        <x:v>436599.00</x:v>
      </x:c>
      <x:c r="G56" s="31">
        <x:v>0.00</x:v>
      </x:c>
      <x:c r="H56" s="31">
        <x:v>8953.00</x:v>
      </x:c>
      <x:c r="I56" s="31">
        <x:v>11522.00</x:v>
      </x:c>
      <x:c r="J56" s="31">
        <x:v>50698.00</x:v>
      </x:c>
      <x:c r="K56" s="31">
        <x:f>SUM(F56:J56)</x:f>
        <x:v>507772.00</x:v>
      </x:c>
      <x:c r="L56" s="31"/>
      <x:c r="M56" s="31"/>
      <x:c r="N56" s="31"/>
      <x:c r="O56" s="31"/>
      <x:c r="P56" s="31"/>
      <x:c r="Q56" s="31"/>
      <x:c r="R56" s="19"/>
      <x:c r="S56" s="41"/>
    </x:row>
    <x:row r="57" s="20" customFormat="1">
      <x:c r="A57" s="20">
        <x:v>171</x:v>
      </x:c>
      <x:c r="B57" s="7"/>
      <x:c r="C57" s="8"/>
      <x:c r="D57" s="21"/>
      <x:c r="E57" s="24" t="s">
        <x:v>73</x:v>
      </x:c>
      <x:c r="F57" s="31">
        <x:v>8349505.00</x:v>
      </x:c>
      <x:c r="G57" s="31">
        <x:v>0.00</x:v>
      </x:c>
      <x:c r="H57" s="31">
        <x:v>171211.00</x:v>
      </x:c>
      <x:c r="I57" s="31">
        <x:v>220353.00</x:v>
      </x:c>
      <x:c r="J57" s="31">
        <x:v>969554.00</x:v>
      </x:c>
      <x:c r="K57" s="31">
        <x:f>SUM(F57:J57)</x:f>
        <x:v>9710623.00</x:v>
      </x:c>
      <x:c r="L57" s="31"/>
      <x:c r="M57" s="31"/>
      <x:c r="N57" s="31"/>
      <x:c r="O57" s="31"/>
      <x:c r="P57" s="31"/>
      <x:c r="Q57" s="31"/>
      <x:c r="R57" s="19"/>
      <x:c r="S57" s="41"/>
    </x:row>
    <x:row r="58" s="20" customFormat="1">
      <x:c r="A58" s="20">
        <x:v>175</x:v>
      </x:c>
      <x:c r="B58" s="7"/>
      <x:c r="C58" s="8"/>
      <x:c r="D58" s="21"/>
      <x:c r="E58" s="24" t="s">
        <x:v>74</x:v>
      </x:c>
      <x:c r="F58" s="31">
        <x:v>2646050.00</x:v>
      </x:c>
      <x:c r="G58" s="31">
        <x:v>0.00</x:v>
      </x:c>
      <x:c r="H58" s="31">
        <x:v>54259.00</x:v>
      </x:c>
      <x:c r="I58" s="31">
        <x:v>69832.00</x:v>
      </x:c>
      <x:c r="J58" s="31">
        <x:v>307262.00</x:v>
      </x:c>
      <x:c r="K58" s="31">
        <x:f>SUM(F58:J58)</x:f>
        <x:v>3077403.00</x:v>
      </x:c>
      <x:c r="L58" s="31"/>
      <x:c r="M58" s="31"/>
      <x:c r="N58" s="31"/>
      <x:c r="O58" s="31"/>
      <x:c r="P58" s="31"/>
      <x:c r="Q58" s="31"/>
      <x:c r="R58" s="19"/>
      <x:c r="S58" s="41"/>
    </x:row>
    <x:row r="59" s="20" customFormat="1">
      <x:c r="A59" s="20">
        <x:v>176</x:v>
      </x:c>
      <x:c r="B59" s="7"/>
      <x:c r="C59" s="8"/>
      <x:c r="D59" s="21"/>
      <x:c r="E59" s="24" t="s">
        <x:v>75</x:v>
      </x:c>
      <x:c r="F59" s="31">
        <x:v>0.00</x:v>
      </x:c>
      <x:c r="G59" s="31">
        <x:v>0.00</x:v>
      </x:c>
      <x:c r="H59" s="31">
        <x:v>0.00</x:v>
      </x:c>
      <x:c r="I59" s="31">
        <x:v>0.00</x:v>
      </x:c>
      <x:c r="J59" s="31">
        <x:v>0.00</x:v>
      </x:c>
      <x:c r="K59" s="31">
        <x:f>SUM(F59:J59)</x:f>
        <x:v>0.00</x:v>
      </x:c>
      <x:c r="L59" s="31"/>
      <x:c r="M59" s="31"/>
      <x:c r="N59" s="31"/>
      <x:c r="O59" s="31"/>
      <x:c r="P59" s="31"/>
      <x:c r="Q59" s="31"/>
      <x:c r="R59" s="19"/>
      <x:c r="S59" s="41"/>
    </x:row>
    <x:row r="60" s="20" customFormat="1">
      <x:c r="A60" s="20">
        <x:v>177</x:v>
      </x:c>
      <x:c r="B60" s="7"/>
      <x:c r="C60" s="8"/>
      <x:c r="D60" s="21"/>
      <x:c r="E60" s="24" t="s">
        <x:v>76</x:v>
      </x:c>
      <x:c r="F60" s="31">
        <x:v>1891926.00</x:v>
      </x:c>
      <x:c r="G60" s="31">
        <x:v>0.00</x:v>
      </x:c>
      <x:c r="H60" s="31">
        <x:v>38795.00</x:v>
      </x:c>
      <x:c r="I60" s="31">
        <x:v>49930.00</x:v>
      </x:c>
      <x:c r="J60" s="31">
        <x:v>219692.00</x:v>
      </x:c>
      <x:c r="K60" s="31">
        <x:f>SUM(F60:J60)</x:f>
        <x:v>2200343.00</x:v>
      </x:c>
      <x:c r="L60" s="31">
        <x:v>2743895.00</x:v>
      </x:c>
      <x:c r="M60" s="31"/>
      <x:c r="N60" s="31">
        <x:v>30216.367038496672569444572762418320</x:v>
      </x:c>
      <x:c r="O60" s="31">
        <x:v>53655.039525527291759050127896111200</x:v>
      </x:c>
      <x:c r="P60" s="31">
        <x:v>1022233.593435976035671505299340364375</x:v>
      </x:c>
      <x:c r="Q60" s="31">
        <x:f>N60+O60+P60</x:f>
        <x:v>1106105.00</x:v>
      </x:c>
      <x:c r="R60" s="19">
        <x:f>SUM(L60:P60)</x:f>
        <x:v>3850000.00</x:v>
      </x:c>
      <x:c r="S60" s="41">
        <x:f>IF(K60=0,0,R60/K60)</x:f>
        <x:v>1.749727201622656104</x:v>
      </x:c>
    </x:row>
    <x:row r="61" s="20" customFormat="1">
      <x:c r="A61" s="20">
        <x:v>179</x:v>
      </x:c>
      <x:c r="B61" s="7"/>
      <x:c r="C61" s="8"/>
      <x:c r="D61" s="21"/>
      <x:c r="E61" s="24" t="s">
        <x:v>77</x:v>
      </x:c>
      <x:c r="F61" s="31">
        <x:v>160466865.00</x:v>
      </x:c>
      <x:c r="G61" s="31">
        <x:v>0.00</x:v>
      </x:c>
      <x:c r="H61" s="31">
        <x:v>3290451.00</x:v>
      </x:c>
      <x:c r="I61" s="31">
        <x:v>4234897.00</x:v>
      </x:c>
      <x:c r="J61" s="31">
        <x:v>18633584.00</x:v>
      </x:c>
      <x:c r="K61" s="31">
        <x:f>SUM(F61:J61)</x:f>
        <x:v>186625797.00</x:v>
      </x:c>
      <x:c r="L61" s="31">
        <x:v>79688525.730000004</x:v>
      </x:c>
      <x:c r="M61" s="31"/>
      <x:c r="N61" s="31">
        <x:v>937041.154580715904705110587915866732</x:v>
      </x:c>
      <x:c r="O61" s="31">
        <x:v>1663898.910217084311067817087166602574</x:v>
      </x:c>
      <x:c r="P61" s="31">
        <x:v>31700533.205202202784227072324883229219</x:v>
      </x:c>
      <x:c r="Q61" s="31">
        <x:f>N61+O61+P61</x:f>
        <x:v>34301473.270000003</x:v>
      </x:c>
      <x:c r="R61" s="19">
        <x:f>SUM(L61:P61)</x:f>
        <x:v>113989999.000000007</x:v>
      </x:c>
      <x:c r="S61" s="41">
        <x:f>IF(K61=0,0,R61/K61)</x:f>
        <x:v>0.610794439098899103</x:v>
      </x:c>
    </x:row>
    <x:row r="62" s="20" customFormat="1">
      <x:c r="A62" s="20">
        <x:v>180</x:v>
      </x:c>
      <x:c r="B62" s="7"/>
      <x:c r="C62" s="8"/>
      <x:c r="D62" s="21"/>
      <x:c r="E62" s="24" t="s">
        <x:v>78</x:v>
      </x:c>
      <x:c r="F62" s="31">
        <x:v>20213798.00</x:v>
      </x:c>
      <x:c r="G62" s="31">
        <x:v>0.00</x:v>
      </x:c>
      <x:c r="H62" s="31">
        <x:v>414494.00</x:v>
      </x:c>
      <x:c r="I62" s="31">
        <x:v>533464.00</x:v>
      </x:c>
      <x:c r="J62" s="31">
        <x:v>2347248.00</x:v>
      </x:c>
      <x:c r="K62" s="31">
        <x:f>SUM(F62:J62)</x:f>
        <x:v>23509004.00</x:v>
      </x:c>
      <x:c r="L62" s="31">
        <x:v>11091975.85</x:v>
      </x:c>
      <x:c r="M62" s="31"/>
      <x:c r="N62" s="31">
        <x:v>133829.876914894292394247340392389515</x:v>
      </x:c>
      <x:c r="O62" s="31">
        <x:v>237640.988621058196135828762622988747</x:v>
      </x:c>
      <x:c r="P62" s="31">
        <x:v>4527526.284464047911469923896979722740</x:v>
      </x:c>
      <x:c r="Q62" s="31">
        <x:f>N62+O62+P62</x:f>
        <x:v>4898997.1500000004</x:v>
      </x:c>
      <x:c r="R62" s="19">
        <x:f>SUM(L62:P62)</x:f>
        <x:v>15990973.0000000004</x:v>
      </x:c>
      <x:c r="S62" s="41">
        <x:f>IF(K62=0,0,R62/K62)</x:f>
        <x:v>0.680206315843920924</x:v>
      </x:c>
    </x:row>
    <x:row r="63" s="20" customFormat="1">
      <x:c r="A63" s="20">
        <x:v>181</x:v>
      </x:c>
      <x:c r="B63" s="7"/>
      <x:c r="C63" s="8"/>
      <x:c r="D63" s="21"/>
      <x:c r="E63" s="24" t="s">
        <x:v>79</x:v>
      </x:c>
      <x:c r="F63" s="31">
        <x:v>603905918.00</x:v>
      </x:c>
      <x:c r="G63" s="31">
        <x:v>0.00</x:v>
      </x:c>
      <x:c r="H63" s="31">
        <x:v>12383383.00</x:v>
      </x:c>
      <x:c r="I63" s="31">
        <x:v>15937739.00</x:v>
      </x:c>
      <x:c r="J63" s="31">
        <x:v>70126202.00</x:v>
      </x:c>
      <x:c r="K63" s="31">
        <x:f>SUM(F63:J63)</x:f>
        <x:v>702353242.00</x:v>
      </x:c>
      <x:c r="L63" s="31">
        <x:v>261260159.59999999</x:v>
      </x:c>
      <x:c r="M63" s="31"/>
      <x:c r="N63" s="31">
        <x:v>3271222.587337693869803982538059476401</x:v>
      </x:c>
      <x:c r="O63" s="31">
        <x:v>5808692.255981213558328424915646077790</x:v>
      </x:c>
      <x:c r="P63" s="31">
        <x:v>110666964.566681092571867592546174698928</x:v>
      </x:c>
      <x:c r="Q63" s="31">
        <x:f>N63+O63+P63</x:f>
        <x:v>119746879.41</x:v>
      </x:c>
      <x:c r="R63" s="19">
        <x:f>SUM(L63:P63)</x:f>
        <x:v>381007039.00999999</x:v>
      </x:c>
      <x:c r="S63" s="41">
        <x:f>IF(K63=0,0,R63/K63)</x:f>
        <x:v>0.542472101253574038</x:v>
      </x:c>
      <x:c r="U63" s="51"/>
    </x:row>
    <x:row r="64" s="20" customFormat="1">
      <x:c r="A64" s="20">
        <x:v>134</x:v>
      </x:c>
      <x:c r="B64" s="7"/>
      <x:c r="C64" s="8"/>
      <x:c r="D64" s="21"/>
      <x:c r="E64" s="24" t="s">
        <x:v>80</x:v>
      </x:c>
      <x:c r="F64" s="31">
        <x:v>0.00</x:v>
      </x:c>
      <x:c r="G64" s="31">
        <x:v>0.00</x:v>
      </x:c>
      <x:c r="H64" s="31">
        <x:v>0.00</x:v>
      </x:c>
      <x:c r="I64" s="31">
        <x:v>0.00</x:v>
      </x:c>
      <x:c r="J64" s="31">
        <x:v>0.00</x:v>
      </x:c>
      <x:c r="K64" s="31">
        <x:f>SUM(F64:J64)</x:f>
        <x:v>0.00</x:v>
      </x:c>
      <x:c r="L64" s="31"/>
      <x:c r="M64" s="31"/>
      <x:c r="N64" s="31"/>
      <x:c r="O64" s="31"/>
      <x:c r="P64" s="31"/>
      <x:c r="Q64" s="31"/>
      <x:c r="R64" s="19"/>
      <x:c r="S64" s="41"/>
    </x:row>
    <x:row r="65" s="20" customFormat="1">
      <x:c r="A65" s="20">
        <x:v>132</x:v>
      </x:c>
      <x:c r="B65" s="7"/>
      <x:c r="C65" s="8"/>
      <x:c r="D65" s="21"/>
      <x:c r="E65" s="24" t="s">
        <x:v>81</x:v>
      </x:c>
      <x:c r="F65" s="31">
        <x:v>0.00</x:v>
      </x:c>
      <x:c r="G65" s="31">
        <x:v>0.00</x:v>
      </x:c>
      <x:c r="H65" s="31">
        <x:v>0.00</x:v>
      </x:c>
      <x:c r="I65" s="31">
        <x:v>0.00</x:v>
      </x:c>
      <x:c r="J65" s="31">
        <x:v>0.00</x:v>
      </x:c>
      <x:c r="K65" s="31">
        <x:f>SUM(F65:J65)</x:f>
        <x:v>0.00</x:v>
      </x:c>
      <x:c r="L65" s="31"/>
      <x:c r="M65" s="31"/>
      <x:c r="N65" s="31"/>
      <x:c r="O65" s="31"/>
      <x:c r="P65" s="31"/>
      <x:c r="Q65" s="31"/>
      <x:c r="R65" s="19"/>
      <x:c r="S65" s="41"/>
    </x:row>
    <x:row r="66" s="20" customFormat="1">
      <x:c r="A66" s="20">
        <x:v>133</x:v>
      </x:c>
      <x:c r="B66" s="7"/>
      <x:c r="C66" s="8"/>
      <x:c r="D66" s="21"/>
      <x:c r="E66" s="24" t="s">
        <x:v>82</x:v>
      </x:c>
      <x:c r="F66" s="31">
        <x:v>0.00</x:v>
      </x:c>
      <x:c r="G66" s="31">
        <x:v>0.00</x:v>
      </x:c>
      <x:c r="H66" s="31">
        <x:v>0.00</x:v>
      </x:c>
      <x:c r="I66" s="31">
        <x:v>0.00</x:v>
      </x:c>
      <x:c r="J66" s="31">
        <x:v>0.00</x:v>
      </x:c>
      <x:c r="K66" s="31">
        <x:f>SUM(F66:J66)</x:f>
        <x:v>0.00</x:v>
      </x:c>
      <x:c r="L66" s="31"/>
      <x:c r="M66" s="31"/>
      <x:c r="N66" s="31"/>
      <x:c r="O66" s="31"/>
      <x:c r="P66" s="31"/>
      <x:c r="Q66" s="31"/>
      <x:c r="R66" s="19"/>
      <x:c r="S66" s="41"/>
    </x:row>
    <x:row r="67" s="20" customFormat="1">
      <x:c r="A67" s="20">
        <x:v>182</x:v>
      </x:c>
      <x:c r="B67" s="7"/>
      <x:c r="C67" s="8"/>
      <x:c r="D67" s="21"/>
      <x:c r="E67" s="24" t="s">
        <x:v>83</x:v>
      </x:c>
      <x:c r="F67" s="31">
        <x:v>0.00</x:v>
      </x:c>
      <x:c r="G67" s="31">
        <x:v>0.00</x:v>
      </x:c>
      <x:c r="H67" s="31">
        <x:v>0.00</x:v>
      </x:c>
      <x:c r="I67" s="31">
        <x:v>0.00</x:v>
      </x:c>
      <x:c r="J67" s="31">
        <x:v>0.00</x:v>
      </x:c>
      <x:c r="K67" s="31">
        <x:f>SUM(F67:J67)</x:f>
        <x:v>0.00</x:v>
      </x:c>
      <x:c r="L67" s="31"/>
      <x:c r="M67" s="31"/>
      <x:c r="N67" s="31"/>
      <x:c r="O67" s="31"/>
      <x:c r="P67" s="31"/>
      <x:c r="Q67" s="31"/>
      <x:c r="R67" s="19"/>
      <x:c r="S67" s="41"/>
    </x:row>
    <x:row r="68" s="20" customFormat="1">
      <x:c r="A68" s="20">
        <x:v>137</x:v>
      </x:c>
      <x:c r="B68" s="7"/>
      <x:c r="C68" s="8"/>
      <x:c r="D68" s="21"/>
      <x:c r="E68" s="24" t="s">
        <x:v>84</x:v>
      </x:c>
      <x:c r="F68" s="31">
        <x:v>0.00</x:v>
      </x:c>
      <x:c r="G68" s="31">
        <x:v>0.00</x:v>
      </x:c>
      <x:c r="H68" s="31">
        <x:v>0.00</x:v>
      </x:c>
      <x:c r="I68" s="31">
        <x:v>0.00</x:v>
      </x:c>
      <x:c r="J68" s="31">
        <x:v>0.00</x:v>
      </x:c>
      <x:c r="K68" s="31">
        <x:f>SUM(F68:J68)</x:f>
        <x:v>0.00</x:v>
      </x:c>
      <x:c r="L68" s="31"/>
      <x:c r="M68" s="31"/>
      <x:c r="N68" s="31"/>
      <x:c r="O68" s="31"/>
      <x:c r="P68" s="31"/>
      <x:c r="Q68" s="31"/>
      <x:c r="R68" s="19"/>
      <x:c r="S68" s="41"/>
    </x:row>
    <x:row r="69" s="20" customFormat="1">
      <x:c r="A69" s="20">
        <x:v>129</x:v>
      </x:c>
      <x:c r="B69" s="7"/>
      <x:c r="C69" s="8"/>
      <x:c r="D69" s="21"/>
      <x:c r="E69" s="24" t="s">
        <x:v>85</x:v>
      </x:c>
      <x:c r="F69" s="31">
        <x:v>0.00</x:v>
      </x:c>
      <x:c r="G69" s="31">
        <x:v>0.00</x:v>
      </x:c>
      <x:c r="H69" s="31">
        <x:v>0.00</x:v>
      </x:c>
      <x:c r="I69" s="31">
        <x:v>0.00</x:v>
      </x:c>
      <x:c r="J69" s="31">
        <x:v>0.00</x:v>
      </x:c>
      <x:c r="K69" s="31">
        <x:f>SUM(F69:J69)</x:f>
        <x:v>0.00</x:v>
      </x:c>
      <x:c r="L69" s="31"/>
      <x:c r="M69" s="31"/>
      <x:c r="N69" s="31"/>
      <x:c r="O69" s="31"/>
      <x:c r="P69" s="31"/>
      <x:c r="Q69" s="31"/>
      <x:c r="R69" s="19"/>
      <x:c r="S69" s="41"/>
    </x:row>
    <x:row r="70" s="20" customFormat="1">
      <x:c r="A70" s="20">
        <x:v>5</x:v>
      </x:c>
      <x:c r="B70" s="7"/>
      <x:c r="C70" s="8"/>
      <x:c r="D70" s="21"/>
      <x:c r="E70" s="24" t="s">
        <x:v>86</x:v>
      </x:c>
      <x:c r="F70" s="31">
        <x:v>0.00</x:v>
      </x:c>
      <x:c r="G70" s="31">
        <x:v>0.00</x:v>
      </x:c>
      <x:c r="H70" s="31">
        <x:v>0.00</x:v>
      </x:c>
      <x:c r="I70" s="31">
        <x:v>0.00</x:v>
      </x:c>
      <x:c r="J70" s="31">
        <x:v>0.00</x:v>
      </x:c>
      <x:c r="K70" s="31">
        <x:f>SUM(F70:J70)</x:f>
        <x:v>0.00</x:v>
      </x:c>
      <x:c r="L70" s="31"/>
      <x:c r="M70" s="31"/>
      <x:c r="N70" s="31"/>
      <x:c r="O70" s="31"/>
      <x:c r="P70" s="31"/>
      <x:c r="Q70" s="31"/>
      <x:c r="R70" s="19"/>
      <x:c r="S70" s="41"/>
    </x:row>
    <x:row r="71" s="20" customFormat="1">
      <x:c r="A71" s="20">
        <x:v>183</x:v>
      </x:c>
      <x:c r="B71" s="7"/>
      <x:c r="C71" s="8"/>
      <x:c r="D71" s="21"/>
      <x:c r="E71" s="24" t="s">
        <x:v>87</x:v>
      </x:c>
      <x:c r="F71" s="31">
        <x:v>176610280.00</x:v>
      </x:c>
      <x:c r="G71" s="31">
        <x:v>0.00</x:v>
      </x:c>
      <x:c r="H71" s="31">
        <x:v>3621479.00</x:v>
      </x:c>
      <x:c r="I71" s="31">
        <x:v>4660939.00</x:v>
      </x:c>
      <x:c r="J71" s="31">
        <x:v>20508175.00</x:v>
      </x:c>
      <x:c r="K71" s="31">
        <x:f>SUM(F71:J71)</x:f>
        <x:v>205400873.00</x:v>
      </x:c>
      <x:c r="L71" s="31">
        <x:v>51405378.159999996</x:v>
      </x:c>
      <x:c r="M71" s="31"/>
      <x:c r="N71" s="31">
        <x:v>589108.830174376813116287775304055752</x:v>
      </x:c>
      <x:c r="O71" s="31">
        <x:v>1046077.363555083741015082294357734272</x:v>
      </x:c>
      <x:c r="P71" s="31">
        <x:v>19929822.656270540445868629930316644966</x:v>
      </x:c>
      <x:c r="Q71" s="31">
        <x:f>N71+O71+P71</x:f>
        <x:v>21565008.850000001</x:v>
      </x:c>
      <x:c r="R71" s="19">
        <x:f>SUM(L71:P71)</x:f>
        <x:v>72970387.009999997</x:v>
      </x:c>
      <x:c r="S71" s="41">
        <x:f>IF(K71=0,0,R71/K71)</x:f>
        <x:v>0.355258407348638664</x:v>
      </x:c>
    </x:row>
    <x:row r="72" s="20" customFormat="1">
      <x:c r="A72" s="20">
        <x:v>184</x:v>
      </x:c>
      <x:c r="B72" s="7"/>
      <x:c r="C72" s="8"/>
      <x:c r="D72" s="21"/>
      <x:c r="E72" s="24" t="s">
        <x:v>88</x:v>
      </x:c>
      <x:c r="F72" s="31">
        <x:v>16646089.00</x:v>
      </x:c>
      <x:c r="G72" s="31">
        <x:v>0.00</x:v>
      </x:c>
      <x:c r="H72" s="31">
        <x:v>341336.00</x:v>
      </x:c>
      <x:c r="I72" s="31">
        <x:v>439308.00</x:v>
      </x:c>
      <x:c r="J72" s="31">
        <x:v>1932961.00</x:v>
      </x:c>
      <x:c r="K72" s="31">
        <x:f>SUM(F72:J72)</x:f>
        <x:v>19359694.00</x:v>
      </x:c>
      <x:c r="L72" s="31">
        <x:v>25548474.32</x:v>
      </x:c>
      <x:c r="M72" s="31"/>
      <x:c r="N72" s="31">
        <x:v>303272.764758941630958759899815693861</x:v>
      </x:c>
      <x:c r="O72" s="31">
        <x:v>538519.808136621216239078106926396659</x:v>
      </x:c>
      <x:c r="P72" s="31">
        <x:v>10259857.107104437152802161993246807830</x:v>
      </x:c>
      <x:c r="Q72" s="31">
        <x:f>N72+O72+P72</x:f>
        <x:v>11101649.68</x:v>
      </x:c>
      <x:c r="R72" s="19">
        <x:f>SUM(L72:P72)</x:f>
        <x:v>36650124.00</x:v>
      </x:c>
      <x:c r="S72" s="41">
        <x:f>IF(K72=0,0,R72/K72)</x:f>
        <x:v>1.893114839521740374</x:v>
      </x:c>
    </x:row>
    <x:row r="73" s="20" customFormat="1">
      <x:c r="A73" s="20">
        <x:v>185</x:v>
      </x:c>
      <x:c r="B73" s="7"/>
      <x:c r="C73" s="8"/>
      <x:c r="D73" s="21"/>
      <x:c r="E73" s="24" t="s">
        <x:v>89</x:v>
      </x:c>
      <x:c r="F73" s="31">
        <x:v>93731762.00</x:v>
      </x:c>
      <x:c r="G73" s="31">
        <x:v>0.00</x:v>
      </x:c>
      <x:c r="H73" s="31">
        <x:v>1922015.00</x:v>
      </x:c>
      <x:c r="I73" s="31">
        <x:v>2473684.00</x:v>
      </x:c>
      <x:c r="J73" s="31">
        <x:v>10884233.00</x:v>
      </x:c>
      <x:c r="K73" s="31">
        <x:f>SUM(F73:J73)</x:f>
        <x:v>109011694.00</x:v>
      </x:c>
      <x:c r="L73" s="31">
        <x:v>50725720.00</x:v>
      </x:c>
      <x:c r="M73" s="31"/>
      <x:c r="N73" s="31">
        <x:v>681696.297965759802519868650077307520</x:v>
      </x:c>
      <x:c r="O73" s="31">
        <x:v>1210484.429354424025022063389601683200</x:v>
      </x:c>
      <x:c r="P73" s="31">
        <x:v>23062099.272679816172458067960296055000</x:v>
      </x:c>
      <x:c r="Q73" s="31">
        <x:f>N73+O73+P73</x:f>
        <x:v>24954280.00</x:v>
      </x:c>
      <x:c r="R73" s="19">
        <x:f>SUM(L73:P73)</x:f>
        <x:v>75680000.00</x:v>
      </x:c>
      <x:c r="S73" s="41">
        <x:f>IF(K73=0,0,R73/K73)</x:f>
        <x:v>0.694237445755131554</x:v>
      </x:c>
    </x:row>
    <x:row r="74" s="20" customFormat="1">
      <x:c r="A74" s="20">
        <x:v>186</x:v>
      </x:c>
      <x:c r="B74" s="7"/>
      <x:c r="C74" s="8"/>
      <x:c r="D74" s="21"/>
      <x:c r="E74" s="24" t="s">
        <x:v>90</x:v>
      </x:c>
      <x:c r="F74" s="31">
        <x:v>0.00</x:v>
      </x:c>
      <x:c r="G74" s="31">
        <x:v>0.00</x:v>
      </x:c>
      <x:c r="H74" s="31">
        <x:v>0.00</x:v>
      </x:c>
      <x:c r="I74" s="31">
        <x:v>0.00</x:v>
      </x:c>
      <x:c r="J74" s="31">
        <x:v>0.00</x:v>
      </x:c>
      <x:c r="K74" s="31">
        <x:f>SUM(F74:J74)</x:f>
        <x:v>0.00</x:v>
      </x:c>
      <x:c r="L74" s="31"/>
      <x:c r="M74" s="31"/>
      <x:c r="N74" s="31"/>
      <x:c r="O74" s="31"/>
      <x:c r="P74" s="31"/>
      <x:c r="Q74" s="31"/>
      <x:c r="R74" s="19"/>
      <x:c r="S74" s="41"/>
    </x:row>
    <x:row r="75" s="20" customFormat="1">
      <x:c r="A75" s="20">
        <x:v>187</x:v>
      </x:c>
      <x:c r="B75" s="7"/>
      <x:c r="C75" s="8"/>
      <x:c r="D75" s="21"/>
      <x:c r="E75" s="24" t="s">
        <x:v>91</x:v>
      </x:c>
      <x:c r="F75" s="31">
        <x:v>0.00</x:v>
      </x:c>
      <x:c r="G75" s="31">
        <x:v>0.00</x:v>
      </x:c>
      <x:c r="H75" s="31">
        <x:v>0.00</x:v>
      </x:c>
      <x:c r="I75" s="31">
        <x:v>0.00</x:v>
      </x:c>
      <x:c r="J75" s="31">
        <x:v>0.00</x:v>
      </x:c>
      <x:c r="K75" s="31">
        <x:f>SUM(F75:J75)</x:f>
        <x:v>0.00</x:v>
      </x:c>
      <x:c r="L75" s="31"/>
      <x:c r="M75" s="31"/>
      <x:c r="N75" s="31"/>
      <x:c r="O75" s="31"/>
      <x:c r="P75" s="31"/>
      <x:c r="Q75" s="31"/>
      <x:c r="R75" s="19"/>
      <x:c r="S75" s="41"/>
    </x:row>
    <x:row r="76" s="20" customFormat="1">
      <x:c r="A76" s="20">
        <x:v>188</x:v>
      </x:c>
      <x:c r="B76" s="7"/>
      <x:c r="C76" s="8"/>
      <x:c r="D76" s="21"/>
      <x:c r="E76" s="24" t="s">
        <x:v>92</x:v>
      </x:c>
      <x:c r="F76" s="31">
        <x:v>0.00</x:v>
      </x:c>
      <x:c r="G76" s="31">
        <x:v>0.00</x:v>
      </x:c>
      <x:c r="H76" s="31">
        <x:v>0.00</x:v>
      </x:c>
      <x:c r="I76" s="31">
        <x:v>0.00</x:v>
      </x:c>
      <x:c r="J76" s="31">
        <x:v>0.00</x:v>
      </x:c>
      <x:c r="K76" s="31">
        <x:f>SUM(F76:J76)</x:f>
        <x:v>0.00</x:v>
      </x:c>
      <x:c r="L76" s="31"/>
      <x:c r="M76" s="31"/>
      <x:c r="N76" s="31"/>
      <x:c r="O76" s="31"/>
      <x:c r="P76" s="31"/>
      <x:c r="Q76" s="31"/>
      <x:c r="R76" s="19"/>
      <x:c r="S76" s="41"/>
    </x:row>
    <x:row r="77" s="20" customFormat="1">
      <x:c r="A77" s="20">
        <x:v>189</x:v>
      </x:c>
      <x:c r="B77" s="7"/>
      <x:c r="C77" s="8"/>
      <x:c r="D77" s="21"/>
      <x:c r="E77" s="24" t="s">
        <x:v>93</x:v>
      </x:c>
      <x:c r="F77" s="31">
        <x:v>40289644.00</x:v>
      </x:c>
      <x:c r="G77" s="31">
        <x:v>0.00</x:v>
      </x:c>
      <x:c r="H77" s="31">
        <x:v>826159.00</x:v>
      </x:c>
      <x:c r="I77" s="31">
        <x:v>1063288.00</x:v>
      </x:c>
      <x:c r="J77" s="31">
        <x:v>4678477.00</x:v>
      </x:c>
      <x:c r="K77" s="31">
        <x:f>SUM(F77:J77)</x:f>
        <x:v>46857568.00</x:v>
      </x:c>
      <x:c r="L77" s="31">
        <x:v>25216406.280000001</x:v>
      </x:c>
      <x:c r="M77" s="31"/>
      <x:c r="N77" s="31">
        <x:v>258834.773864464173064543767924541374</x:v>
      </x:c>
      <x:c r="O77" s="31">
        <x:v>459611.508047450903263370971511579506</x:v>
      </x:c>
      <x:c r="P77" s="31">
        <x:v>8756499.438088085623672085260554404173</x:v>
      </x:c>
      <x:c r="Q77" s="31">
        <x:f>N77+O77+P77</x:f>
        <x:v>9474945.7200000007</x:v>
      </x:c>
      <x:c r="R77" s="19">
        <x:f>SUM(L77:P77)</x:f>
        <x:v>34691352.0000000017</x:v>
      </x:c>
      <x:c r="S77" s="41">
        <x:f>IF(K77=0,0,R77/K77)</x:f>
        <x:v>0.740357502122175903</x:v>
      </x:c>
    </x:row>
    <x:row r="78" s="20" customFormat="1">
      <x:c r="A78" s="20">
        <x:v>190</x:v>
      </x:c>
      <x:c r="B78" s="7"/>
      <x:c r="C78" s="8"/>
      <x:c r="D78" s="21"/>
      <x:c r="E78" s="24" t="s">
        <x:v>94</x:v>
      </x:c>
      <x:c r="F78" s="31">
        <x:v>52359664.00</x:v>
      </x:c>
      <x:c r="G78" s="31">
        <x:v>0.00</x:v>
      </x:c>
      <x:c r="H78" s="31">
        <x:v>1073660.00</x:v>
      </x:c>
      <x:c r="I78" s="31">
        <x:v>1381829.00</x:v>
      </x:c>
      <x:c r="J78" s="31">
        <x:v>6080060.00</x:v>
      </x:c>
      <x:c r="K78" s="31">
        <x:f>SUM(F78:J78)</x:f>
        <x:v>60895213.00</x:v>
      </x:c>
      <x:c r="L78" s="31">
        <x:v>12763869.35</x:v>
      </x:c>
      <x:c r="M78" s="31"/>
      <x:c r="N78" s="31">
        <x:v>152131.949593555954692439579146195219</x:v>
      </x:c>
      <x:c r="O78" s="31">
        <x:v>270139.880090094346744381454827947387</x:v>
      </x:c>
      <x:c r="P78" s="31">
        <x:v>5146693.820316350098563178966020288427</x:v>
      </x:c>
      <x:c r="Q78" s="31">
        <x:f>N78+O78+P78</x:f>
        <x:v>5568965.6500000004</x:v>
      </x:c>
      <x:c r="R78" s="19">
        <x:f>SUM(L78:P78)</x:f>
        <x:v>18332835.0000000004</x:v>
      </x:c>
      <x:c r="S78" s="41">
        <x:f>IF(K78=0,0,R78/K78)</x:f>
        <x:v>0.301055437641707573</x:v>
      </x:c>
    </x:row>
    <x:row r="79" s="20" customFormat="1">
      <x:c r="A79" s="20">
        <x:v>192</x:v>
      </x:c>
      <x:c r="B79" s="7"/>
      <x:c r="C79" s="8"/>
      <x:c r="D79" s="21"/>
      <x:c r="E79" s="24" t="s">
        <x:v>95</x:v>
      </x:c>
      <x:c r="F79" s="31">
        <x:v>10178271.00</x:v>
      </x:c>
      <x:c r="G79" s="31">
        <x:v>0.00</x:v>
      </x:c>
      <x:c r="H79" s="31">
        <x:v>208710.00</x:v>
      </x:c>
      <x:c r="I79" s="31">
        <x:v>268616.00</x:v>
      </x:c>
      <x:c r="J79" s="31">
        <x:v>1181912.00</x:v>
      </x:c>
      <x:c r="K79" s="31">
        <x:f>SUM(F79:J79)</x:f>
        <x:v>11837509.00</x:v>
      </x:c>
      <x:c r="L79" s="31">
        <x:v>3865461.78</x:v>
      </x:c>
      <x:c r="M79" s="31"/>
      <x:c r="N79" s="31">
        <x:v>49990.179121298301195978611718822252</x:v>
      </x:c>
      <x:c r="O79" s="31">
        <x:v>88767.290694616073624018018573517916</x:v>
      </x:c>
      <x:c r="P79" s="31">
        <x:v>1691190.750184085625180003369705829882</x:v>
      </x:c>
      <x:c r="Q79" s="31">
        <x:f>N79+O79+P79</x:f>
        <x:v>1829948.22</x:v>
      </x:c>
      <x:c r="R79" s="19">
        <x:f>SUM(L79:P79)</x:f>
        <x:v>5695410.00</x:v>
      </x:c>
      <x:c r="S79" s="41">
        <x:f>IF(K79=0,0,R79/K79)</x:f>
        <x:v>0.481132474746164923</x:v>
      </x:c>
    </x:row>
    <x:row r="80" s="20" customFormat="1">
      <x:c r="A80" s="20">
        <x:v>193</x:v>
      </x:c>
      <x:c r="B80" s="7"/>
      <x:c r="C80" s="8"/>
      <x:c r="D80" s="21"/>
      <x:c r="E80" s="24" t="s">
        <x:v>96</x:v>
      </x:c>
      <x:c r="F80" s="31">
        <x:v>31902722.00</x:v>
      </x:c>
      <x:c r="G80" s="31">
        <x:v>0.00</x:v>
      </x:c>
      <x:c r="H80" s="31">
        <x:v>654181.00</x:v>
      </x:c>
      <x:c r="I80" s="31">
        <x:v>841948.00</x:v>
      </x:c>
      <x:c r="J80" s="31">
        <x:v>3704578.00</x:v>
      </x:c>
      <x:c r="K80" s="31">
        <x:f>SUM(F80:J80)</x:f>
        <x:v>37103429.00</x:v>
      </x:c>
      <x:c r="L80" s="31">
        <x:v>24973802.579999998</x:v>
      </x:c>
      <x:c r="M80" s="31"/>
      <x:c r="N80" s="31">
        <x:v>317654.519611508581409618987484121897</x:v>
      </x:c>
      <x:c r="O80" s="31">
        <x:v>564057.412444836391931860828303916284</x:v>
      </x:c>
      <x:c r="P80" s="31">
        <x:v>10746398.487943655026658520184200333707</x:v>
      </x:c>
      <x:c r="Q80" s="31">
        <x:f>N80+O80+P80</x:f>
        <x:v>11628110.42</x:v>
      </x:c>
      <x:c r="R80" s="19">
        <x:f>SUM(L80:P80)</x:f>
        <x:v>36601912.999999998</x:v>
      </x:c>
      <x:c r="S80" s="41">
        <x:f>IF(K80=0,0,R80/K80)</x:f>
        <x:v>0.986483297810560797</x:v>
      </x:c>
    </x:row>
    <x:row r="81" s="20" customFormat="1">
      <x:c r="A81" s="20">
        <x:v>204</x:v>
      </x:c>
      <x:c r="B81" s="7"/>
      <x:c r="C81" s="8"/>
      <x:c r="D81" s="21"/>
      <x:c r="E81" s="24" t="s">
        <x:v>97</x:v>
      </x:c>
      <x:c r="F81" s="31">
        <x:v>174255215.00</x:v>
      </x:c>
      <x:c r="G81" s="31">
        <x:v>0.00</x:v>
      </x:c>
      <x:c r="H81" s="31">
        <x:v>3573187.00</x:v>
      </x:c>
      <x:c r="I81" s="31">
        <x:v>4598786.00</x:v>
      </x:c>
      <x:c r="J81" s="31">
        <x:v>20234702.00</x:v>
      </x:c>
      <x:c r="K81" s="31">
        <x:f>SUM(F81:J81)</x:f>
        <x:v>202661890.00</x:v>
      </x:c>
      <x:c r="L81" s="31">
        <x:v>80217420.680000007</x:v>
      </x:c>
      <x:c r="M81" s="31"/>
      <x:c r="N81" s="31">
        <x:v>928292.791240079656625259175910300919</x:v>
      </x:c>
      <x:c r="O81" s="31">
        <x:v>1648364.488748497821751119873745260697</x:v>
      </x:c>
      <x:c r="P81" s="31">
        <x:v>31404572.050011420521623620950310457153</x:v>
      </x:c>
      <x:c r="Q81" s="31">
        <x:f>N81+O81+P81</x:f>
        <x:v>33981229.329999998</x:v>
      </x:c>
      <x:c r="R81" s="19">
        <x:f>SUM(L81:P81)</x:f>
        <x:v>114198650.010000005</x:v>
      </x:c>
      <x:c r="S81" s="41">
        <x:f>IF(K81=0,0,R81/K81)</x:f>
        <x:v>0.563493461992286783</x:v>
      </x:c>
    </x:row>
    <x:row r="82" s="20" customFormat="1">
      <x:c r="A82" s="20">
        <x:v>194</x:v>
      </x:c>
      <x:c r="B82" s="7"/>
      <x:c r="C82" s="8"/>
      <x:c r="D82" s="21"/>
      <x:c r="E82" s="24" t="s">
        <x:v>98</x:v>
      </x:c>
      <x:c r="F82" s="24">
        <x:v>0.00</x:v>
      </x:c>
      <x:c r="G82" s="24">
        <x:v>0.00</x:v>
      </x:c>
      <x:c r="H82" s="24">
        <x:v>0.00</x:v>
      </x:c>
      <x:c r="I82" s="24">
        <x:v>0.00</x:v>
      </x:c>
      <x:c r="J82" s="24">
        <x:v>0.00</x:v>
      </x:c>
      <x:c r="K82" s="31">
        <x:f>SUM(F82:J82)</x:f>
        <x:v>0.00</x:v>
      </x:c>
      <x:c r="L82" s="31"/>
      <x:c r="M82" s="31"/>
      <x:c r="N82" s="31"/>
      <x:c r="O82" s="31"/>
      <x:c r="P82" s="31"/>
      <x:c r="Q82" s="31"/>
      <x:c r="R82" s="19"/>
      <x:c r="S82" s="41"/>
    </x:row>
    <x:row r="83" s="20" customFormat="1">
      <x:c r="A83" s="20">
        <x:v>195</x:v>
      </x:c>
      <x:c r="B83" s="7"/>
      <x:c r="C83" s="8"/>
      <x:c r="D83" s="21"/>
      <x:c r="E83" s="24" t="s">
        <x:v>99</x:v>
      </x:c>
      <x:c r="F83" s="24">
        <x:v>0.00</x:v>
      </x:c>
      <x:c r="G83" s="24">
        <x:v>0.00</x:v>
      </x:c>
      <x:c r="H83" s="24">
        <x:v>0.00</x:v>
      </x:c>
      <x:c r="I83" s="24">
        <x:v>0.00</x:v>
      </x:c>
      <x:c r="J83" s="24">
        <x:v>0.00</x:v>
      </x:c>
      <x:c r="K83" s="31">
        <x:f>SUM(F83:J83)</x:f>
        <x:v>0.00</x:v>
      </x:c>
      <x:c r="L83" s="31"/>
      <x:c r="M83" s="31"/>
      <x:c r="N83" s="31"/>
      <x:c r="O83" s="31"/>
      <x:c r="P83" s="31"/>
      <x:c r="Q83" s="31"/>
      <x:c r="R83" s="19"/>
      <x:c r="S83" s="41"/>
    </x:row>
    <x:row r="84" s="20" customFormat="1">
      <x:c r="A84" s="20">
        <x:v>196</x:v>
      </x:c>
      <x:c r="B84" s="7"/>
      <x:c r="C84" s="8"/>
      <x:c r="D84" s="21"/>
      <x:c r="E84" s="24" t="s">
        <x:v>100</x:v>
      </x:c>
      <x:c r="F84" s="24">
        <x:v>0.00</x:v>
      </x:c>
      <x:c r="G84" s="24">
        <x:v>0.00</x:v>
      </x:c>
      <x:c r="H84" s="24">
        <x:v>0.00</x:v>
      </x:c>
      <x:c r="I84" s="24">
        <x:v>0.00</x:v>
      </x:c>
      <x:c r="J84" s="24">
        <x:v>0.00</x:v>
      </x:c>
      <x:c r="K84" s="31">
        <x:f>SUM(F84:J84)</x:f>
        <x:v>0.00</x:v>
      </x:c>
      <x:c r="L84" s="31"/>
      <x:c r="M84" s="31"/>
      <x:c r="N84" s="31"/>
      <x:c r="O84" s="31"/>
      <x:c r="P84" s="31"/>
      <x:c r="Q84" s="31"/>
      <x:c r="R84" s="19"/>
      <x:c r="S84" s="41"/>
    </x:row>
    <x:row r="85" s="20" customFormat="1">
      <x:c r="A85" s="20">
        <x:v>197</x:v>
      </x:c>
      <x:c r="B85" s="7"/>
      <x:c r="C85" s="8"/>
      <x:c r="D85" s="21"/>
      <x:c r="E85" s="24" t="s">
        <x:v>101</x:v>
      </x:c>
      <x:c r="F85" s="24">
        <x:v>0.00</x:v>
      </x:c>
      <x:c r="G85" s="24">
        <x:v>0.00</x:v>
      </x:c>
      <x:c r="H85" s="24">
        <x:v>0.00</x:v>
      </x:c>
      <x:c r="I85" s="24">
        <x:v>0.00</x:v>
      </x:c>
      <x:c r="J85" s="24">
        <x:v>0.00</x:v>
      </x:c>
      <x:c r="K85" s="31">
        <x:f>SUM(F85:J85)</x:f>
        <x:v>0.00</x:v>
      </x:c>
      <x:c r="L85" s="31"/>
      <x:c r="M85" s="31"/>
      <x:c r="N85" s="31"/>
      <x:c r="O85" s="31"/>
      <x:c r="P85" s="31"/>
      <x:c r="Q85" s="31"/>
      <x:c r="R85" s="19"/>
      <x:c r="S85" s="41"/>
    </x:row>
    <x:row r="86" s="20" customFormat="1">
      <x:c r="A86" s="20">
        <x:v>198</x:v>
      </x:c>
      <x:c r="B86" s="7"/>
      <x:c r="C86" s="8"/>
      <x:c r="D86" s="21"/>
      <x:c r="E86" s="24" t="s">
        <x:v>102</x:v>
      </x:c>
      <x:c r="F86" s="24">
        <x:v>0.00</x:v>
      </x:c>
      <x:c r="G86" s="24">
        <x:v>0.00</x:v>
      </x:c>
      <x:c r="H86" s="24">
        <x:v>0.00</x:v>
      </x:c>
      <x:c r="I86" s="24">
        <x:v>0.00</x:v>
      </x:c>
      <x:c r="J86" s="24">
        <x:v>0.00</x:v>
      </x:c>
      <x:c r="K86" s="31">
        <x:f>SUM(F86:J86)</x:f>
        <x:v>0.00</x:v>
      </x:c>
      <x:c r="L86" s="31"/>
      <x:c r="M86" s="31"/>
      <x:c r="N86" s="31"/>
      <x:c r="O86" s="31"/>
      <x:c r="P86" s="31"/>
      <x:c r="Q86" s="31"/>
      <x:c r="R86" s="19"/>
      <x:c r="S86" s="41"/>
    </x:row>
    <x:row r="87" s="28" customFormat="1">
      <x:c r="A87" s="28">
        <x:v>202</x:v>
      </x:c>
      <x:c r="B87" s="7"/>
      <x:c r="C87" s="8"/>
      <x:c r="D87" s="59"/>
      <x:c r="E87" s="60" t="s">
        <x:v>103</x:v>
      </x:c>
      <x:c r="F87" s="60">
        <x:v>271324526.00</x:v>
      </x:c>
      <x:c r="G87" s="60">
        <x:v>0.00</x:v>
      </x:c>
      <x:c r="H87" s="60">
        <x:v>5563640.00</x:v>
      </x:c>
      <x:c r="I87" s="60">
        <x:v>7160552.00</x:v>
      </x:c>
      <x:c r="J87" s="60">
        <x:v>31506494.00</x:v>
      </x:c>
      <x:c r="K87" s="61">
        <x:f>SUM(F87:J87)</x:f>
        <x:v>315555212.00</x:v>
      </x:c>
      <x:c r="L87" s="61">
        <x:v>60707735.350000001</x:v>
      </x:c>
      <x:c r="M87" s="61"/>
      <x:c r="N87" s="61">
        <x:v>728286.158978609990754117310353036415</x:v>
      </x:c>
      <x:c r="O87" s="61">
        <x:v>1293213.793574434146891565954664594607</x:v>
      </x:c>
      <x:c r="P87" s="61">
        <x:v>24638255.697446954862354316734955709221</x:v>
      </x:c>
      <x:c r="Q87" s="61">
        <x:f>N87+O87+P87</x:f>
        <x:v>26659755.649999999</x:v>
      </x:c>
      <x:c r="R87" s="62">
        <x:f>SUM(L87:P87)</x:f>
        <x:v>87367491.000000000</x:v>
      </x:c>
      <x:c r="S87" s="63">
        <x:f>IF(K87=0,0,R87/K87)</x:f>
        <x:v>0.276869110943412336</x:v>
      </x:c>
    </x:row>
    <x:row r="88" s="20" customFormat="1">
      <x:c r="A88" s="20">
        <x:v>203</x:v>
      </x:c>
      <x:c r="B88" s="7"/>
      <x:c r="C88" s="8"/>
      <x:c r="D88" s="21"/>
      <x:c r="E88" s="24" t="s">
        <x:v>104</x:v>
      </x:c>
      <x:c r="F88" s="31">
        <x:v>4794504.00</x:v>
      </x:c>
      <x:c r="G88" s="31">
        <x:v>0.00</x:v>
      </x:c>
      <x:c r="H88" s="31">
        <x:v>98314.00</x:v>
      </x:c>
      <x:c r="I88" s="31">
        <x:v>126532.00</x:v>
      </x:c>
      <x:c r="J88" s="24">
        <x:v>556743.00</x:v>
      </x:c>
      <x:c r="K88" s="31">
        <x:f>SUM(F88:J88)</x:f>
        <x:v>5576093.00</x:v>
      </x:c>
      <x:c r="L88" s="31">
        <x:v>2074705.61</x:v>
      </x:c>
      <x:c r="M88" s="31"/>
      <x:c r="N88" s="31">
        <x:v>21774.655138192399243643775960047505</x:v>
      </x:c>
      <x:c r="O88" s="31">
        <x:v>38665.137361018946514750422675740161</x:v>
      </x:c>
      <x:c r="P88" s="31">
        <x:v>736646.597500788654241605801363415246</x:v>
      </x:c>
      <x:c r="Q88" s="31">
        <x:f>N88+O88+P88</x:f>
        <x:v>797086.39</x:v>
      </x:c>
      <x:c r="R88" s="19">
        <x:f>SUM(L88:P88)</x:f>
        <x:v>2871792.00</x:v>
      </x:c>
      <x:c r="S88" s="41">
        <x:f>IF(K88=0,0,R88/K88)</x:f>
        <x:v>0.515018669882299308</x:v>
      </x:c>
    </x:row>
    <x:row r="89" s="20" customFormat="1">
      <x:c r="A89" s="20">
        <x:v>205</x:v>
      </x:c>
      <x:c r="B89" s="7"/>
      <x:c r="C89" s="8"/>
      <x:c r="D89" s="21"/>
      <x:c r="E89" s="24" t="s">
        <x:v>105</x:v>
      </x:c>
      <x:c r="F89" s="31">
        <x:v>146124786.00</x:v>
      </x:c>
      <x:c r="G89" s="31">
        <x:v>0.00</x:v>
      </x:c>
      <x:c r="H89" s="31">
        <x:v>2996359.00</x:v>
      </x:c>
      <x:c r="I89" s="31">
        <x:v>3856393.00</x:v>
      </x:c>
      <x:c r="J89" s="24">
        <x:v>16968167.00</x:v>
      </x:c>
      <x:c r="K89" s="31">
        <x:f>SUM(F89:J89)</x:f>
        <x:v>169945705.00</x:v>
      </x:c>
      <x:c r="L89" s="31">
        <x:v>33006130.48</x:v>
      </x:c>
      <x:c r="M89" s="31"/>
      <x:c r="N89" s="31">
        <x:v>416473.697703122110175559255369631575</x:v>
      </x:c>
      <x:c r="O89" s="31">
        <x:v>739530.092520191916487847392016336428</x:v>
      </x:c>
      <x:c r="P89" s="31">
        <x:v>14089496.729776685973336593352598786495</x:v>
      </x:c>
      <x:c r="Q89" s="31">
        <x:f>N89+O89+P89</x:f>
        <x:v>15245500.52</x:v>
      </x:c>
      <x:c r="R89" s="19">
        <x:f>SUM(L89:P89)</x:f>
        <x:v>48251631.00</x:v>
      </x:c>
      <x:c r="S89" s="41">
        <x:f>IF(K89=0,0,R89/K89)</x:f>
        <x:v>0.283923803781919643</x:v>
      </x:c>
    </x:row>
    <x:row r="90" s="20" customFormat="1">
      <x:c r="A90" s="20">
        <x:v>206</x:v>
      </x:c>
      <x:c r="B90" s="7"/>
      <x:c r="C90" s="8"/>
      <x:c r="D90" s="21"/>
      <x:c r="E90" s="24" t="s">
        <x:v>106</x:v>
      </x:c>
      <x:c r="F90" s="31">
        <x:v>0.00</x:v>
      </x:c>
      <x:c r="G90" s="31">
        <x:v>0.00</x:v>
      </x:c>
      <x:c r="H90" s="31">
        <x:v>0.00</x:v>
      </x:c>
      <x:c r="I90" s="31">
        <x:v>0.00</x:v>
      </x:c>
      <x:c r="J90" s="24">
        <x:v>0.00</x:v>
      </x:c>
      <x:c r="K90" s="31">
        <x:f>SUM(F90:J90)</x:f>
        <x:v>0.00</x:v>
      </x:c>
      <x:c r="L90" s="31"/>
      <x:c r="M90" s="31"/>
      <x:c r="N90" s="31"/>
      <x:c r="O90" s="31"/>
      <x:c r="P90" s="31"/>
      <x:c r="Q90" s="31"/>
      <x:c r="R90" s="19"/>
      <x:c r="S90" s="41"/>
    </x:row>
    <x:row r="91" s="20" customFormat="1">
      <x:c r="A91" s="20">
        <x:v>244</x:v>
      </x:c>
      <x:c r="B91" s="7"/>
      <x:c r="C91" s="8"/>
      <x:c r="D91" s="21"/>
      <x:c r="E91" s="24" t="s">
        <x:v>107</x:v>
      </x:c>
      <x:c r="F91" s="31">
        <x:v>8813445.00</x:v>
      </x:c>
      <x:c r="G91" s="31">
        <x:v>0.00</x:v>
      </x:c>
      <x:c r="H91" s="31">
        <x:v>180724.00</x:v>
      </x:c>
      <x:c r="I91" s="31">
        <x:v>232597.00</x:v>
      </x:c>
      <x:c r="J91" s="24">
        <x:v>1023427.00</x:v>
      </x:c>
      <x:c r="K91" s="31">
        <x:f>SUM(F91:J91)</x:f>
        <x:v>10250193.00</x:v>
      </x:c>
      <x:c r="L91" s="31">
        <x:v>5608058.5599999996</x:v>
      </x:c>
      <x:c r="M91" s="31"/>
      <x:c r="N91" s="31">
        <x:v>71269.475753479556191891769660256424</x:v>
      </x:c>
      <x:c r="O91" s="31">
        <x:v>126552.822635649480139305049430523033</x:v>
      </x:c>
      <x:c r="P91" s="31">
        <x:v>2411079.141610870963668803180906611640</x:v>
      </x:c>
      <x:c r="Q91" s="31">
        <x:f>N91+O91+P91</x:f>
        <x:v>2608901.44</x:v>
      </x:c>
      <x:c r="R91" s="19">
        <x:f>SUM(L91:P91)</x:f>
        <x:v>8216959.9999999996</x:v>
      </x:c>
      <x:c r="S91" s="41">
        <x:f>IF(K91=0,0,R91/K91)</x:f>
        <x:v>0.801639539860371370</x:v>
      </x:c>
    </x:row>
    <x:row r="92" s="20" customFormat="1">
      <x:c r="A92" s="20">
        <x:v>213</x:v>
      </x:c>
      <x:c r="B92" s="7"/>
      <x:c r="C92" s="8"/>
      <x:c r="D92" s="21"/>
      <x:c r="E92" s="24" t="s">
        <x:v>108</x:v>
      </x:c>
      <x:c r="F92" s="31">
        <x:v>0.00</x:v>
      </x:c>
      <x:c r="G92" s="31">
        <x:v>0.00</x:v>
      </x:c>
      <x:c r="H92" s="31">
        <x:v>0.00</x:v>
      </x:c>
      <x:c r="I92" s="31">
        <x:v>0.00</x:v>
      </x:c>
      <x:c r="J92" s="24">
        <x:v>0.00</x:v>
      </x:c>
      <x:c r="K92" s="31">
        <x:f>SUM(F92:J92)</x:f>
        <x:v>0.00</x:v>
      </x:c>
      <x:c r="L92" s="31"/>
      <x:c r="M92" s="31"/>
      <x:c r="N92" s="31"/>
      <x:c r="O92" s="31"/>
      <x:c r="P92" s="31"/>
      <x:c r="Q92" s="31"/>
      <x:c r="R92" s="19"/>
      <x:c r="S92" s="41"/>
    </x:row>
    <x:row r="93" s="20" customFormat="1">
      <x:c r="A93" s="20">
        <x:v>207</x:v>
      </x:c>
      <x:c r="B93" s="7"/>
      <x:c r="C93" s="8"/>
      <x:c r="D93" s="21"/>
      <x:c r="E93" s="24" t="s">
        <x:v>109</x:v>
      </x:c>
      <x:c r="F93" s="31">
        <x:v>0.00</x:v>
      </x:c>
      <x:c r="G93" s="31">
        <x:v>0.00</x:v>
      </x:c>
      <x:c r="H93" s="31">
        <x:v>0.00</x:v>
      </x:c>
      <x:c r="I93" s="31">
        <x:v>0.00</x:v>
      </x:c>
      <x:c r="J93" s="24">
        <x:v>0.00</x:v>
      </x:c>
      <x:c r="K93" s="31">
        <x:f>SUM(F93:J93)</x:f>
        <x:v>0.00</x:v>
      </x:c>
      <x:c r="L93" s="31"/>
      <x:c r="M93" s="31"/>
      <x:c r="N93" s="31"/>
      <x:c r="O93" s="31"/>
      <x:c r="P93" s="31"/>
      <x:c r="Q93" s="31"/>
      <x:c r="R93" s="19"/>
      <x:c r="S93" s="41"/>
    </x:row>
    <x:row r="94" s="20" customFormat="1">
      <x:c r="A94" s="20">
        <x:v>208</x:v>
      </x:c>
      <x:c r="B94" s="7"/>
      <x:c r="C94" s="8"/>
      <x:c r="D94" s="21"/>
      <x:c r="E94" s="24" t="s">
        <x:v>110</x:v>
      </x:c>
      <x:c r="F94" s="31">
        <x:v>0.00</x:v>
      </x:c>
      <x:c r="G94" s="31">
        <x:v>0.00</x:v>
      </x:c>
      <x:c r="H94" s="31">
        <x:v>0.00</x:v>
      </x:c>
      <x:c r="I94" s="31">
        <x:v>0.00</x:v>
      </x:c>
      <x:c r="J94" s="24">
        <x:v>0.00</x:v>
      </x:c>
      <x:c r="K94" s="31">
        <x:f>SUM(F94:J94)</x:f>
        <x:v>0.00</x:v>
      </x:c>
      <x:c r="L94" s="31"/>
      <x:c r="M94" s="31"/>
      <x:c r="N94" s="31"/>
      <x:c r="O94" s="31"/>
      <x:c r="P94" s="31"/>
      <x:c r="Q94" s="31"/>
      <x:c r="R94" s="19"/>
      <x:c r="S94" s="41"/>
    </x:row>
    <x:row r="95" s="20" customFormat="1">
      <x:c r="A95" s="20">
        <x:v>209</x:v>
      </x:c>
      <x:c r="B95" s="7"/>
      <x:c r="C95" s="8"/>
      <x:c r="D95" s="21"/>
      <x:c r="E95" s="24" t="s">
        <x:v>111</x:v>
      </x:c>
      <x:c r="F95" s="31">
        <x:v>0.00</x:v>
      </x:c>
      <x:c r="G95" s="31">
        <x:v>0.00</x:v>
      </x:c>
      <x:c r="H95" s="31">
        <x:v>0.00</x:v>
      </x:c>
      <x:c r="I95" s="31">
        <x:v>0.00</x:v>
      </x:c>
      <x:c r="J95" s="24">
        <x:v>0.00</x:v>
      </x:c>
      <x:c r="K95" s="31">
        <x:f>SUM(F95:J95)</x:f>
        <x:v>0.00</x:v>
      </x:c>
      <x:c r="L95" s="31"/>
      <x:c r="M95" s="31"/>
      <x:c r="N95" s="31"/>
      <x:c r="O95" s="31"/>
      <x:c r="P95" s="31"/>
      <x:c r="Q95" s="31"/>
      <x:c r="R95" s="19"/>
      <x:c r="S95" s="41"/>
    </x:row>
    <x:row r="96" s="20" customFormat="1">
      <x:c r="A96" s="20">
        <x:v>211</x:v>
      </x:c>
      <x:c r="B96" s="7"/>
      <x:c r="C96" s="8"/>
      <x:c r="D96" s="21"/>
      <x:c r="E96" s="24" t="s">
        <x:v>112</x:v>
      </x:c>
      <x:c r="F96" s="31">
        <x:v>0.00</x:v>
      </x:c>
      <x:c r="G96" s="31">
        <x:v>0.00</x:v>
      </x:c>
      <x:c r="H96" s="31">
        <x:v>0.00</x:v>
      </x:c>
      <x:c r="I96" s="31">
        <x:v>0.00</x:v>
      </x:c>
      <x:c r="J96" s="24">
        <x:v>0.00</x:v>
      </x:c>
      <x:c r="K96" s="31">
        <x:f>SUM(F96:J96)</x:f>
        <x:v>0.00</x:v>
      </x:c>
      <x:c r="L96" s="31"/>
      <x:c r="M96" s="31"/>
      <x:c r="N96" s="31"/>
      <x:c r="O96" s="31"/>
      <x:c r="P96" s="31"/>
      <x:c r="Q96" s="31"/>
      <x:c r="R96" s="19"/>
      <x:c r="S96" s="41"/>
    </x:row>
    <x:row r="97" s="20" customFormat="1">
      <x:c r="A97" s="20">
        <x:v>212</x:v>
      </x:c>
      <x:c r="B97" s="7"/>
      <x:c r="C97" s="8"/>
      <x:c r="D97" s="21"/>
      <x:c r="E97" s="24" t="s">
        <x:v>113</x:v>
      </x:c>
      <x:c r="F97" s="31">
        <x:v>0.00</x:v>
      </x:c>
      <x:c r="G97" s="31">
        <x:v>0.00</x:v>
      </x:c>
      <x:c r="H97" s="31">
        <x:v>0.00</x:v>
      </x:c>
      <x:c r="I97" s="31">
        <x:v>0.00</x:v>
      </x:c>
      <x:c r="J97" s="24">
        <x:v>0.00</x:v>
      </x:c>
      <x:c r="K97" s="31">
        <x:f>SUM(F97:J97)</x:f>
        <x:v>0.00</x:v>
      </x:c>
      <x:c r="L97" s="31"/>
      <x:c r="M97" s="31"/>
      <x:c r="N97" s="31"/>
      <x:c r="O97" s="31"/>
      <x:c r="P97" s="31"/>
      <x:c r="Q97" s="31"/>
      <x:c r="R97" s="19"/>
      <x:c r="S97" s="41"/>
    </x:row>
    <x:row r="98" s="20" customFormat="1">
      <x:c r="A98" s="20">
        <x:v>214</x:v>
      </x:c>
      <x:c r="B98" s="7"/>
      <x:c r="C98" s="8"/>
      <x:c r="D98" s="21"/>
      <x:c r="E98" s="24" t="s">
        <x:v>114</x:v>
      </x:c>
      <x:c r="F98" s="31">
        <x:v>0.00</x:v>
      </x:c>
      <x:c r="G98" s="31">
        <x:v>0.00</x:v>
      </x:c>
      <x:c r="H98" s="31">
        <x:v>0.00</x:v>
      </x:c>
      <x:c r="I98" s="31">
        <x:v>0.00</x:v>
      </x:c>
      <x:c r="J98" s="24">
        <x:v>0.00</x:v>
      </x:c>
      <x:c r="K98" s="31">
        <x:f>SUM(F98:J98)</x:f>
        <x:v>0.00</x:v>
      </x:c>
      <x:c r="L98" s="31"/>
      <x:c r="M98" s="31"/>
      <x:c r="N98" s="31"/>
      <x:c r="O98" s="31"/>
      <x:c r="P98" s="31"/>
      <x:c r="Q98" s="31"/>
      <x:c r="R98" s="19"/>
      <x:c r="S98" s="41"/>
    </x:row>
    <x:row r="99" s="20" customFormat="1">
      <x:c r="A99" s="20">
        <x:v>215</x:v>
      </x:c>
      <x:c r="B99" s="7"/>
      <x:c r="C99" s="8"/>
      <x:c r="D99" s="21"/>
      <x:c r="E99" s="24" t="s">
        <x:v>115</x:v>
      </x:c>
      <x:c r="F99" s="31">
        <x:v>0.00</x:v>
      </x:c>
      <x:c r="G99" s="31">
        <x:v>0.00</x:v>
      </x:c>
      <x:c r="H99" s="31">
        <x:v>0.00</x:v>
      </x:c>
      <x:c r="I99" s="31">
        <x:v>0.00</x:v>
      </x:c>
      <x:c r="J99" s="24">
        <x:v>0.00</x:v>
      </x:c>
      <x:c r="K99" s="31">
        <x:f>SUM(F99:J99)</x:f>
        <x:v>0.00</x:v>
      </x:c>
      <x:c r="L99" s="31">
        <x:v>42191270.710000001</x:v>
      </x:c>
      <x:c r="M99" s="31"/>
      <x:c r="N99" s="31">
        <x:v>483665.999219893093588687080318712757</x:v>
      </x:c>
      <x:c r="O99" s="31">
        <x:v>858843.098915048742651199456305987528</x:v>
      </x:c>
      <x:c r="P99" s="31">
        <x:v>16362643.191865057163760113463357594561</x:v>
      </x:c>
      <x:c r="Q99" s="31">
        <x:f>N99+O99+P99</x:f>
        <x:v>17705152.289999999</x:v>
      </x:c>
      <x:c r="R99" s="19">
        <x:f>SUM(L99:P99)</x:f>
        <x:v>59896423.000000000</x:v>
      </x:c>
      <x:c r="S99" s="41">
        <x:v>0.00</x:v>
      </x:c>
    </x:row>
    <x:row r="100" s="20" customFormat="1">
      <x:c r="A100" s="20">
        <x:v>216</x:v>
      </x:c>
      <x:c r="B100" s="7"/>
      <x:c r="C100" s="8"/>
      <x:c r="D100" s="21"/>
      <x:c r="E100" s="24" t="s">
        <x:v>116</x:v>
      </x:c>
      <x:c r="F100" s="31">
        <x:v>102534233.00</x:v>
      </x:c>
      <x:c r="G100" s="31">
        <x:v>0.00</x:v>
      </x:c>
      <x:c r="H100" s="31">
        <x:v>2102514.00</x:v>
      </x:c>
      <x:c r="I100" s="31">
        <x:v>2705991.00</x:v>
      </x:c>
      <x:c r="J100" s="24">
        <x:v>11906385.00</x:v>
      </x:c>
      <x:c r="K100" s="31">
        <x:f>SUM(F100:J100)</x:f>
        <x:v>119249123.00</x:v>
      </x:c>
      <x:c r="L100" s="31">
        <x:v>26558595.800000001</x:v>
      </x:c>
      <x:c r="M100" s="31"/>
      <x:c r="N100" s="31">
        <x:v>319820.652085685785625391029178305199</x:v>
      </x:c>
      <x:c r="O100" s="31">
        <x:v>567903.802163740484944457650778341719</x:v>
      </x:c>
      <x:c r="P100" s="31">
        <x:v>10819679.745750572729430151320031645677</x:v>
      </x:c>
      <x:c r="Q100" s="31">
        <x:f>N100+O100+P100</x:f>
        <x:v>11707404.199999999</x:v>
      </x:c>
      <x:c r="R100" s="19">
        <x:f>SUM(L100:P100)</x:f>
        <x:v>38266000.000000000</x:v>
      </x:c>
      <x:c r="S100" s="41">
        <x:f>IF(K100=0,0,R100/K100)</x:f>
        <x:v>0.320891248818660075</x:v>
      </x:c>
    </x:row>
    <x:row r="101" s="20" customFormat="1">
      <x:c r="A101" s="20">
        <x:v>210</x:v>
      </x:c>
      <x:c r="B101" s="7"/>
      <x:c r="C101" s="8"/>
      <x:c r="D101" s="21"/>
      <x:c r="E101" s="24" t="s">
        <x:v>117</x:v>
      </x:c>
      <x:c r="F101" s="31">
        <x:v>0.00</x:v>
      </x:c>
      <x:c r="G101" s="31">
        <x:v>0.00</x:v>
      </x:c>
      <x:c r="H101" s="31">
        <x:v>0.00</x:v>
      </x:c>
      <x:c r="I101" s="31">
        <x:v>0.00</x:v>
      </x:c>
      <x:c r="J101" s="24">
        <x:v>0.00</x:v>
      </x:c>
      <x:c r="K101" s="31">
        <x:f>SUM(F101:J101)</x:f>
        <x:v>0.00</x:v>
      </x:c>
      <x:c r="L101" s="31"/>
      <x:c r="M101" s="31"/>
      <x:c r="N101" s="31"/>
      <x:c r="O101" s="31"/>
      <x:c r="P101" s="31"/>
      <x:c r="Q101" s="31"/>
      <x:c r="R101" s="19"/>
      <x:c r="S101" s="41"/>
    </x:row>
    <x:row r="102" s="20" customFormat="1">
      <x:c r="A102" s="20">
        <x:v>217</x:v>
      </x:c>
      <x:c r="B102" s="7"/>
      <x:c r="C102" s="8"/>
      <x:c r="D102" s="21"/>
      <x:c r="E102" s="24" t="s">
        <x:v>118</x:v>
      </x:c>
      <x:c r="F102" s="31">
        <x:v>134279282.00</x:v>
      </x:c>
      <x:c r="G102" s="31">
        <x:v>0.00</x:v>
      </x:c>
      <x:c r="H102" s="31">
        <x:v>2753462.00</x:v>
      </x:c>
      <x:c r="I102" s="31">
        <x:v>3543777.00</x:v>
      </x:c>
      <x:c r="J102" s="24">
        <x:v>15592654.00</x:v>
      </x:c>
      <x:c r="K102" s="31">
        <x:f>SUM(F102:J102)</x:f>
        <x:v>156169175.00</x:v>
      </x:c>
      <x:c r="L102" s="31">
        <x:v>137332803.81999999</x:v>
      </x:c>
      <x:c r="M102" s="31"/>
      <x:c r="N102" s="31">
        <x:v>1621586.615793672820830987450473339053</x:v>
      </x:c>
      <x:c r="O102" s="31">
        <x:v>2879442.583339903019855001162682185379</x:v>
      </x:c>
      <x:c r="P102" s="31">
        <x:v>54859020.980866424159314011386785115517</x:v>
      </x:c>
      <x:c r="Q102" s="31">
        <x:f>N102+O102+P102</x:f>
        <x:v>59360050.18</x:v>
      </x:c>
      <x:c r="R102" s="19">
        <x:f>SUM(L102:P102)</x:f>
        <x:v>196692853.99999999</x:v>
      </x:c>
      <x:c r="S102" s="41">
        <x:f>IF(K102=0,0,R102/K102)</x:f>
        <x:v>1.259485772400347187</x:v>
      </x:c>
    </x:row>
    <x:row r="103" s="20" customFormat="1">
      <x:c r="A103" s="20">
        <x:v>218</x:v>
      </x:c>
      <x:c r="B103" s="7"/>
      <x:c r="C103" s="8"/>
      <x:c r="D103" s="21"/>
      <x:c r="E103" s="24" t="s">
        <x:v>119</x:v>
      </x:c>
      <x:c r="F103" s="31">
        <x:v>0.00</x:v>
      </x:c>
      <x:c r="G103" s="31">
        <x:v>0.00</x:v>
      </x:c>
      <x:c r="H103" s="31">
        <x:v>0.00</x:v>
      </x:c>
      <x:c r="I103" s="31">
        <x:v>0.00</x:v>
      </x:c>
      <x:c r="J103" s="24">
        <x:v>0.00</x:v>
      </x:c>
      <x:c r="K103" s="31">
        <x:f>SUM(F103:J103)</x:f>
        <x:v>0.00</x:v>
      </x:c>
      <x:c r="L103" s="31"/>
      <x:c r="M103" s="31"/>
      <x:c r="N103" s="31"/>
      <x:c r="O103" s="31"/>
      <x:c r="P103" s="31"/>
      <x:c r="Q103" s="31"/>
      <x:c r="R103" s="19"/>
      <x:c r="S103" s="41"/>
    </x:row>
    <x:row r="104" s="20" customFormat="1">
      <x:c r="A104" s="20">
        <x:v>219</x:v>
      </x:c>
      <x:c r="B104" s="7"/>
      <x:c r="C104" s="8"/>
      <x:c r="D104" s="21"/>
      <x:c r="E104" s="24" t="s">
        <x:v>120</x:v>
      </x:c>
      <x:c r="F104" s="31">
        <x:v>0.00</x:v>
      </x:c>
      <x:c r="G104" s="31">
        <x:v>0.00</x:v>
      </x:c>
      <x:c r="H104" s="31">
        <x:v>0.00</x:v>
      </x:c>
      <x:c r="I104" s="31">
        <x:v>0.00</x:v>
      </x:c>
      <x:c r="J104" s="24">
        <x:v>0.00</x:v>
      </x:c>
      <x:c r="K104" s="31">
        <x:f>SUM(F104:J104)</x:f>
        <x:v>0.00</x:v>
      </x:c>
      <x:c r="L104" s="31"/>
      <x:c r="M104" s="31"/>
      <x:c r="N104" s="31"/>
      <x:c r="O104" s="31"/>
      <x:c r="P104" s="31"/>
      <x:c r="Q104" s="31"/>
      <x:c r="R104" s="19"/>
      <x:c r="S104" s="41"/>
    </x:row>
    <x:row r="105" s="20" customFormat="1">
      <x:c r="A105" s="20">
        <x:v>220</x:v>
      </x:c>
      <x:c r="B105" s="7"/>
      <x:c r="C105" s="8"/>
      <x:c r="D105" s="21"/>
      <x:c r="E105" s="24" t="s">
        <x:v>121</x:v>
      </x:c>
      <x:c r="F105" s="31">
        <x:v>0.00</x:v>
      </x:c>
      <x:c r="G105" s="31">
        <x:v>0.00</x:v>
      </x:c>
      <x:c r="H105" s="31">
        <x:v>0.00</x:v>
      </x:c>
      <x:c r="I105" s="31">
        <x:v>0.00</x:v>
      </x:c>
      <x:c r="J105" s="24">
        <x:v>0.00</x:v>
      </x:c>
      <x:c r="K105" s="31">
        <x:f>SUM(F105:J105)</x:f>
        <x:v>0.00</x:v>
      </x:c>
      <x:c r="L105" s="31"/>
      <x:c r="M105" s="31"/>
      <x:c r="N105" s="31"/>
      <x:c r="O105" s="31"/>
      <x:c r="P105" s="31"/>
      <x:c r="Q105" s="31"/>
      <x:c r="R105" s="19"/>
      <x:c r="S105" s="41"/>
    </x:row>
    <x:row r="106" s="20" customFormat="1">
      <x:c r="A106" s="20">
        <x:v>0</x:v>
      </x:c>
      <x:c r="B106" s="7"/>
      <x:c r="C106" s="8"/>
      <x:c r="D106" s="21"/>
      <x:c r="E106" s="24" t="s">
        <x:v>122</x:v>
      </x:c>
      <x:c r="F106" s="31">
        <x:v>0.00</x:v>
      </x:c>
      <x:c r="G106" s="31">
        <x:v>0.00</x:v>
      </x:c>
      <x:c r="H106" s="31">
        <x:v>0.00</x:v>
      </x:c>
      <x:c r="I106" s="31">
        <x:v>0.00</x:v>
      </x:c>
      <x:c r="J106" s="24">
        <x:v>0.00</x:v>
      </x:c>
      <x:c r="K106" s="31">
        <x:f>SUM(F106:J106)</x:f>
        <x:v>0.00</x:v>
      </x:c>
      <x:c r="L106" s="31"/>
      <x:c r="M106" s="31"/>
      <x:c r="N106" s="31"/>
      <x:c r="O106" s="31"/>
      <x:c r="P106" s="31"/>
      <x:c r="Q106" s="31"/>
      <x:c r="R106" s="19"/>
      <x:c r="S106" s="41"/>
    </x:row>
    <x:row r="107" s="20" customFormat="1">
      <x:c r="A107" s="20">
        <x:v>225</x:v>
      </x:c>
      <x:c r="B107" s="7"/>
      <x:c r="C107" s="8"/>
      <x:c r="D107" s="21"/>
      <x:c r="E107" s="24" t="s">
        <x:v>123</x:v>
      </x:c>
      <x:c r="F107" s="31">
        <x:v>0.00</x:v>
      </x:c>
      <x:c r="G107" s="31">
        <x:v>0.00</x:v>
      </x:c>
      <x:c r="H107" s="31">
        <x:v>0.00</x:v>
      </x:c>
      <x:c r="I107" s="31">
        <x:v>0.00</x:v>
      </x:c>
      <x:c r="J107" s="24">
        <x:v>0.00</x:v>
      </x:c>
      <x:c r="K107" s="31">
        <x:f>SUM(F107:J107)</x:f>
        <x:v>0.00</x:v>
      </x:c>
      <x:c r="L107" s="31"/>
      <x:c r="M107" s="31"/>
      <x:c r="N107" s="31"/>
      <x:c r="O107" s="31"/>
      <x:c r="P107" s="31"/>
      <x:c r="Q107" s="31"/>
      <x:c r="R107" s="19"/>
      <x:c r="S107" s="41"/>
    </x:row>
    <x:row r="108" s="20" customFormat="1">
      <x:c r="A108" s="20">
        <x:v>229</x:v>
      </x:c>
      <x:c r="B108" s="7"/>
      <x:c r="C108" s="8"/>
      <x:c r="D108" s="21"/>
      <x:c r="E108" s="24" t="s">
        <x:v>124</x:v>
      </x:c>
      <x:c r="F108" s="31">
        <x:v>0.00</x:v>
      </x:c>
      <x:c r="G108" s="31">
        <x:v>0.00</x:v>
      </x:c>
      <x:c r="H108" s="31">
        <x:v>0.00</x:v>
      </x:c>
      <x:c r="I108" s="31">
        <x:v>0.00</x:v>
      </x:c>
      <x:c r="J108" s="24">
        <x:v>0.00</x:v>
      </x:c>
      <x:c r="K108" s="31">
        <x:f>SUM(F108:J108)</x:f>
        <x:v>0.00</x:v>
      </x:c>
      <x:c r="L108" s="31"/>
      <x:c r="M108" s="31"/>
      <x:c r="N108" s="31"/>
      <x:c r="O108" s="31"/>
      <x:c r="P108" s="31"/>
      <x:c r="Q108" s="31"/>
      <x:c r="R108" s="19"/>
      <x:c r="S108" s="41"/>
    </x:row>
    <x:row r="109" s="20" customFormat="1">
      <x:c r="A109" s="20">
        <x:v>230</x:v>
      </x:c>
      <x:c r="B109" s="7"/>
      <x:c r="C109" s="8"/>
      <x:c r="D109" s="21"/>
      <x:c r="E109" s="24" t="s">
        <x:v>125</x:v>
      </x:c>
      <x:c r="F109" s="31">
        <x:v>0.00</x:v>
      </x:c>
      <x:c r="G109" s="31">
        <x:v>0.00</x:v>
      </x:c>
      <x:c r="H109" s="31">
        <x:v>0.00</x:v>
      </x:c>
      <x:c r="I109" s="31">
        <x:v>0.00</x:v>
      </x:c>
      <x:c r="J109" s="24">
        <x:v>0.00</x:v>
      </x:c>
      <x:c r="K109" s="31">
        <x:f>SUM(F109:J109)</x:f>
        <x:v>0.00</x:v>
      </x:c>
      <x:c r="L109" s="31"/>
      <x:c r="M109" s="31"/>
      <x:c r="N109" s="31"/>
      <x:c r="O109" s="31"/>
      <x:c r="P109" s="31"/>
      <x:c r="Q109" s="31"/>
      <x:c r="R109" s="19"/>
      <x:c r="S109" s="41"/>
    </x:row>
    <x:row r="110" s="20" customFormat="1">
      <x:c r="A110" s="20">
        <x:v>231</x:v>
      </x:c>
      <x:c r="B110" s="7"/>
      <x:c r="C110" s="8"/>
      <x:c r="D110" s="21"/>
      <x:c r="E110" s="24" t="s">
        <x:v>126</x:v>
      </x:c>
      <x:c r="F110" s="31">
        <x:v>37321437.00</x:v>
      </x:c>
      <x:c r="G110" s="31">
        <x:v>0.00</x:v>
      </x:c>
      <x:c r="H110" s="31">
        <x:v>765294.00</x:v>
      </x:c>
      <x:c r="I110" s="31">
        <x:v>984954.00</x:v>
      </x:c>
      <x:c r="J110" s="24">
        <x:v>4333805.00</x:v>
      </x:c>
      <x:c r="K110" s="31">
        <x:f>SUM(F110:J110)</x:f>
        <x:v>43405490.00</x:v>
      </x:c>
      <x:c r="L110" s="31">
        <x:v>19857560.710000001</x:v>
      </x:c>
      <x:c r="M110" s="31"/>
      <x:c r="N110" s="31">
        <x:v>185429.728530274984292918129663268659</x:v>
      </x:c>
      <x:c r="O110" s="31">
        <x:v>329266.566057528783242211582730921137</x:v>
      </x:c>
      <x:c r="P110" s="31">
        <x:v>6273172.995412196232464870287599022333</x:v>
      </x:c>
      <x:c r="Q110" s="31">
        <x:f>N110+O110+P110</x:f>
        <x:v>6787869.29</x:v>
      </x:c>
      <x:c r="R110" s="19">
        <x:f>SUM(L110:P110)</x:f>
        <x:v>26645430.000000001</x:v>
      </x:c>
      <x:c r="S110" s="41">
        <x:f>IF(K110=0,0,R110/K110)</x:f>
        <x:v>0.613872346562612264</x:v>
      </x:c>
      <x:c r="T110" s="57"/>
    </x:row>
    <x:row r="111" s="20" customFormat="1">
      <x:c r="A111" s="20">
        <x:v>255</x:v>
      </x:c>
      <x:c r="B111" s="7"/>
      <x:c r="C111" s="8"/>
      <x:c r="D111" s="21"/>
      <x:c r="E111" s="24" t="s">
        <x:v>127</x:v>
      </x:c>
      <x:c r="F111" s="31">
        <x:v>681264372.00</x:v>
      </x:c>
      <x:c r="G111" s="31">
        <x:v>0.00</x:v>
      </x:c>
      <x:c r="H111" s="31">
        <x:v>13969655.00</x:v>
      </x:c>
      <x:c r="I111" s="31">
        <x:v>17979314.00</x:v>
      </x:c>
      <x:c r="J111" s="24">
        <x:v>79109148.00</x:v>
      </x:c>
      <x:c r="K111" s="31">
        <x:f>SUM(F111:J111)</x:f>
        <x:v>792322489.00</x:v>
      </x:c>
      <x:c r="L111" s="31">
        <x:v>483241040.82999998</x:v>
      </x:c>
      <x:c r="M111" s="31"/>
      <x:c r="N111" s="31">
        <x:v>7454135.364565144407931547164171289963</x:v>
      </x:c>
      <x:c r="O111" s="31">
        <x:v>13236267.851288056644300660707403700848</x:v>
      </x:c>
      <x:c r="P111" s="31">
        <x:v>252176827.544146788947767792128152141958</x:v>
      </x:c>
      <x:c r="Q111" s="31">
        <x:f>N111+O111+P111</x:f>
        <x:v>272867230.75999999</x:v>
      </x:c>
      <x:c r="R111" s="19">
        <x:f>SUM(L111:P111)</x:f>
        <x:v>756108271.58999997</x:v>
      </x:c>
      <x:c r="S111" s="41">
        <x:f>IF(K111=0,0,R111/K111)</x:f>
        <x:v>0.954293588894963159</x:v>
      </x:c>
    </x:row>
    <x:row r="112" s="20" customFormat="1">
      <x:c r="A112" s="20">
        <x:v>200</x:v>
      </x:c>
      <x:c r="B112" s="7"/>
      <x:c r="C112" s="8"/>
      <x:c r="D112" s="21"/>
      <x:c r="E112" s="24" t="s">
        <x:v>128</x:v>
      </x:c>
      <x:c r="F112" s="31">
        <x:v>12788006.00</x:v>
      </x:c>
      <x:c r="G112" s="31">
        <x:v>0.00</x:v>
      </x:c>
      <x:c r="H112" s="31">
        <x:v>262224.00</x:v>
      </x:c>
      <x:c r="I112" s="31">
        <x:v>337489.00</x:v>
      </x:c>
      <x:c r="J112" s="24">
        <x:v>1484957.00</x:v>
      </x:c>
      <x:c r="K112" s="31">
        <x:f>SUM(F112:J112)</x:f>
        <x:v>14872676.00</x:v>
      </x:c>
      <x:c r="L112" s="31">
        <x:v>12260217.460000001</x:v>
      </x:c>
      <x:c r="M112" s="31"/>
      <x:c r="N112" s="31">
        <x:v>147373.837128129426303124369926712403</x:v>
      </x:c>
      <x:c r="O112" s="31">
        <x:v>261690.925519410589410411739482734233</x:v>
      </x:c>
      <x:c r="P112" s="31">
        <x:v>4985724.687352460184286463890585158573</x:v>
      </x:c>
      <x:c r="Q112" s="31">
        <x:f>N112+O112+P112</x:f>
        <x:v>5394789.4500000002</x:v>
      </x:c>
      <x:c r="R112" s="19">
        <x:f>SUM(L112:P112)</x:f>
        <x:v>17655006.9100000012</x:v>
      </x:c>
      <x:c r="S112" s="41">
        <x:f>IF(K112=0,0,R112/K112)</x:f>
        <x:v>1.187076684115219157</x:v>
      </x:c>
    </x:row>
    <x:row r="113" s="20" customFormat="1">
      <x:c r="A113" s="20">
        <x:v>201</x:v>
      </x:c>
      <x:c r="B113" s="7"/>
      <x:c r="C113" s="8"/>
      <x:c r="D113" s="21"/>
      <x:c r="E113" s="24" t="s">
        <x:v>129</x:v>
      </x:c>
      <x:c r="F113" s="31">
        <x:v>0.00</x:v>
      </x:c>
      <x:c r="G113" s="31">
        <x:v>0.00</x:v>
      </x:c>
      <x:c r="H113" s="31">
        <x:v>0.00</x:v>
      </x:c>
      <x:c r="I113" s="31">
        <x:v>0.00</x:v>
      </x:c>
      <x:c r="J113" s="24">
        <x:v>0.00</x:v>
      </x:c>
      <x:c r="K113" s="31">
        <x:f>SUM(F113:J113)</x:f>
        <x:v>0.00</x:v>
      </x:c>
      <x:c r="L113" s="31"/>
      <x:c r="M113" s="31"/>
      <x:c r="N113" s="31"/>
      <x:c r="O113" s="31"/>
      <x:c r="P113" s="31"/>
      <x:c r="Q113" s="31"/>
      <x:c r="R113" s="19"/>
      <x:c r="S113" s="41"/>
    </x:row>
    <x:row r="114" s="20" customFormat="1">
      <x:c r="A114" s="20">
        <x:v>223</x:v>
      </x:c>
      <x:c r="B114" s="7"/>
      <x:c r="C114" s="8"/>
      <x:c r="D114" s="21"/>
      <x:c r="E114" s="24" t="s">
        <x:v>130</x:v>
      </x:c>
      <x:c r="F114" s="31">
        <x:v>16129085.00</x:v>
      </x:c>
      <x:c r="G114" s="31">
        <x:v>0.00</x:v>
      </x:c>
      <x:c r="H114" s="31">
        <x:v>330735.00</x:v>
      </x:c>
      <x:c r="I114" s="31">
        <x:v>425664.00</x:v>
      </x:c>
      <x:c r="J114" s="24">
        <x:v>1872927.00</x:v>
      </x:c>
      <x:c r="K114" s="31">
        <x:f>SUM(F114:J114)</x:f>
        <x:v>18758411.00</x:v>
      </x:c>
      <x:c r="L114" s="31"/>
      <x:c r="M114" s="31"/>
      <x:c r="N114" s="31"/>
      <x:c r="O114" s="31"/>
      <x:c r="P114" s="31"/>
      <x:c r="Q114" s="31"/>
      <x:c r="R114" s="19"/>
      <x:c r="S114" s="41"/>
    </x:row>
    <x:row r="115" s="20" customFormat="1">
      <x:c r="A115" s="20">
        <x:v>222</x:v>
      </x:c>
      <x:c r="B115" s="7"/>
      <x:c r="C115" s="8"/>
      <x:c r="D115" s="21"/>
      <x:c r="E115" s="24" t="s">
        <x:v>131</x:v>
      </x:c>
      <x:c r="F115" s="31">
        <x:v>1356265.00</x:v>
      </x:c>
      <x:c r="G115" s="31">
        <x:v>0.00</x:v>
      </x:c>
      <x:c r="H115" s="31">
        <x:v>27811.00</x:v>
      </x:c>
      <x:c r="I115" s="31">
        <x:v>35793.00</x:v>
      </x:c>
      <x:c r="J115" s="24">
        <x:v>157491.00</x:v>
      </x:c>
      <x:c r="K115" s="31">
        <x:f>SUM(F115:J115)</x:f>
        <x:v>1577360.00</x:v>
      </x:c>
      <x:c r="L115" s="31"/>
      <x:c r="M115" s="31"/>
      <x:c r="N115" s="31"/>
      <x:c r="O115" s="31"/>
      <x:c r="P115" s="31"/>
      <x:c r="Q115" s="31"/>
      <x:c r="R115" s="19"/>
      <x:c r="S115" s="41"/>
    </x:row>
    <x:row r="116" s="20" customFormat="1">
      <x:c r="A116" s="20">
        <x:v>221</x:v>
      </x:c>
      <x:c r="B116" s="7"/>
      <x:c r="C116" s="8"/>
      <x:c r="D116" s="21"/>
      <x:c r="E116" s="24" t="s">
        <x:v>132</x:v>
      </x:c>
      <x:c r="F116" s="31">
        <x:v>699271.00</x:v>
      </x:c>
      <x:c r="G116" s="31">
        <x:v>0.00</x:v>
      </x:c>
      <x:c r="H116" s="31">
        <x:v>14339.00</x:v>
      </x:c>
      <x:c r="I116" s="31">
        <x:v>18455.00</x:v>
      </x:c>
      <x:c r="J116" s="24">
        <x:v>81200.00</x:v>
      </x:c>
      <x:c r="K116" s="31">
        <x:f>SUM(F116:J116)</x:f>
        <x:v>813265.00</x:v>
      </x:c>
      <x:c r="L116" s="31"/>
      <x:c r="M116" s="31"/>
      <x:c r="N116" s="31"/>
      <x:c r="O116" s="31"/>
      <x:c r="P116" s="31"/>
      <x:c r="Q116" s="31"/>
      <x:c r="R116" s="19"/>
      <x:c r="S116" s="41"/>
    </x:row>
    <x:row r="117" s="20" customFormat="1">
      <x:c r="A117" s="20">
        <x:v>235</x:v>
      </x:c>
      <x:c r="B117" s="7"/>
      <x:c r="C117" s="8"/>
      <x:c r="D117" s="21"/>
      <x:c r="E117" s="24" t="s">
        <x:v>133</x:v>
      </x:c>
      <x:c r="F117" s="31">
        <x:v>1525041.00</x:v>
      </x:c>
      <x:c r="G117" s="31">
        <x:v>0.00</x:v>
      </x:c>
      <x:c r="H117" s="31">
        <x:v>31272.00</x:v>
      </x:c>
      <x:c r="I117" s="31">
        <x:v>40248.00</x:v>
      </x:c>
      <x:c r="J117" s="24">
        <x:v>177089.00</x:v>
      </x:c>
      <x:c r="K117" s="31">
        <x:f>SUM(F117:J117)</x:f>
        <x:v>1773650.00</x:v>
      </x:c>
      <x:c r="L117" s="31"/>
      <x:c r="M117" s="31"/>
      <x:c r="N117" s="31"/>
      <x:c r="O117" s="31"/>
      <x:c r="P117" s="31"/>
      <x:c r="Q117" s="31"/>
      <x:c r="R117" s="19"/>
      <x:c r="S117" s="41"/>
    </x:row>
    <x:row r="118" s="20" customFormat="1">
      <x:c r="A118" s="20">
        <x:v>236</x:v>
      </x:c>
      <x:c r="B118" s="7"/>
      <x:c r="C118" s="8"/>
      <x:c r="D118" s="21"/>
      <x:c r="E118" s="24" t="s">
        <x:v>134</x:v>
      </x:c>
      <x:c r="F118" s="31">
        <x:v>11829789.00</x:v>
      </x:c>
      <x:c r="G118" s="31">
        <x:v>0.00</x:v>
      </x:c>
      <x:c r="H118" s="31">
        <x:v>242576.00</x:v>
      </x:c>
      <x:c r="I118" s="31">
        <x:v>312201.00</x:v>
      </x:c>
      <x:c r="J118" s="24">
        <x:v>1373688.00</x:v>
      </x:c>
      <x:c r="K118" s="31">
        <x:f>SUM(F118:J118)</x:f>
        <x:v>13758254.00</x:v>
      </x:c>
      <x:c r="L118" s="31">
        <x:v>1699429.88</x:v>
      </x:c>
      <x:c r="M118" s="31"/>
      <x:c r="N118" s="31">
        <x:v>19008.282614086790776498032869700773</x:v>
      </x:c>
      <x:c r="O118" s="31">
        <x:v>33752.904631845564815573737275564907</x:v>
      </x:c>
      <x:c r="P118" s="31">
        <x:v>643058.942754067644407928229854038498</x:v>
      </x:c>
      <x:c r="Q118" s="31">
        <x:f>N118+O118+P118</x:f>
        <x:v>695820.13</x:v>
      </x:c>
      <x:c r="R118" s="19">
        <x:f>SUM(L118:P118)</x:f>
        <x:v>2395250.01</x:v>
      </x:c>
      <x:c r="S118" s="41">
        <x:f>IF(K118=0,0,R118/K118)</x:f>
        <x:v>0.174095492785639805</x:v>
      </x:c>
    </x:row>
    <x:row r="119" s="20" customFormat="1">
      <x:c r="A119" s="20">
        <x:v>240</x:v>
      </x:c>
      <x:c r="B119" s="7"/>
      <x:c r="C119" s="8"/>
      <x:c r="D119" s="21"/>
      <x:c r="E119" s="24" t="s">
        <x:v>135</x:v>
      </x:c>
      <x:c r="F119" s="31">
        <x:v>0.00</x:v>
      </x:c>
      <x:c r="G119" s="31">
        <x:v>0.00</x:v>
      </x:c>
      <x:c r="H119" s="31">
        <x:v>0.00</x:v>
      </x:c>
      <x:c r="I119" s="31">
        <x:v>0.00</x:v>
      </x:c>
      <x:c r="J119" s="24">
        <x:v>0.00</x:v>
      </x:c>
      <x:c r="K119" s="31">
        <x:f>SUM(F119:J119)</x:f>
        <x:v>0.00</x:v>
      </x:c>
      <x:c r="L119" s="31"/>
      <x:c r="M119" s="31"/>
      <x:c r="N119" s="31"/>
      <x:c r="O119" s="31"/>
      <x:c r="P119" s="31"/>
      <x:c r="Q119" s="31"/>
      <x:c r="R119" s="19"/>
      <x:c r="S119" s="41"/>
    </x:row>
    <x:row r="120" s="20" customFormat="1">
      <x:c r="A120" s="20">
        <x:v>241</x:v>
      </x:c>
      <x:c r="B120" s="7"/>
      <x:c r="C120" s="8"/>
      <x:c r="D120" s="21"/>
      <x:c r="E120" s="24" t="s">
        <x:v>136</x:v>
      </x:c>
      <x:c r="F120" s="31">
        <x:v>0.00</x:v>
      </x:c>
      <x:c r="G120" s="31">
        <x:v>0.00</x:v>
      </x:c>
      <x:c r="H120" s="31">
        <x:v>0.00</x:v>
      </x:c>
      <x:c r="I120" s="31">
        <x:v>0.00</x:v>
      </x:c>
      <x:c r="J120" s="24">
        <x:v>0.00</x:v>
      </x:c>
      <x:c r="K120" s="31">
        <x:f>SUM(F120:J120)</x:f>
        <x:v>0.00</x:v>
      </x:c>
      <x:c r="L120" s="31"/>
      <x:c r="M120" s="31"/>
      <x:c r="N120" s="31"/>
      <x:c r="O120" s="31"/>
      <x:c r="P120" s="31"/>
      <x:c r="Q120" s="31"/>
      <x:c r="R120" s="19"/>
      <x:c r="S120" s="41"/>
    </x:row>
    <x:row r="121" s="20" customFormat="1">
      <x:c r="A121" s="20">
        <x:v>242</x:v>
      </x:c>
      <x:c r="B121" s="7"/>
      <x:c r="C121" s="8"/>
      <x:c r="D121" s="21"/>
      <x:c r="E121" s="24" t="s">
        <x:v>137</x:v>
      </x:c>
      <x:c r="F121" s="31">
        <x:v>0.00</x:v>
      </x:c>
      <x:c r="G121" s="31">
        <x:v>0.00</x:v>
      </x:c>
      <x:c r="H121" s="31">
        <x:v>0.00</x:v>
      </x:c>
      <x:c r="I121" s="31">
        <x:v>0.00</x:v>
      </x:c>
      <x:c r="J121" s="24">
        <x:v>0.00</x:v>
      </x:c>
      <x:c r="K121" s="31">
        <x:f>SUM(F121:J121)</x:f>
        <x:v>0.00</x:v>
      </x:c>
      <x:c r="L121" s="31"/>
      <x:c r="M121" s="31"/>
      <x:c r="N121" s="31"/>
      <x:c r="O121" s="31"/>
      <x:c r="P121" s="31"/>
      <x:c r="Q121" s="31"/>
      <x:c r="R121" s="19"/>
      <x:c r="S121" s="41"/>
    </x:row>
    <x:row r="122" s="20" customFormat="1">
      <x:c r="A122" s="20">
        <x:v>243</x:v>
      </x:c>
      <x:c r="B122" s="7"/>
      <x:c r="C122" s="8"/>
      <x:c r="D122" s="21"/>
      <x:c r="E122" s="24" t="s">
        <x:v>138</x:v>
      </x:c>
      <x:c r="F122" s="31">
        <x:v>0.00</x:v>
      </x:c>
      <x:c r="G122" s="31">
        <x:v>0.00</x:v>
      </x:c>
      <x:c r="H122" s="31">
        <x:v>0.00</x:v>
      </x:c>
      <x:c r="I122" s="31">
        <x:v>0.00</x:v>
      </x:c>
      <x:c r="J122" s="24">
        <x:v>0.00</x:v>
      </x:c>
      <x:c r="K122" s="31">
        <x:f>SUM(F122:J122)</x:f>
        <x:v>0.00</x:v>
      </x:c>
      <x:c r="L122" s="31"/>
      <x:c r="M122" s="31"/>
      <x:c r="N122" s="31"/>
      <x:c r="O122" s="31"/>
      <x:c r="P122" s="31"/>
      <x:c r="Q122" s="31"/>
      <x:c r="R122" s="19"/>
      <x:c r="S122" s="41"/>
    </x:row>
    <x:row r="123" s="20" customFormat="1">
      <x:c r="A123" s="20">
        <x:v>245</x:v>
      </x:c>
      <x:c r="B123" s="7"/>
      <x:c r="C123" s="8"/>
      <x:c r="D123" s="21"/>
      <x:c r="E123" s="24" t="s">
        <x:v>139</x:v>
      </x:c>
      <x:c r="F123" s="31">
        <x:v>26288963.00</x:v>
      </x:c>
      <x:c r="G123" s="31">
        <x:v>0.00</x:v>
      </x:c>
      <x:c r="H123" s="31">
        <x:v>539068.00</x:v>
      </x:c>
      <x:c r="I123" s="31">
        <x:v>693795.00</x:v>
      </x:c>
      <x:c r="J123" s="24">
        <x:v>3052703.00</x:v>
      </x:c>
      <x:c r="K123" s="31">
        <x:f>SUM(F123:J123)</x:f>
        <x:v>30574529.00</x:v>
      </x:c>
      <x:c r="L123" s="31">
        <x:v>5998309.2000000002</x:v>
      </x:c>
      <x:c r="M123" s="31"/>
      <x:c r="N123" s="31">
        <x:v>106536.478745558892857539971726089107</x:v>
      </x:c>
      <x:c r="O123" s="31">
        <x:v>189176.249107670836204551476144549952</x:v>
      </x:c>
      <x:c r="P123" s="31">
        <x:v>3604178.072146770270937908552125461050</x:v>
      </x:c>
      <x:c r="Q123" s="31">
        <x:f>N123+O123+P123</x:f>
        <x:v>3899890.80</x:v>
      </x:c>
      <x:c r="R123" s="19">
        <x:f>SUM(L123:P123)</x:f>
        <x:v>9898200.0000000002</x:v>
      </x:c>
      <x:c r="S123" s="41">
        <x:f>IF(K123=0,0,R123/K123)</x:f>
        <x:v>0.323740064810156198</x:v>
      </x:c>
    </x:row>
    <x:row r="124" s="20" customFormat="1">
      <x:c r="A124" s="20">
        <x:v>246</x:v>
      </x:c>
      <x:c r="B124" s="7"/>
      <x:c r="C124" s="8"/>
      <x:c r="D124" s="21"/>
      <x:c r="E124" s="24" t="s">
        <x:v>140</x:v>
      </x:c>
      <x:c r="F124" s="31">
        <x:v>0.00</x:v>
      </x:c>
      <x:c r="G124" s="31">
        <x:v>0.00</x:v>
      </x:c>
      <x:c r="H124" s="31">
        <x:v>0.00</x:v>
      </x:c>
      <x:c r="I124" s="31">
        <x:v>0.00</x:v>
      </x:c>
      <x:c r="J124" s="24">
        <x:v>0.00</x:v>
      </x:c>
      <x:c r="K124" s="31">
        <x:f>SUM(F124:J124)</x:f>
        <x:v>0.00</x:v>
      </x:c>
      <x:c r="L124" s="31"/>
      <x:c r="M124" s="31"/>
      <x:c r="N124" s="31"/>
      <x:c r="O124" s="31"/>
      <x:c r="P124" s="31"/>
      <x:c r="Q124" s="31"/>
      <x:c r="R124" s="19"/>
      <x:c r="S124" s="41"/>
    </x:row>
    <x:row r="125" s="20" customFormat="1">
      <x:c r="A125" s="20">
        <x:v>247</x:v>
      </x:c>
      <x:c r="B125" s="7"/>
      <x:c r="C125" s="8"/>
      <x:c r="D125" s="21"/>
      <x:c r="E125" s="24" t="s">
        <x:v>141</x:v>
      </x:c>
      <x:c r="F125" s="31">
        <x:v>26559665.00</x:v>
      </x:c>
      <x:c r="G125" s="31">
        <x:v>0.00</x:v>
      </x:c>
      <x:c r="H125" s="31">
        <x:v>544619.00</x:v>
      </x:c>
      <x:c r="I125" s="31">
        <x:v>700939.00</x:v>
      </x:c>
      <x:c r="J125" s="24">
        <x:v>3084137.00</x:v>
      </x:c>
      <x:c r="K125" s="31">
        <x:f>SUM(F125:J125)</x:f>
        <x:v>30889360.00</x:v>
      </x:c>
      <x:c r="L125" s="31"/>
      <x:c r="M125" s="31"/>
      <x:c r="N125" s="31"/>
      <x:c r="O125" s="31"/>
      <x:c r="P125" s="31"/>
      <x:c r="Q125" s="31"/>
      <x:c r="R125" s="19"/>
      <x:c r="S125" s="41"/>
    </x:row>
    <x:row r="126" s="20" customFormat="1">
      <x:c r="A126" s="20">
        <x:v>248</x:v>
      </x:c>
      <x:c r="B126" s="7"/>
      <x:c r="C126" s="8"/>
      <x:c r="D126" s="21"/>
      <x:c r="E126" s="24" t="s">
        <x:v>142</x:v>
      </x:c>
      <x:c r="F126" s="31">
        <x:v>51063430.00</x:v>
      </x:c>
      <x:c r="G126" s="31">
        <x:v>0.00</x:v>
      </x:c>
      <x:c r="H126" s="31">
        <x:v>1047080.00</x:v>
      </x:c>
      <x:c r="I126" s="31">
        <x:v>1347620.00</x:v>
      </x:c>
      <x:c r="J126" s="24">
        <x:v>5929540.00</x:v>
      </x:c>
      <x:c r="K126" s="31">
        <x:f>SUM(F126:J126)</x:f>
        <x:v>59387670.00</x:v>
      </x:c>
      <x:c r="L126" s="31">
        <x:v>5017275.25</x:v>
      </x:c>
      <x:c r="M126" s="31"/>
      <x:c r="N126" s="31">
        <x:v>68935.149977235169597704860045614188</x:v>
      </x:c>
      <x:c r="O126" s="31">
        <x:v>122407.772979935438800876828625707080</x:v>
      </x:c>
      <x:c r="P126" s="31">
        <x:v>2332107.827042829391601418311326155281</x:v>
      </x:c>
      <x:c r="Q126" s="31">
        <x:f>N126+O126+P126</x:f>
        <x:v>2523450.75</x:v>
      </x:c>
      <x:c r="R126" s="19">
        <x:f>SUM(L126:P126)</x:f>
        <x:v>7540726.00</x:v>
      </x:c>
      <x:c r="S126" s="41">
        <x:f>IF(K126=0,0,R126/K126)</x:f>
        <x:v>0.126974606008284211</x:v>
      </x:c>
    </x:row>
    <x:row r="127" s="20" customFormat="1">
      <x:c r="A127" s="20">
        <x:v>249</x:v>
      </x:c>
      <x:c r="B127" s="7"/>
      <x:c r="C127" s="8"/>
      <x:c r="D127" s="21"/>
      <x:c r="E127" s="24" t="s">
        <x:v>143</x:v>
      </x:c>
      <x:c r="F127" s="31">
        <x:v>0.00</x:v>
      </x:c>
      <x:c r="G127" s="31">
        <x:v>0.00</x:v>
      </x:c>
      <x:c r="H127" s="31">
        <x:v>0.00</x:v>
      </x:c>
      <x:c r="I127" s="31">
        <x:v>0.00</x:v>
      </x:c>
      <x:c r="J127" s="24">
        <x:v>0.00</x:v>
      </x:c>
      <x:c r="K127" s="31">
        <x:f>SUM(F127:J127)</x:f>
        <x:v>0.00</x:v>
      </x:c>
      <x:c r="L127" s="31"/>
      <x:c r="M127" s="31"/>
      <x:c r="N127" s="31"/>
      <x:c r="O127" s="31"/>
      <x:c r="P127" s="31"/>
      <x:c r="Q127" s="31"/>
      <x:c r="R127" s="19"/>
      <x:c r="S127" s="41"/>
    </x:row>
    <x:row r="128" s="20" customFormat="1">
      <x:c r="A128" s="20">
        <x:v>250</x:v>
      </x:c>
      <x:c r="B128" s="7"/>
      <x:c r="C128" s="8"/>
      <x:c r="D128" s="21"/>
      <x:c r="E128" s="24" t="s">
        <x:v>144</x:v>
      </x:c>
      <x:c r="F128" s="31">
        <x:v>0.00</x:v>
      </x:c>
      <x:c r="G128" s="31">
        <x:v>0.00</x:v>
      </x:c>
      <x:c r="H128" s="31">
        <x:v>0.00</x:v>
      </x:c>
      <x:c r="I128" s="31">
        <x:v>0.00</x:v>
      </x:c>
      <x:c r="J128" s="24">
        <x:v>0.00</x:v>
      </x:c>
      <x:c r="K128" s="31">
        <x:f>SUM(F128:J128)</x:f>
        <x:v>0.00</x:v>
      </x:c>
      <x:c r="L128" s="31"/>
      <x:c r="M128" s="31"/>
      <x:c r="N128" s="31"/>
      <x:c r="O128" s="31"/>
      <x:c r="P128" s="31"/>
      <x:c r="Q128" s="31"/>
      <x:c r="R128" s="19"/>
      <x:c r="S128" s="41"/>
    </x:row>
    <x:row r="129" s="20" customFormat="1">
      <x:c r="A129" s="20">
        <x:v>251</x:v>
      </x:c>
      <x:c r="B129" s="7"/>
      <x:c r="C129" s="8"/>
      <x:c r="D129" s="21"/>
      <x:c r="E129" s="24" t="s">
        <x:v>145</x:v>
      </x:c>
      <x:c r="F129" s="31">
        <x:v>218692417.00</x:v>
      </x:c>
      <x:c r="G129" s="31">
        <x:v>0.00</x:v>
      </x:c>
      <x:c r="H129" s="31">
        <x:v>4484394.00</x:v>
      </x:c>
      <x:c r="I129" s="31">
        <x:v>5771533.00</x:v>
      </x:c>
      <x:c r="J129" s="24">
        <x:v>25394798.00</x:v>
      </x:c>
      <x:c r="K129" s="31">
        <x:f>SUM(F129:J129)</x:f>
        <x:v>254343142.00</x:v>
      </x:c>
      <x:c r="L129" s="31">
        <x:v>56653903.060000002</x:v>
      </x:c>
      <x:c r="M129" s="31"/>
      <x:c r="N129" s="31">
        <x:v>596187.423749569305023380690483183758</x:v>
      </x:c>
      <x:c r="O129" s="31">
        <x:v>1058646.783882094458024824884306203762</x:v>
      </x:c>
      <x:c r="P129" s="31">
        <x:v>20169294.732368337236951794425188788350</x:v>
      </x:c>
      <x:c r="Q129" s="31">
        <x:f>N129+O129+P129</x:f>
        <x:v>21824128.940000001</x:v>
      </x:c>
      <x:c r="R129" s="19">
        <x:f>SUM(L129:P129)</x:f>
        <x:v>78478032.000000003</x:v>
      </x:c>
      <x:c r="S129" s="41">
        <x:f>IF(K129=0,0,R129/K129)</x:f>
        <x:v>0.308551791028829875</x:v>
      </x:c>
    </x:row>
    <x:row r="130" s="20" customFormat="1">
      <x:c r="A130" s="20">
        <x:v>252</x:v>
      </x:c>
      <x:c r="B130" s="7"/>
      <x:c r="C130" s="8"/>
      <x:c r="D130" s="21"/>
      <x:c r="E130" s="24" t="s">
        <x:v>146</x:v>
      </x:c>
      <x:c r="F130" s="31">
        <x:v>70979456.00</x:v>
      </x:c>
      <x:c r="G130" s="31">
        <x:v>0.00</x:v>
      </x:c>
      <x:c r="H130" s="31">
        <x:v>1455468.00</x:v>
      </x:c>
      <x:c r="I130" s="31">
        <x:v>1873226.00</x:v>
      </x:c>
      <x:c r="J130" s="24">
        <x:v>8242210.00</x:v>
      </x:c>
      <x:c r="K130" s="31">
        <x:f>SUM(F130:J130)</x:f>
        <x:v>82550360.00</x:v>
      </x:c>
      <x:c r="L130" s="31">
        <x:v>17755712.710000001</x:v>
      </x:c>
      <x:c r="M130" s="31"/>
      <x:c r="N130" s="31">
        <x:v>305038.550072829743921043758182425781</x:v>
      </x:c>
      <x:c r="O130" s="31">
        <x:v>541655.303568271095772512934235047368</x:v>
      </x:c>
      <x:c r="P130" s="31">
        <x:v>10319594.436358898160306443307571360561</x:v>
      </x:c>
      <x:c r="Q130" s="31">
        <x:f>N130+O130+P130</x:f>
        <x:v>11166288.289999999</x:v>
      </x:c>
      <x:c r="R130" s="19">
        <x:f>SUM(L130:P130)</x:f>
        <x:v>28922001.000000000</x:v>
      </x:c>
      <x:c r="S130" s="41">
        <x:f>IF(K130=0,0,R130/K130)</x:f>
        <x:v>0.350355843390628460</x:v>
      </x:c>
      <x:c r="T130" s="50"/>
    </x:row>
    <x:row r="131" s="20" customFormat="1">
      <x:c r="A131" s="20">
        <x:v>253</x:v>
      </x:c>
      <x:c r="B131" s="7"/>
      <x:c r="C131" s="8"/>
      <x:c r="D131" s="21"/>
      <x:c r="E131" s="24" t="s">
        <x:v>147</x:v>
      </x:c>
      <x:c r="F131" s="31">
        <x:v>2549681.00</x:v>
      </x:c>
      <x:c r="G131" s="31">
        <x:v>0.00</x:v>
      </x:c>
      <x:c r="H131" s="31">
        <x:v>52282.00</x:v>
      </x:c>
      <x:c r="I131" s="31">
        <x:v>67289.00</x:v>
      </x:c>
      <x:c r="J131" s="24">
        <x:v>296072.00</x:v>
      </x:c>
      <x:c r="K131" s="31">
        <x:f>SUM(F131:J131)</x:f>
        <x:v>2965324.00</x:v>
      </x:c>
      <x:c r="L131" s="31">
        <x:v>1600000.00</x:v>
      </x:c>
      <x:c r="M131" s="31"/>
      <x:c r="N131" s="31"/>
      <x:c r="O131" s="31"/>
      <x:c r="P131" s="31"/>
      <x:c r="Q131" s="31"/>
      <x:c r="R131" s="19">
        <x:f>SUM(L131:P131)</x:f>
        <x:v>1600000.00</x:v>
      </x:c>
      <x:c r="S131" s="41">
        <x:f>IF(K131=0,0,R131/K131)</x:f>
        <x:v>0.539570043610748774</x:v>
      </x:c>
    </x:row>
    <x:row r="132" s="20" customFormat="1">
      <x:c r="A132" s="20">
        <x:v>254</x:v>
      </x:c>
      <x:c r="B132" s="7"/>
      <x:c r="C132" s="8"/>
      <x:c r="D132" s="21"/>
      <x:c r="E132" s="24" t="s">
        <x:v>148</x:v>
      </x:c>
      <x:c r="F132" s="31">
        <x:v>3285318.00</x:v>
      </x:c>
      <x:c r="G132" s="31">
        <x:v>0.00</x:v>
      </x:c>
      <x:c r="H132" s="31">
        <x:v>67367.00</x:v>
      </x:c>
      <x:c r="I132" s="31">
        <x:v>86703.00</x:v>
      </x:c>
      <x:c r="J132" s="24">
        <x:v>381495.00</x:v>
      </x:c>
      <x:c r="K132" s="31">
        <x:f>SUM(F132:J132)</x:f>
        <x:v>3820883.00</x:v>
      </x:c>
      <x:c r="L132" s="31">
        <x:v>1279154.97</x:v>
      </x:c>
      <x:c r="M132" s="31"/>
      <x:c r="N132" s="31">
        <x:v>14771.970383212167347100395153942055</x:v>
      </x:c>
      <x:c r="O132" s="31">
        <x:v>26230.507915507516147261167954838363</x:v>
      </x:c>
      <x:c r="P132" s="31">
        <x:v>499742.551701280316505638436890678836</x:v>
      </x:c>
      <x:c r="Q132" s="31">
        <x:f>N132+O132+P132</x:f>
        <x:v>540745.03</x:v>
      </x:c>
      <x:c r="R132" s="19">
        <x:f>SUM(L132:P132)</x:f>
        <x:v>1819900.00</x:v>
      </x:c>
      <x:c r="S132" s="41">
        <x:f>IF(K132=0,0,R132/K132)</x:f>
        <x:v>0.476303514135345154</x:v>
      </x:c>
    </x:row>
    <x:row r="133" s="20" customFormat="1">
      <x:c r="A133" s="20">
        <x:v>233</x:v>
      </x:c>
      <x:c r="B133" s="7"/>
      <x:c r="C133" s="8"/>
      <x:c r="D133" s="21"/>
      <x:c r="E133" s="24" t="s">
        <x:v>149</x:v>
      </x:c>
      <x:c r="F133" s="31">
        <x:v>0.00</x:v>
      </x:c>
      <x:c r="G133" s="31">
        <x:v>0.00</x:v>
      </x:c>
      <x:c r="H133" s="31">
        <x:v>0.00</x:v>
      </x:c>
      <x:c r="I133" s="31">
        <x:v>0.00</x:v>
      </x:c>
      <x:c r="J133" s="24">
        <x:v>0.00</x:v>
      </x:c>
      <x:c r="K133" s="31">
        <x:f>SUM(F133:J133)</x:f>
        <x:v>0.00</x:v>
      </x:c>
      <x:c r="L133" s="31"/>
      <x:c r="M133" s="31"/>
      <x:c r="N133" s="31"/>
      <x:c r="O133" s="31"/>
      <x:c r="P133" s="31"/>
      <x:c r="Q133" s="31"/>
      <x:c r="R133" s="19"/>
      <x:c r="S133" s="41"/>
    </x:row>
    <x:row r="134" s="20" customFormat="1">
      <x:c r="A134" s="20">
        <x:v>234</x:v>
      </x:c>
      <x:c r="B134" s="7"/>
      <x:c r="C134" s="8"/>
      <x:c r="D134" s="21"/>
      <x:c r="E134" s="24" t="s">
        <x:v>150</x:v>
      </x:c>
      <x:c r="F134" s="31">
        <x:v>0.00</x:v>
      </x:c>
      <x:c r="G134" s="31">
        <x:v>0.00</x:v>
      </x:c>
      <x:c r="H134" s="31">
        <x:v>0.00</x:v>
      </x:c>
      <x:c r="I134" s="31">
        <x:v>0.00</x:v>
      </x:c>
      <x:c r="J134" s="24">
        <x:v>0.00</x:v>
      </x:c>
      <x:c r="K134" s="31">
        <x:f>SUM(F134:J134)</x:f>
        <x:v>0.00</x:v>
      </x:c>
      <x:c r="L134" s="31"/>
      <x:c r="M134" s="31"/>
      <x:c r="N134" s="31"/>
      <x:c r="O134" s="31"/>
      <x:c r="P134" s="31"/>
      <x:c r="Q134" s="31"/>
      <x:c r="R134" s="19"/>
      <x:c r="S134" s="41"/>
    </x:row>
    <x:row r="135" s="20" customFormat="1">
      <x:c r="A135" s="20">
        <x:v>237</x:v>
      </x:c>
      <x:c r="B135" s="7"/>
      <x:c r="C135" s="8"/>
      <x:c r="D135" s="21"/>
      <x:c r="E135" s="24" t="s">
        <x:v>151</x:v>
      </x:c>
      <x:c r="F135" s="31">
        <x:v>0.00</x:v>
      </x:c>
      <x:c r="G135" s="31">
        <x:v>0.00</x:v>
      </x:c>
      <x:c r="H135" s="31">
        <x:v>0.00</x:v>
      </x:c>
      <x:c r="I135" s="31">
        <x:v>0.00</x:v>
      </x:c>
      <x:c r="J135" s="24">
        <x:v>0.00</x:v>
      </x:c>
      <x:c r="K135" s="31">
        <x:f>SUM(F135:J135)</x:f>
        <x:v>0.00</x:v>
      </x:c>
      <x:c r="L135" s="31"/>
      <x:c r="M135" s="31"/>
      <x:c r="N135" s="31"/>
      <x:c r="O135" s="31"/>
      <x:c r="P135" s="31"/>
      <x:c r="Q135" s="31"/>
      <x:c r="R135" s="19"/>
      <x:c r="S135" s="41"/>
    </x:row>
    <x:row r="136" s="20" customFormat="1">
      <x:c r="A136" s="20">
        <x:v>256</x:v>
      </x:c>
      <x:c r="B136" s="7"/>
      <x:c r="C136" s="8"/>
      <x:c r="D136" s="21"/>
      <x:c r="E136" s="24" t="s">
        <x:v>152</x:v>
      </x:c>
      <x:c r="F136" s="31">
        <x:v>530660514.00</x:v>
      </x:c>
      <x:c r="G136" s="31">
        <x:v>0.00</x:v>
      </x:c>
      <x:c r="H136" s="31">
        <x:v>10881450.00</x:v>
      </x:c>
      <x:c r="I136" s="31">
        <x:v>14004713.00</x:v>
      </x:c>
      <x:c r="J136" s="24">
        <x:v>61620867.00</x:v>
      </x:c>
      <x:c r="K136" s="31">
        <x:f>SUM(F136:J136)</x:f>
        <x:v>617167544.00</x:v>
      </x:c>
      <x:c r="L136" s="31">
        <x:v>268379948.40000001</x:v>
      </x:c>
      <x:c r="M136" s="31"/>
      <x:c r="N136" s="31">
        <x:v>3012119.530171247527107761374497625898</x:v>
      </x:c>
      <x:c r="O136" s="31">
        <x:v>5348604.358725438805720800508151530612</x:v>
      </x:c>
      <x:c r="P136" s="31">
        <x:v>101901388.981103313667171438117240581376</x:v>
      </x:c>
      <x:c r="Q136" s="31">
        <x:f>N136+O136+P136</x:f>
        <x:v>110262112.87</x:v>
      </x:c>
      <x:c r="R136" s="19">
        <x:f>SUM(L136:P136)</x:f>
        <x:v>378642061.27000001</x:v>
      </x:c>
      <x:c r="S136" s="41">
        <x:f>IF(K136=0,0,R136/K136)</x:f>
        <x:v>0.613515835288318418</x:v>
      </x:c>
      <x:c r="T136" s="56"/>
    </x:row>
    <x:row r="137" s="20" customFormat="1">
      <x:c r="A137" s="20">
        <x:v>261</x:v>
      </x:c>
      <x:c r="B137" s="7"/>
      <x:c r="C137" s="8"/>
      <x:c r="D137" s="21"/>
      <x:c r="E137" s="24" t="s">
        <x:v>153</x:v>
      </x:c>
      <x:c r="F137" s="31">
        <x:v>820.00</x:v>
      </x:c>
      <x:c r="G137" s="31">
        <x:v>0.00</x:v>
      </x:c>
      <x:c r="H137" s="31">
        <x:v>17.00</x:v>
      </x:c>
      <x:c r="I137" s="31">
        <x:v>22.00</x:v>
      </x:c>
      <x:c r="J137" s="24">
        <x:v>95.00</x:v>
      </x:c>
      <x:c r="K137" s="31">
        <x:f>SUM(F137:J137)</x:f>
        <x:v>954.00</x:v>
      </x:c>
      <x:c r="L137" s="31"/>
      <x:c r="M137" s="31"/>
      <x:c r="N137" s="31"/>
      <x:c r="O137" s="31"/>
      <x:c r="P137" s="31"/>
      <x:c r="Q137" s="31"/>
      <x:c r="R137" s="19"/>
      <x:c r="S137" s="41"/>
    </x:row>
    <x:row r="138" s="20" customFormat="1">
      <x:c r="A138" s="20">
        <x:v>227</x:v>
      </x:c>
      <x:c r="B138" s="7"/>
      <x:c r="C138" s="8"/>
      <x:c r="D138" s="21"/>
      <x:c r="E138" s="24" t="s">
        <x:v>154</x:v>
      </x:c>
      <x:c r="F138" s="31">
        <x:v>142863349.00</x:v>
      </x:c>
      <x:c r="G138" s="31">
        <x:v>0.00</x:v>
      </x:c>
      <x:c r="H138" s="31">
        <x:v>2929482.00</x:v>
      </x:c>
      <x:c r="I138" s="31">
        <x:v>3770320.00</x:v>
      </x:c>
      <x:c r="J138" s="24">
        <x:v>16589445.00</x:v>
      </x:c>
      <x:c r="K138" s="31">
        <x:f>SUM(F138:J138)</x:f>
        <x:v>166152596.00</x:v>
      </x:c>
      <x:c r="L138" s="31"/>
      <x:c r="M138" s="31"/>
      <x:c r="N138" s="31"/>
      <x:c r="O138" s="31"/>
      <x:c r="P138" s="31"/>
      <x:c r="Q138" s="31"/>
      <x:c r="R138" s="19"/>
      <x:c r="S138" s="41"/>
    </x:row>
    <x:row r="139" s="20" customFormat="1">
      <x:c r="A139" s="20">
        <x:v>226</x:v>
      </x:c>
      <x:c r="B139" s="7"/>
      <x:c r="C139" s="8"/>
      <x:c r="D139" s="21"/>
      <x:c r="E139" s="24" t="s">
        <x:v>155</x:v>
      </x:c>
      <x:c r="F139" s="31">
        <x:v>69301.00</x:v>
      </x:c>
      <x:c r="G139" s="31">
        <x:v>0.00</x:v>
      </x:c>
      <x:c r="H139" s="31">
        <x:v>1421.00</x:v>
      </x:c>
      <x:c r="I139" s="31">
        <x:v>1829.00</x:v>
      </x:c>
      <x:c r="J139" s="24">
        <x:v>8047.00</x:v>
      </x:c>
      <x:c r="K139" s="31">
        <x:f>SUM(F139:J139)</x:f>
        <x:v>80598.00</x:v>
      </x:c>
      <x:c r="L139" s="31"/>
      <x:c r="M139" s="31"/>
      <x:c r="N139" s="31"/>
      <x:c r="O139" s="31"/>
      <x:c r="P139" s="31"/>
      <x:c r="Q139" s="31"/>
      <x:c r="R139" s="19"/>
      <x:c r="S139" s="41"/>
    </x:row>
    <x:row r="140" s="20" customFormat="1">
      <x:c r="A140" s="20">
        <x:v>228</x:v>
      </x:c>
      <x:c r="B140" s="7"/>
      <x:c r="C140" s="8"/>
      <x:c r="D140" s="21"/>
      <x:c r="E140" s="24" t="s">
        <x:v>156</x:v>
      </x:c>
      <x:c r="F140" s="31">
        <x:v>371039.00</x:v>
      </x:c>
      <x:c r="G140" s="31">
        <x:v>0.00</x:v>
      </x:c>
      <x:c r="H140" s="31">
        <x:v>7608.00</x:v>
      </x:c>
      <x:c r="I140" s="31">
        <x:v>9792.00</x:v>
      </x:c>
      <x:c r="J140" s="24">
        <x:v>43085.00</x:v>
      </x:c>
      <x:c r="K140" s="31">
        <x:f>SUM(F140:J140)</x:f>
        <x:v>431524.00</x:v>
      </x:c>
      <x:c r="L140" s="31"/>
      <x:c r="M140" s="31"/>
      <x:c r="N140" s="31"/>
      <x:c r="O140" s="31"/>
      <x:c r="P140" s="31"/>
      <x:c r="Q140" s="31"/>
      <x:c r="R140" s="19"/>
      <x:c r="S140" s="41"/>
    </x:row>
    <x:row r="141" s="20" customFormat="1">
      <x:c r="A141" s="20">
        <x:v>260</x:v>
      </x:c>
      <x:c r="B141" s="7"/>
      <x:c r="C141" s="8"/>
      <x:c r="D141" s="21"/>
      <x:c r="E141" s="24" t="s">
        <x:v>157</x:v>
      </x:c>
      <x:c r="F141" s="24">
        <x:v>0.00</x:v>
      </x:c>
      <x:c r="G141" s="24">
        <x:v>0.00</x:v>
      </x:c>
      <x:c r="H141" s="24">
        <x:v>0.00</x:v>
      </x:c>
      <x:c r="I141" s="24">
        <x:v>0.00</x:v>
      </x:c>
      <x:c r="J141" s="24">
        <x:v>0.00</x:v>
      </x:c>
      <x:c r="K141" s="31">
        <x:f>SUM(F141:J141)</x:f>
        <x:v>0.00</x:v>
      </x:c>
      <x:c r="L141" s="31"/>
      <x:c r="M141" s="31"/>
      <x:c r="N141" s="31"/>
      <x:c r="O141" s="31"/>
      <x:c r="P141" s="31"/>
      <x:c r="Q141" s="31"/>
      <x:c r="R141" s="19"/>
      <x:c r="S141" s="41"/>
    </x:row>
    <x:row r="142" s="20" customFormat="1">
      <x:c r="A142" s="20">
        <x:v>238</x:v>
      </x:c>
      <x:c r="B142" s="7"/>
      <x:c r="C142" s="8"/>
      <x:c r="D142" s="21"/>
      <x:c r="E142" s="24" t="s">
        <x:v>158</x:v>
      </x:c>
      <x:c r="F142" s="24">
        <x:v>0.00</x:v>
      </x:c>
      <x:c r="G142" s="24">
        <x:v>0.00</x:v>
      </x:c>
      <x:c r="H142" s="24">
        <x:v>0.00</x:v>
      </x:c>
      <x:c r="I142" s="24">
        <x:v>0.00</x:v>
      </x:c>
      <x:c r="J142" s="24">
        <x:v>0.00</x:v>
      </x:c>
      <x:c r="K142" s="31">
        <x:f>SUM(F142:J142)</x:f>
        <x:v>0.00</x:v>
      </x:c>
      <x:c r="L142" s="31"/>
      <x:c r="M142" s="31"/>
      <x:c r="N142" s="31"/>
      <x:c r="O142" s="31"/>
      <x:c r="P142" s="31"/>
      <x:c r="Q142" s="31"/>
      <x:c r="R142" s="19"/>
      <x:c r="S142" s="41"/>
    </x:row>
    <x:row r="143" s="23" customFormat="1">
      <x:c r="B143" s="12">
        <x:v>22</x:v>
      </x:c>
      <x:c r="C143" s="8" t="s">
        <x:v>34</x:v>
      </x:c>
      <x:c r="D143" s="14"/>
      <x:c r="E143" s="15" t="s">
        <x:v>159</x:v>
      </x:c>
      <x:c r="F143" s="32">
        <x:f>SUM(F56:F142)</x:f>
        <x:v>3898052303.00</x:v>
      </x:c>
      <x:c r="G143" s="32">
        <x:f>SUM(G56:G142)</x:f>
        <x:v>0.00</x:v>
      </x:c>
      <x:c r="H143" s="32">
        <x:f>SUM(H56:H142)</x:f>
        <x:v>79931448.00</x:v>
      </x:c>
      <x:c r="I143" s="32">
        <x:f>SUM(I56:I142)</x:f>
        <x:v>102873876.00</x:v>
      </x:c>
      <x:c r="J143" s="32">
        <x:f>SUM(J56:J142)</x:f>
        <x:v>452646007.00</x:v>
      </x:c>
      <x:c r="K143" s="32">
        <x:f>SUM(K56:K142)</x:f>
        <x:v>4533503634.00</x:v>
      </x:c>
      <x:c r="L143" s="32">
        <x:f>SUM(L56:L142)</x:f>
        <x:v>1810722942.1299999838</x:v>
      </x:c>
      <x:c r="M143" s="32"/>
      <x:c r="N143" s="32">
        <x:f>SUM(N56:N142)</x:f>
        <x:v>23225705.662811729824624437904544371275</x:v>
      </x:c>
      <x:c r="O143" s="32">
        <x:f>SUM(O56:O142)</x:f>
        <x:v>41241759.929602254346805908486044323349</x:v>
      </x:c>
      <x:c r="P143" s="32">
        <x:f>SUM(P56:P142)</x:f>
        <x:v>785736304.087586006528569653608561101573</x:v>
      </x:c>
      <x:c r="Q143" s="32">
        <x:f>SUM(Q56:Q142)</x:f>
        <x:v>850203769.6799999907</x:v>
      </x:c>
      <x:c r="R143" s="16">
        <x:f>SUM(R56:R142)</x:f>
        <x:v>2660926711.8099999745</x:v>
      </x:c>
      <x:c r="S143" s="41">
        <x:f>IF(K143=0,0,R143/K143)</x:f>
        <x:v>0.586947078161314202</x:v>
      </x:c>
    </x:row>
    <x:row r="144" s="20" customFormat="1">
      <x:c r="B144" s="7"/>
      <x:c r="C144" s="8" t="s">
        <x:v>36</x:v>
      </x:c>
      <x:c r="D144" s="21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19"/>
      <x:c r="S144" s="42"/>
    </x:row>
    <x:row r="145" s="20" customFormat="1">
      <x:c r="B145" s="7"/>
      <x:c r="C145" s="8" t="s">
        <x:v>29</x:v>
      </x:c>
      <x:c r="D145" s="21"/>
      <x:c r="E145" s="22" t="s">
        <x:v>160</x:v>
      </x:c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19"/>
      <x:c r="S145" s="42"/>
    </x:row>
    <x:row r="146" s="20" customFormat="1">
      <x:c r="A146" s="20">
        <x:v>269</x:v>
      </x:c>
      <x:c r="B146" s="7"/>
      <x:c r="C146" s="8"/>
      <x:c r="D146" s="21"/>
      <x:c r="E146" s="24" t="s">
        <x:v>161</x:v>
      </x:c>
      <x:c r="F146" s="31">
        <x:v>155291475.00</x:v>
      </x:c>
      <x:c r="G146" s="31">
        <x:v>0.00</x:v>
      </x:c>
      <x:c r="H146" s="31">
        <x:v>3184327.00</x:v>
      </x:c>
      <x:c r="I146" s="31">
        <x:v>4098312.00</x:v>
      </x:c>
      <x:c r="J146" s="31">
        <x:v>18032612.00</x:v>
      </x:c>
      <x:c r="K146" s="31">
        <x:f>SUM(F146:J146)</x:f>
        <x:v>180606726.00</x:v>
      </x:c>
      <x:c r="L146" s="31">
        <x:v>105728840.97</x:v>
      </x:c>
      <x:c r="M146" s="31"/>
      <x:c r="N146" s="31">
        <x:v>1268341.118979612471373163827358370705</x:v>
      </x:c>
      <x:c r="O146" s="31">
        <x:v>2252186.465169718640412295803996505153</x:v>
      </x:c>
      <x:c r="P146" s="31">
        <x:v>42908563.365850671888214540368598695049</x:v>
      </x:c>
      <x:c r="Q146" s="31">
        <x:f>N146+O146+P146</x:f>
        <x:v>46429090.950000003</x:v>
      </x:c>
      <x:c r="R146" s="19">
        <x:f>SUM(L146:P146)</x:f>
        <x:v>152157931.920000003</x:v>
      </x:c>
      <x:c r="S146" s="41">
        <x:f>IF(K146=0,0,R146/K146)</x:f>
        <x:v>0.842482089620516142</x:v>
      </x:c>
    </x:row>
    <x:row r="147" s="20" customFormat="1">
      <x:c r="A147" s="20">
        <x:v>270</x:v>
      </x:c>
      <x:c r="B147" s="7"/>
      <x:c r="C147" s="8"/>
      <x:c r="D147" s="21"/>
      <x:c r="E147" s="24" t="s">
        <x:v>162</x:v>
      </x:c>
      <x:c r="F147" s="31">
        <x:v>96852368.00</x:v>
      </x:c>
      <x:c r="G147" s="31">
        <x:v>0.00</x:v>
      </x:c>
      <x:c r="H147" s="31">
        <x:v>1986005.00</x:v>
      </x:c>
      <x:c r="I147" s="31">
        <x:v>2556040.00</x:v>
      </x:c>
      <x:c r="J147" s="31">
        <x:v>11246601.00</x:v>
      </x:c>
      <x:c r="K147" s="31">
        <x:f>SUM(F147:J147)</x:f>
        <x:v>112641014.00</x:v>
      </x:c>
      <x:c r="L147" s="31">
        <x:v>14210401.34</x:v>
      </x:c>
      <x:c r="M147" s="31"/>
      <x:c r="N147" s="31">
        <x:v>170470.386375972031549711284175832920</x:v>
      </x:c>
      <x:c r="O147" s="31">
        <x:v>302703.343101492545676919070942818606</x:v>
      </x:c>
      <x:c r="P147" s="31">
        <x:v>5767091.570522535222773369644875108207</x:v>
      </x:c>
      <x:c r="Q147" s="31">
        <x:f>N147+O147+P147</x:f>
        <x:v>6240265.2999999998</x:v>
      </x:c>
      <x:c r="R147" s="19">
        <x:f>SUM(L147:P147)</x:f>
        <x:v>20450666.6399999998</x:v>
      </x:c>
      <x:c r="S147" s="41">
        <x:f>IF(K147=0,0,R147/K147)</x:f>
        <x:v>0.181556130522759674</x:v>
      </x:c>
    </x:row>
    <x:row r="148" s="20" customFormat="1">
      <x:c r="A148" s="20">
        <x:v>271</x:v>
      </x:c>
      <x:c r="B148" s="7"/>
      <x:c r="C148" s="8"/>
      <x:c r="D148" s="21"/>
      <x:c r="E148" s="24" t="s">
        <x:v>163</x:v>
      </x:c>
      <x:c r="F148" s="31">
        <x:v>0.00</x:v>
      </x:c>
      <x:c r="G148" s="31">
        <x:v>0.00</x:v>
      </x:c>
      <x:c r="H148" s="31">
        <x:v>0.00</x:v>
      </x:c>
      <x:c r="I148" s="31">
        <x:v>0.00</x:v>
      </x:c>
      <x:c r="J148" s="31">
        <x:v>0.00</x:v>
      </x:c>
      <x:c r="K148" s="31">
        <x:f>SUM(F148:J148)</x:f>
        <x:v>0.00</x:v>
      </x:c>
      <x:c r="L148" s="31"/>
      <x:c r="M148" s="31"/>
      <x:c r="N148" s="31"/>
      <x:c r="O148" s="31"/>
      <x:c r="P148" s="31"/>
      <x:c r="Q148" s="31"/>
      <x:c r="R148" s="19"/>
      <x:c r="S148" s="41"/>
    </x:row>
    <x:row r="149" s="20" customFormat="1">
      <x:c r="A149" s="20">
        <x:v>272</x:v>
      </x:c>
      <x:c r="B149" s="7"/>
      <x:c r="C149" s="8"/>
      <x:c r="D149" s="21"/>
      <x:c r="E149" s="24" t="s">
        <x:v>164</x:v>
      </x:c>
      <x:c r="F149" s="31">
        <x:v>167053988.00</x:v>
      </x:c>
      <x:c r="G149" s="31">
        <x:v>0.00</x:v>
      </x:c>
      <x:c r="H149" s="31">
        <x:v>3425523.00</x:v>
      </x:c>
      <x:c r="I149" s="31">
        <x:v>4408738.00</x:v>
      </x:c>
      <x:c r="J149" s="31">
        <x:v>19398488.00</x:v>
      </x:c>
      <x:c r="K149" s="31">
        <x:f>SUM(F149:J149)</x:f>
        <x:v>194286737.00</x:v>
      </x:c>
      <x:c r="L149" s="31">
        <x:v>106837670.50</x:v>
      </x:c>
      <x:c r="M149" s="31"/>
      <x:c r="N149" s="31">
        <x:v>1307786.414723889296120807548686973289</x:v>
      </x:c>
      <x:c r="O149" s="31">
        <x:v>2322229.263483588465703300615840515648</x:v>
      </x:c>
      <x:c r="P149" s="31">
        <x:v>44243015.861792521238175891835424638029</x:v>
      </x:c>
      <x:c r="Q149" s="31">
        <x:f>N149+O149+P149</x:f>
        <x:v>47873031.539999999</x:v>
      </x:c>
      <x:c r="R149" s="19">
        <x:f>SUM(L149:P149)</x:f>
        <x:v>154710702.039999999</x:v>
      </x:c>
      <x:c r="S149" s="41">
        <x:f>IF(K149=0,0,R149/K149)</x:f>
        <x:v>0.796300892324935175</x:v>
      </x:c>
    </x:row>
    <x:row r="150" s="20" customFormat="1">
      <x:c r="A150" s="20">
        <x:v>273</x:v>
      </x:c>
      <x:c r="B150" s="7"/>
      <x:c r="C150" s="8"/>
      <x:c r="D150" s="21"/>
      <x:c r="E150" s="24" t="s">
        <x:v>165</x:v>
      </x:c>
      <x:c r="F150" s="31">
        <x:v>0.00</x:v>
      </x:c>
      <x:c r="G150" s="31">
        <x:v>0.00</x:v>
      </x:c>
      <x:c r="H150" s="31">
        <x:v>0.00</x:v>
      </x:c>
      <x:c r="I150" s="31">
        <x:v>0.00</x:v>
      </x:c>
      <x:c r="J150" s="31">
        <x:v>0.00</x:v>
      </x:c>
      <x:c r="K150" s="31">
        <x:f>SUM(F150:J150)</x:f>
        <x:v>0.00</x:v>
      </x:c>
      <x:c r="L150" s="31">
        <x:v>1766556.40</x:v>
      </x:c>
      <x:c r="M150" s="31"/>
      <x:c r="N150" s="31">
        <x:v>-48258.453380651333558981068215689977</x:v>
      </x:c>
      <x:c r="O150" s="31">
        <x:v>-85692.274662959846155308276660618816</x:v>
      </x:c>
      <x:c r="P150" s="31">
        <x:v>-1632605.671956388820285710655121924650</x:v>
      </x:c>
      <x:c r="Q150" s="31">
        <x:f>N150+O150+P150</x:f>
        <x:v>-1766556.40</x:v>
      </x:c>
      <x:c r="R150" s="19">
        <x:f>SUM(L150:P150)</x:f>
        <x:v>0.00</x:v>
      </x:c>
      <x:c r="S150" s="41">
        <x:v>0.00</x:v>
      </x:c>
    </x:row>
    <x:row r="151" s="20" customFormat="1">
      <x:c r="A151" s="20">
        <x:v>265</x:v>
      </x:c>
      <x:c r="B151" s="7"/>
      <x:c r="C151" s="8"/>
      <x:c r="D151" s="21"/>
      <x:c r="E151" s="24" t="s">
        <x:v>166</x:v>
      </x:c>
      <x:c r="F151" s="31">
        <x:v>0.00</x:v>
      </x:c>
      <x:c r="G151" s="31">
        <x:v>0.00</x:v>
      </x:c>
      <x:c r="H151" s="31">
        <x:v>0.00</x:v>
      </x:c>
      <x:c r="I151" s="31">
        <x:v>0.00</x:v>
      </x:c>
      <x:c r="J151" s="31">
        <x:v>0.00</x:v>
      </x:c>
      <x:c r="K151" s="31">
        <x:f>SUM(F151:J151)</x:f>
        <x:v>0.00</x:v>
      </x:c>
      <x:c r="L151" s="31"/>
      <x:c r="M151" s="31"/>
      <x:c r="N151" s="31"/>
      <x:c r="O151" s="31"/>
      <x:c r="P151" s="31"/>
      <x:c r="Q151" s="31"/>
      <x:c r="R151" s="19"/>
      <x:c r="S151" s="41"/>
    </x:row>
    <x:row r="152" s="20" customFormat="1">
      <x:c r="A152" s="20">
        <x:v>266</x:v>
      </x:c>
      <x:c r="B152" s="7"/>
      <x:c r="C152" s="8"/>
      <x:c r="D152" s="21"/>
      <x:c r="E152" s="24" t="s">
        <x:v>167</x:v>
      </x:c>
      <x:c r="F152" s="31">
        <x:v>0.00</x:v>
      </x:c>
      <x:c r="G152" s="31">
        <x:v>0.00</x:v>
      </x:c>
      <x:c r="H152" s="31">
        <x:v>0.00</x:v>
      </x:c>
      <x:c r="I152" s="31">
        <x:v>0.00</x:v>
      </x:c>
      <x:c r="J152" s="31">
        <x:v>0.00</x:v>
      </x:c>
      <x:c r="K152" s="31">
        <x:f>SUM(F152:J152)</x:f>
        <x:v>0.00</x:v>
      </x:c>
      <x:c r="L152" s="31"/>
      <x:c r="M152" s="31"/>
      <x:c r="N152" s="31"/>
      <x:c r="O152" s="31"/>
      <x:c r="P152" s="31"/>
      <x:c r="Q152" s="31"/>
      <x:c r="R152" s="19"/>
      <x:c r="S152" s="41"/>
    </x:row>
    <x:row r="153" s="20" customFormat="1">
      <x:c r="A153" s="20">
        <x:v>267</x:v>
      </x:c>
      <x:c r="B153" s="7"/>
      <x:c r="C153" s="8"/>
      <x:c r="D153" s="21"/>
      <x:c r="E153" s="24" t="s">
        <x:v>168</x:v>
      </x:c>
      <x:c r="F153" s="31">
        <x:v>47837934.00</x:v>
      </x:c>
      <x:c r="G153" s="31">
        <x:v>0.00</x:v>
      </x:c>
      <x:c r="H153" s="31">
        <x:v>980940.00</x:v>
      </x:c>
      <x:c r="I153" s="31">
        <x:v>1262496.00</x:v>
      </x:c>
      <x:c r="J153" s="31">
        <x:v>5554992.00</x:v>
      </x:c>
      <x:c r="K153" s="31">
        <x:f>SUM(F153:J153)</x:f>
        <x:v>55636362.00</x:v>
      </x:c>
      <x:c r="L153" s="31">
        <x:v>4396664.46</x:v>
      </x:c>
      <x:c r="M153" s="31"/>
      <x:c r="N153" s="31">
        <x:v>55041.992472523466868965406328501445</x:v>
      </x:c>
      <x:c r="O153" s="31">
        <x:v>97737.768339735991919008161611026099</x:v>
      </x:c>
      <x:c r="P153" s="31">
        <x:v>1862095.919187740541212026432058457580</x:v>
      </x:c>
      <x:c r="Q153" s="31">
        <x:f>N153+O153+P153</x:f>
        <x:v>2014875.68</x:v>
      </x:c>
      <x:c r="R153" s="19">
        <x:f>SUM(L153:P153)</x:f>
        <x:v>6411540.14</x:v>
      </x:c>
      <x:c r="S153" s="41">
        <x:f>IF(K153=0,0,R153/K153)</x:f>
        <x:v>0.115240103944970377</x:v>
      </x:c>
    </x:row>
    <x:row r="154" s="20" customFormat="1">
      <x:c r="A154" s="20">
        <x:v>268</x:v>
      </x:c>
      <x:c r="B154" s="7"/>
      <x:c r="C154" s="8"/>
      <x:c r="D154" s="21"/>
      <x:c r="E154" s="24" t="s">
        <x:v>169</x:v>
      </x:c>
      <x:c r="F154" s="31">
        <x:v>0.00</x:v>
      </x:c>
      <x:c r="G154" s="31">
        <x:v>0.00</x:v>
      </x:c>
      <x:c r="H154" s="31">
        <x:v>0.00</x:v>
      </x:c>
      <x:c r="I154" s="31">
        <x:v>0.00</x:v>
      </x:c>
      <x:c r="J154" s="31">
        <x:v>0.00</x:v>
      </x:c>
      <x:c r="K154" s="31">
        <x:f>SUM(F154:J154)</x:f>
        <x:v>0.00</x:v>
      </x:c>
      <x:c r="L154" s="31"/>
      <x:c r="M154" s="31"/>
      <x:c r="N154" s="31"/>
      <x:c r="O154" s="31"/>
      <x:c r="P154" s="31"/>
      <x:c r="Q154" s="31"/>
      <x:c r="R154" s="19"/>
      <x:c r="S154" s="41"/>
    </x:row>
    <x:row r="155" s="20" customFormat="1">
      <x:c r="A155" s="20">
        <x:v>274</x:v>
      </x:c>
      <x:c r="B155" s="7"/>
      <x:c r="C155" s="8"/>
      <x:c r="D155" s="21"/>
      <x:c r="E155" s="24" t="s">
        <x:v>170</x:v>
      </x:c>
      <x:c r="F155" s="31">
        <x:v>0.00</x:v>
      </x:c>
      <x:c r="G155" s="31">
        <x:v>0.00</x:v>
      </x:c>
      <x:c r="H155" s="31">
        <x:v>0.00</x:v>
      </x:c>
      <x:c r="I155" s="31">
        <x:v>0.00</x:v>
      </x:c>
      <x:c r="J155" s="31">
        <x:v>0.00</x:v>
      </x:c>
      <x:c r="K155" s="31">
        <x:f>SUM(F155:J155)</x:f>
        <x:v>0.00</x:v>
      </x:c>
      <x:c r="L155" s="31"/>
      <x:c r="M155" s="31"/>
      <x:c r="N155" s="31"/>
      <x:c r="O155" s="31"/>
      <x:c r="P155" s="31"/>
      <x:c r="Q155" s="31"/>
      <x:c r="R155" s="19"/>
      <x:c r="S155" s="41"/>
    </x:row>
    <x:row r="156" s="20" customFormat="1">
      <x:c r="A156" s="20">
        <x:v>275</x:v>
      </x:c>
      <x:c r="B156" s="7"/>
      <x:c r="C156" s="8"/>
      <x:c r="D156" s="21"/>
      <x:c r="E156" s="24" t="s">
        <x:v>171</x:v>
      </x:c>
      <x:c r="F156" s="31">
        <x:v>0.00</x:v>
      </x:c>
      <x:c r="G156" s="31">
        <x:v>0.00</x:v>
      </x:c>
      <x:c r="H156" s="31">
        <x:v>0.00</x:v>
      </x:c>
      <x:c r="I156" s="31">
        <x:v>0.00</x:v>
      </x:c>
      <x:c r="J156" s="31">
        <x:v>0.00</x:v>
      </x:c>
      <x:c r="K156" s="31">
        <x:f>SUM(F156:J156)</x:f>
        <x:v>0.00</x:v>
      </x:c>
      <x:c r="L156" s="31"/>
      <x:c r="M156" s="31"/>
      <x:c r="N156" s="31"/>
      <x:c r="O156" s="31"/>
      <x:c r="P156" s="31"/>
      <x:c r="Q156" s="31"/>
      <x:c r="R156" s="19"/>
      <x:c r="S156" s="41"/>
    </x:row>
    <x:row r="157" s="20" customFormat="1">
      <x:c r="A157" s="20">
        <x:v>276</x:v>
      </x:c>
      <x:c r="B157" s="7"/>
      <x:c r="C157" s="8"/>
      <x:c r="D157" s="21"/>
      <x:c r="E157" s="24" t="s">
        <x:v>172</x:v>
      </x:c>
      <x:c r="F157" s="31">
        <x:v>239774142.00</x:v>
      </x:c>
      <x:c r="G157" s="31">
        <x:v>0.00</x:v>
      </x:c>
      <x:c r="H157" s="31">
        <x:v>4916685.00</x:v>
      </x:c>
      <x:c r="I157" s="31">
        <x:v>6327902.00</x:v>
      </x:c>
      <x:c r="J157" s="31">
        <x:v>27842830.00</x:v>
      </x:c>
      <x:c r="K157" s="31">
        <x:f>SUM(F157:J157)</x:f>
        <x:v>278861559.00</x:v>
      </x:c>
      <x:c r="L157" s="31">
        <x:v>101762286.65000001</x:v>
      </x:c>
      <x:c r="M157" s="31"/>
      <x:c r="N157" s="31">
        <x:v>1244182.166959896031852816665079605789</x:v>
      </x:c>
      <x:c r="O157" s="31">
        <x:v>2209287.544731608484271579001290374146</x:v>
      </x:c>
      <x:c r="P157" s="31">
        <x:v>42091254.908308492483875604333584475339</x:v>
      </x:c>
      <x:c r="Q157" s="31">
        <x:f>N157+O157+P157</x:f>
        <x:v>45544724.619999997</x:v>
      </x:c>
      <x:c r="R157" s="19">
        <x:f>SUM(L157:P157)</x:f>
        <x:v>147307011.270000007</x:v>
      </x:c>
      <x:c r="S157" s="41">
        <x:f>IF(K157=0,0,R157/K157)</x:f>
        <x:v>0.528244236309386791</x:v>
      </x:c>
      <x:c r="T157" s="58"/>
      <x:c r="V157" s="50"/>
    </x:row>
    <x:row r="158" s="20" customFormat="1">
      <x:c r="A158" s="20">
        <x:v>277</x:v>
      </x:c>
      <x:c r="B158" s="7"/>
      <x:c r="C158" s="8"/>
      <x:c r="D158" s="21"/>
      <x:c r="E158" s="24" t="s">
        <x:v>173</x:v>
      </x:c>
      <x:c r="F158" s="31">
        <x:v>0.00</x:v>
      </x:c>
      <x:c r="G158" s="31">
        <x:v>0.00</x:v>
      </x:c>
      <x:c r="H158" s="31">
        <x:v>0.00</x:v>
      </x:c>
      <x:c r="I158" s="31">
        <x:v>0.00</x:v>
      </x:c>
      <x:c r="J158" s="31">
        <x:v>0.00</x:v>
      </x:c>
      <x:c r="K158" s="31">
        <x:f>SUM(F158:J158)</x:f>
        <x:v>0.00</x:v>
      </x:c>
      <x:c r="L158" s="31"/>
      <x:c r="M158" s="31"/>
      <x:c r="N158" s="31"/>
      <x:c r="O158" s="31"/>
      <x:c r="P158" s="31"/>
      <x:c r="Q158" s="31"/>
      <x:c r="R158" s="19"/>
      <x:c r="S158" s="41"/>
    </x:row>
    <x:row r="159" s="20" customFormat="1">
      <x:c r="A159" s="20">
        <x:v>278</x:v>
      </x:c>
      <x:c r="B159" s="7"/>
      <x:c r="C159" s="8"/>
      <x:c r="D159" s="21"/>
      <x:c r="E159" s="24" t="s">
        <x:v>174</x:v>
      </x:c>
      <x:c r="F159" s="31">
        <x:v>0.00</x:v>
      </x:c>
      <x:c r="G159" s="31">
        <x:v>0.00</x:v>
      </x:c>
      <x:c r="H159" s="31">
        <x:v>0.00</x:v>
      </x:c>
      <x:c r="I159" s="31">
        <x:v>0.00</x:v>
      </x:c>
      <x:c r="J159" s="31">
        <x:v>0.00</x:v>
      </x:c>
      <x:c r="K159" s="31">
        <x:f>SUM(F159:J159)</x:f>
        <x:v>0.00</x:v>
      </x:c>
      <x:c r="L159" s="31"/>
      <x:c r="M159" s="31"/>
      <x:c r="N159" s="31"/>
      <x:c r="O159" s="31"/>
      <x:c r="P159" s="31"/>
      <x:c r="Q159" s="31"/>
      <x:c r="R159" s="19"/>
      <x:c r="S159" s="41"/>
    </x:row>
    <x:row r="160" s="20" customFormat="1">
      <x:c r="A160" s="20">
        <x:v>279</x:v>
      </x:c>
      <x:c r="B160" s="7"/>
      <x:c r="C160" s="8"/>
      <x:c r="D160" s="21"/>
      <x:c r="E160" s="24" t="s">
        <x:v>175</x:v>
      </x:c>
      <x:c r="F160" s="31">
        <x:v>0.00</x:v>
      </x:c>
      <x:c r="G160" s="31">
        <x:v>0.00</x:v>
      </x:c>
      <x:c r="H160" s="31">
        <x:v>0.00</x:v>
      </x:c>
      <x:c r="I160" s="31">
        <x:v>0.00</x:v>
      </x:c>
      <x:c r="J160" s="31">
        <x:v>0.00</x:v>
      </x:c>
      <x:c r="K160" s="31">
        <x:f>SUM(F160:J160)</x:f>
        <x:v>0.00</x:v>
      </x:c>
      <x:c r="L160" s="31"/>
      <x:c r="M160" s="31"/>
      <x:c r="N160" s="31"/>
      <x:c r="O160" s="31"/>
      <x:c r="P160" s="31"/>
      <x:c r="Q160" s="31"/>
      <x:c r="R160" s="19"/>
      <x:c r="S160" s="41"/>
    </x:row>
    <x:row r="161" s="23" customFormat="1">
      <x:c r="B161" s="12">
        <x:v>23</x:v>
      </x:c>
      <x:c r="C161" s="8" t="s">
        <x:v>34</x:v>
      </x:c>
      <x:c r="D161" s="14"/>
      <x:c r="E161" s="15" t="s">
        <x:v>176</x:v>
      </x:c>
      <x:c r="F161" s="32">
        <x:f>SUM(F146:F160)</x:f>
        <x:v>706809907.00</x:v>
      </x:c>
      <x:c r="G161" s="32">
        <x:f>SUM(G146:G160)</x:f>
        <x:v>0.00</x:v>
      </x:c>
      <x:c r="H161" s="32">
        <x:f>SUM(H146:H160)</x:f>
        <x:v>14493480.00</x:v>
      </x:c>
      <x:c r="I161" s="32">
        <x:f>SUM(I146:I160)</x:f>
        <x:v>18653488.00</x:v>
      </x:c>
      <x:c r="J161" s="32">
        <x:f>SUM(J146:J160)</x:f>
        <x:v>82075523.00</x:v>
      </x:c>
      <x:c r="K161" s="32">
        <x:f>SUM(K146:K160)</x:f>
        <x:v>822032398.00</x:v>
      </x:c>
      <x:c r="L161" s="32">
        <x:f>SUM(L146:L160)</x:f>
        <x:v>334702420.32000001</x:v>
      </x:c>
      <x:c r="M161" s="32"/>
      <x:c r="N161" s="32">
        <x:f>SUM(N146:N160)</x:f>
        <x:v>3997563.626131241964206483663413594171</x:v>
      </x:c>
      <x:c r="O161" s="32">
        <x:f>SUM(O146:O160)</x:f>
        <x:v>7098452.110163184281827794377020620836</x:v>
      </x:c>
      <x:c r="P161" s="32">
        <x:f>SUM(P146:P160)</x:f>
        <x:v>135239415.953705572553965721959419449554</x:v>
      </x:c>
      <x:c r="Q161" s="32">
        <x:f>SUM(Q146:Q160)</x:f>
        <x:v>146335431.6899999988</x:v>
      </x:c>
      <x:c r="R161" s="16">
        <x:f>SUM(R146:R160)</x:f>
        <x:v>481037852.0100000088</x:v>
      </x:c>
      <x:c r="S161" s="41">
        <x:f>IF(K161=0,0,R161/K161)</x:f>
        <x:v>0.585181135415541138</x:v>
      </x:c>
    </x:row>
    <x:row r="162" s="20" customFormat="1">
      <x:c r="B162" s="7"/>
      <x:c r="C162" s="8"/>
      <x:c r="D162" s="21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19"/>
      <x:c r="S162" s="42"/>
    </x:row>
    <x:row r="163" s="23" customFormat="1">
      <x:c r="B163" s="12"/>
      <x:c r="C163" s="8" t="s">
        <x:v>34</x:v>
      </x:c>
      <x:c r="D163" s="14"/>
      <x:c r="E163" s="15" t="s">
        <x:v>177</x:v>
      </x:c>
      <x:c r="F163" s="32">
        <x:f>SUM(F53,F143,F161)</x:f>
        <x:v>11274418048.00</x:v>
      </x:c>
      <x:c r="G163" s="32">
        <x:f>SUM(G53,G143,G161)</x:f>
        <x:v>0.00</x:v>
      </x:c>
      <x:c r="H163" s="32">
        <x:f>SUM(H53,H143,H161)</x:f>
        <x:v>231187392.00</x:v>
      </x:c>
      <x:c r="I163" s="32">
        <x:f>SUM(I53,I143,I161)</x:f>
        <x:v>297544254.00</x:v>
      </x:c>
      <x:c r="J163" s="32">
        <x:f>SUM(J53,J143,J161)</x:f>
        <x:v>1309197494.00</x:v>
      </x:c>
      <x:c r="K163" s="32">
        <x:f>SUM(K53,K143,K161)</x:f>
        <x:v>13112347188.00</x:v>
      </x:c>
      <x:c r="L163" s="32">
        <x:f>SUM(L53,L143,L161)</x:f>
        <x:v>4921593243.7500000786</x:v>
      </x:c>
      <x:c r="M163" s="32"/>
      <x:c r="N163" s="32">
        <x:f>SUM(N53,N143,N161)</x:f>
        <x:v>60640233.389483204073457130165800051808</x:v>
      </x:c>
      <x:c r="O163" s="32">
        <x:f>SUM(O53,O143,O161)</x:f>
        <x:v>107678534.457986158476013554079252700973</x:v>
      </x:c>
      <x:c r="P163" s="32">
        <x:f>SUM(P53,P143,P161)</x:f>
        <x:v>2051486984.042530657750529315752727441418</x:v>
      </x:c>
      <x:c r="Q163" s="32">
        <x:f>SUM(Q53,Q143,Q161)</x:f>
        <x:v>2219805751.8900000203</x:v>
      </x:c>
      <x:c r="R163" s="16">
        <x:f>SUM(R161,R143,R53)</x:f>
        <x:v>7141398995.6400000989</x:v>
      </x:c>
      <x:c r="S163" s="41">
        <x:f>IF(K163=0,0,R163/K163)</x:f>
        <x:v>0.544631627980044612</x:v>
      </x:c>
    </x:row>
    <x:row r="164" s="20" customFormat="1">
      <x:c r="B164" s="7"/>
      <x:c r="C164" s="8"/>
      <x:c r="D164" s="21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19"/>
      <x:c r="S164" s="42"/>
    </x:row>
    <x:row r="165" s="23" customFormat="1">
      <x:c r="A165" s="23">
        <x:v>0</x:v>
      </x:c>
      <x:c r="B165" s="12">
        <x:v>25</x:v>
      </x:c>
      <x:c r="C165" s="8" t="s">
        <x:v>27</x:v>
      </x:c>
      <x:c r="D165" s="14" t="s">
        <x:v>178</x:v>
      </x:c>
      <x:c r="E165" s="15"/>
      <x:c r="F165" s="15">
        <x:v>0.00</x:v>
      </x:c>
      <x:c r="G165" s="15">
        <x:v>0.00</x:v>
      </x:c>
      <x:c r="H165" s="15">
        <x:v>0.00</x:v>
      </x:c>
      <x:c r="I165" s="15">
        <x:v>0.00</x:v>
      </x:c>
      <x:c r="J165" s="15">
        <x:v>0.00</x:v>
      </x:c>
      <x:c r="K165" s="15">
        <x:v>0.00</x:v>
      </x:c>
      <x:c r="L165" s="32">
        <x:v>2711823.00</x:v>
      </x:c>
      <x:c r="M165" s="15"/>
      <x:c r="N165" s="15">
        <x:v>340174.941694598767095126025273072880</x:v>
      </x:c>
      <x:c r="O165" s="15">
        <x:v>604046.804136441906978299355105865396</x:v>
      </x:c>
      <x:c r="P165" s="15">
        <x:v>11508274.724168959325926574619608609226</x:v>
      </x:c>
      <x:c r="Q165" s="32">
        <x:f>N165+O165+P165</x:f>
        <x:v>12452496.47</x:v>
      </x:c>
      <x:c r="R165" s="16">
        <x:f>SUM(L165:P165)</x:f>
        <x:v>15164319.47</x:v>
      </x:c>
      <x:c r="S165" s="43">
        <x:v>0.00</x:v>
      </x:c>
      <x:c r="T165" s="54"/>
    </x:row>
    <x:row r="166" s="20" customFormat="1">
      <x:c r="B166" s="7"/>
      <x:c r="C166" s="8"/>
      <x:c r="D166" s="21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19"/>
      <x:c r="S166" s="42"/>
    </x:row>
    <x:row r="167" s="23" customFormat="1">
      <x:c r="B167" s="12"/>
      <x:c r="C167" s="8" t="s">
        <x:v>27</x:v>
      </x:c>
      <x:c r="D167" s="14" t="s">
        <x:v>179</x:v>
      </x:c>
      <x:c r="E167" s="15"/>
      <x:c r="F167" s="32">
        <x:f>F24+F26-F163+F165</x:f>
        <x:v>-11274418048.00</x:v>
      </x:c>
      <x:c r="G167" s="32">
        <x:f>G24+G26-G163+G165</x:f>
        <x:v>0.00</x:v>
      </x:c>
      <x:c r="H167" s="32">
        <x:f>H24+H26-H163+H165</x:f>
        <x:v>-231187392.00</x:v>
      </x:c>
      <x:c r="I167" s="32">
        <x:f>I24+I26-I163+I165</x:f>
        <x:v>-297544254.00</x:v>
      </x:c>
      <x:c r="J167" s="32">
        <x:f>J24+J26-J163+J165</x:f>
        <x:v>-1309197494.00</x:v>
      </x:c>
      <x:c r="K167" s="32">
        <x:f>K24+K26-K163+K165</x:f>
        <x:v>-13112347188.00</x:v>
      </x:c>
      <x:c r="L167" s="32">
        <x:f>L24+L26-L163+L165</x:f>
        <x:v>-4918881420.7500000786</x:v>
      </x:c>
      <x:c r="M167" s="32"/>
      <x:c r="N167" s="32">
        <x:f>N24+N26-N163+N165</x:f>
        <x:v>-60300058.447788605306362004140526978928</x:v>
      </x:c>
      <x:c r="O167" s="32">
        <x:f>O24+O26-O163+O165</x:f>
        <x:v>-107074487.653849716569035254724146835577</x:v>
      </x:c>
      <x:c r="P167" s="32">
        <x:f>P24+P26-P163+P165</x:f>
        <x:v>-2039978709.318361698424602741133118832192</x:v>
      </x:c>
      <x:c r="Q167" s="32">
        <x:f>Q24+Q26-Q163+Q165</x:f>
        <x:v>-2207353255.4200000203</x:v>
      </x:c>
      <x:c r="R167" s="32">
        <x:f>R24+R26-R163+R165</x:f>
        <x:v>-7126234676.1700000989</x:v>
      </x:c>
      <x:c r="S167" s="41">
        <x:f>IF(K167=0,0,R167/K167)</x:f>
        <x:v>0.543475136373120270</x:v>
      </x:c>
    </x:row>
    <x:row r="168" s="7" customFormat="1">
      <x:c r="C168" s="8"/>
      <x:c r="D168" s="25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7"/>
      <x:c r="S168" s="44"/>
    </x:row>
    <x:row r="169">
      <x:c r="F169"/>
      <x:c r="G169"/>
      <x:c r="H169"/>
      <x:c r="I169"/>
      <x:c r="J169"/>
      <x:c r="K169" s="48"/>
      <x:c r="L169"/>
      <x:c r="M169"/>
      <x:c r="N169"/>
      <x:c r="O169"/>
      <x:c r="P169"/>
      <x:c r="Q169"/>
      <x:c r="R169"/>
      <x:c r="S169"/>
    </x:row>
    <x:row r="170"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</x:row>
    <x:row r="171"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</x:row>
    <x:row r="172"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</x:row>
    <x:row r="173"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</x:row>
    <x:row r="174"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</x:row>
    <x:row r="175"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</x:row>
    <x:row r="176"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</x:row>
  </x:sheetData>
  <x:mergeCells>
    <x:mergeCell ref="D5:E7"/>
    <x:mergeCell ref="F5:K5"/>
    <x:mergeCell ref="L5:R5"/>
  </x:mergeCells>
  <x:conditionalFormatting sqref="A1:A1048576">
    <x:cfRule type="duplicateValues" dxfId="68" priority="15"/>
  </x:conditionalFormatting>
  <x:conditionalFormatting sqref="D8:R168">
    <x:cfRule type="expression" dxfId="67" priority="14">
      <x:formula>IF(MOD(ROW(),2)=0,TRUE,FALSE)</x:formula>
    </x:cfRule>
  </x:conditionalFormatting>
  <x:conditionalFormatting sqref="D9:S167">
    <x:cfRule type="expression" dxfId="66" priority="7">
      <x:formula>IF($C9="Y2",1,0)</x:formula>
    </x:cfRule>
    <x:cfRule type="expression" dxfId="65" priority="8">
      <x:formula>IF($C9="X2",1,0)</x:formula>
    </x:cfRule>
    <x:cfRule type="expression" dxfId="64" priority="9">
      <x:formula>IF($C9="X1",1,0)</x:formula>
    </x:cfRule>
  </x:conditionalFormatting>
  <x:conditionalFormatting sqref="S8:S167">
    <x:cfRule type="expression" dxfId="63" priority="10">
      <x:formula>IF(MOD(ROW(),2)=0,TRUE,FALSE)</x:formula>
    </x:cfRule>
  </x:conditionalFormatting>
  <x:conditionalFormatting sqref="S9:S9">
    <x:cfRule type="cellIs" dxfId="62" priority="1" operator="greaterThan">
      <x:formula>1</x:formula>
    </x:cfRule>
  </x:conditionalFormatting>
  <x:conditionalFormatting sqref="S12:S15">
    <x:cfRule type="cellIs" dxfId="61" priority="2" operator="greaterThan">
      <x:formula>1</x:formula>
    </x:cfRule>
  </x:conditionalFormatting>
  <x:conditionalFormatting sqref="S18:S22">
    <x:cfRule type="cellIs" dxfId="60" priority="3" operator="greaterThan">
      <x:formula>1</x:formula>
    </x:cfRule>
  </x:conditionalFormatting>
  <x:conditionalFormatting sqref="S24:S24">
    <x:cfRule type="cellIs" dxfId="59" priority="5" operator="greaterThan">
      <x:formula>1</x:formula>
    </x:cfRule>
  </x:conditionalFormatting>
  <x:conditionalFormatting sqref="S30:S163">
    <x:cfRule type="cellIs" dxfId="58" priority="6" operator="greaterThan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theme="7" tint="0.79998"/>
  </x:sheetPr>
  <x:sheetViews>
    <x:sheetView showGridLines="0" workbookViewId="0">
      <x:pane xSplit="5" ySplit="7" topLeftCell="F8" activePane="bottomRight" state="frozen"/>
    </x:sheetView>
  </x:sheetViews>
  <x:sheetFormatPr defaultColWidth="8.85546875" defaultRowHeight="16.5"/>
  <x:cols>
    <x:col min="1" max="1" width="9" style="1" hidden="1" customWidth="1"/>
    <x:col min="2" max="2" width="3.85546875" style="1" hidden="1" customWidth="1"/>
    <x:col min="3" max="3" width="12" style="2" hidden="1" customWidth="1"/>
    <x:col min="4" max="4" width="4" style="1" customWidth="1"/>
    <x:col min="5" max="5" width="66.140625" style="1" customWidth="1"/>
    <x:col min="6" max="6" width="26.28515625" style="1" customWidth="1"/>
    <x:col min="7" max="7" width="22.28515625" style="1" customWidth="1"/>
    <x:col min="8" max="8" width="26.28515625" style="1" customWidth="1"/>
    <x:col min="9" max="9" width="23.5703125" style="1" customWidth="1"/>
    <x:col min="10" max="10" width="26.28515625" style="1" customWidth="1"/>
    <x:col min="11" max="11" width="27.5703125" style="1" customWidth="1"/>
    <x:col min="12" max="12" width="26.28515625" style="1" customWidth="1"/>
    <x:col min="13" max="13" width="22.28515625" style="1" customWidth="1"/>
    <x:col min="14" max="14" width="22.28515625" style="1" customWidth="1"/>
    <x:col min="15" max="15" width="26.28515625" style="1" customWidth="1"/>
    <x:col min="16" max="16" width="22.28515625" style="1" customWidth="1"/>
    <x:col min="17" max="17" width="26.28515625" style="1" customWidth="1"/>
    <x:col min="18" max="18" width="27.5703125" style="3" customWidth="1"/>
    <x:col min="19" max="19" width="10" style="1" customWidth="1"/>
    <x:col min="20" max="20" width="18.28515625" style="1" customWidth="1"/>
    <x:col min="21" max="16384" width="8.85546875" style="1" customWidth="0"/>
  </x:cols>
  <x:sheetData>
    <x:row r="1">
      <x:c r="D1" s="1" t="s">
        <x:v>0</x:v>
      </x:c>
    </x:row>
    <x:row r="2">
      <x:c r="D2" s="1" t="inlineStr">
        <x:is>
          <x:t>LABA RUGI RKA TAHUN 2026</x:t>
        </x:is>
      </x:c>
    </x:row>
    <x:row r="4" s="2" customFormat="1" ht="16.5" hidden="1" customHeight="1">
      <x:c r="R4" s="4"/>
    </x:row>
    <x:row r="5" s="5" customFormat="1" ht="33" customHeight="1">
      <x:c r="C5" s="6"/>
      <x:c r="D5" s="67" t="s">
        <x:v>2</x:v>
      </x:c>
      <x:c r="E5" s="67"/>
      <x:c r="F5" s="69" t="s">
        <x:v>182</x:v>
      </x:c>
      <x:c r="G5" s="70"/>
      <x:c r="H5" s="70"/>
      <x:c r="I5" s="70"/>
      <x:c r="J5" s="70"/>
      <x:c r="K5" s="71"/>
      <x:c r="L5" s="70" t="s">
        <x:v>183</x:v>
      </x:c>
      <x:c r="M5" s="70"/>
      <x:c r="N5" s="70"/>
      <x:c r="O5" s="70"/>
      <x:c r="P5" s="70"/>
      <x:c r="Q5" s="70"/>
      <x:c r="R5" s="72"/>
      <x:c r="S5" s="30" t="s">
        <x:v>5</x:v>
      </x:c>
    </x:row>
    <x:row r="6" s="5" customFormat="1">
      <x:c r="C6" s="6"/>
      <x:c r="D6" s="68"/>
      <x:c r="E6" s="68"/>
      <x:c r="F6" s="29" t="s">
        <x:v>6</x:v>
      </x:c>
      <x:c r="G6" s="29" t="s">
        <x:v>7</x:v>
      </x:c>
      <x:c r="H6" s="29" t="s">
        <x:v>8</x:v>
      </x:c>
      <x:c r="I6" s="29" t="s">
        <x:v>9</x:v>
      </x:c>
      <x:c r="J6" s="29" t="s">
        <x:v>10</x:v>
      </x:c>
      <x:c r="K6" s="29" t="s">
        <x:v>11</x:v>
      </x:c>
      <x:c r="L6" s="29" t="s">
        <x:v>6</x:v>
      </x:c>
      <x:c r="M6" s="29" t="s">
        <x:v>7</x:v>
      </x:c>
      <x:c r="N6" s="29" t="s">
        <x:v>8</x:v>
      </x:c>
      <x:c r="O6" s="29" t="s">
        <x:v>9</x:v>
      </x:c>
      <x:c r="P6" s="29" t="s">
        <x:v>10</x:v>
      </x:c>
      <x:c r="Q6" s="29" t="s">
        <x:v>12</x:v>
      </x:c>
      <x:c r="R6" s="29" t="s">
        <x:v>11</x:v>
      </x:c>
      <x:c r="S6" s="29" t="s">
        <x:v>5</x:v>
      </x:c>
    </x:row>
    <x:row r="7">
      <x:c r="D7" s="68"/>
      <x:c r="E7" s="68"/>
      <x:c r="F7" s="29" t="s">
        <x:v>13</x:v>
      </x:c>
      <x:c r="G7" s="29" t="s">
        <x:v>14</x:v>
      </x:c>
      <x:c r="H7" s="29" t="s">
        <x:v>15</x:v>
      </x:c>
      <x:c r="I7" s="29" t="s">
        <x:v>16</x:v>
      </x:c>
      <x:c r="J7" s="29" t="s">
        <x:v>17</x:v>
      </x:c>
      <x:c r="K7" s="29" t="s">
        <x:v>18</x:v>
      </x:c>
      <x:c r="L7" s="29" t="s">
        <x:v>19</x:v>
      </x:c>
      <x:c r="M7" s="29" t="s">
        <x:v>20</x:v>
      </x:c>
      <x:c r="N7" s="29" t="s">
        <x:v>21</x:v>
      </x:c>
      <x:c r="O7" s="29" t="s">
        <x:v>22</x:v>
      </x:c>
      <x:c r="P7" s="29" t="s">
        <x:v>23</x:v>
      </x:c>
      <x:c r="Q7" s="29" t="s">
        <x:v>24</x:v>
      </x:c>
      <x:c r="R7" s="29" t="s">
        <x:v>25</x:v>
      </x:c>
      <x:c r="S7" s="29" t="s">
        <x:v>26</x:v>
      </x:c>
    </x:row>
    <x:row r="8" s="7" customFormat="1">
      <x:c r="C8" s="8"/>
      <x:c r="D8" s="9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1"/>
      <x:c r="S8" s="11"/>
    </x:row>
    <x:row r="9" s="12" customFormat="1">
      <x:c r="C9" s="13" t="s">
        <x:v>27</x:v>
      </x:c>
      <x:c r="D9" s="14" t="s">
        <x:v>28</x:v>
      </x:c>
      <x:c r="E9" s="15"/>
      <x:c r="F9" s="32">
        <x:v>9912949637720.00</x:v>
      </x:c>
      <x:c r="G9" s="32">
        <x:v>0.00</x:v>
      </x:c>
      <x:c r="H9" s="32">
        <x:v>3913532224491.00</x:v>
      </x:c>
      <x:c r="I9" s="32">
        <x:v>974545539188.00</x:v>
      </x:c>
      <x:c r="J9" s="32">
        <x:v>2361265957530.00</x:v>
      </x:c>
      <x:c r="K9" s="32">
        <x:f>SUM(F9:J9)</x:f>
        <x:v>17162293358929.00</x:v>
      </x:c>
      <x:c r="L9" s="32"/>
      <x:c r="M9" s="32"/>
      <x:c r="N9" s="32"/>
      <x:c r="O9" s="32"/>
      <x:c r="P9" s="32"/>
      <x:c r="Q9" s="32"/>
      <x:c r="R9" s="16"/>
      <x:c r="S9" s="37"/>
    </x:row>
    <x:row r="10" s="7" customFormat="1">
      <x:c r="C10" s="8"/>
      <x:c r="D10" s="17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9"/>
      <x:c r="S10" s="19"/>
    </x:row>
    <x:row r="11" s="12" customFormat="1">
      <x:c r="C11" s="13" t="s">
        <x:v>29</x:v>
      </x:c>
      <x:c r="D11" s="14" t="s">
        <x:v>30</x:v>
      </x:c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6"/>
      <x:c r="S11" s="16"/>
    </x:row>
    <x:row r="12" s="20" customFormat="1">
      <x:c r="A12" s="20">
        <x:v>7</x:v>
      </x:c>
      <x:c r="B12" s="7">
        <x:v>8</x:v>
      </x:c>
      <x:c r="C12" s="8"/>
      <x:c r="D12" s="21"/>
      <x:c r="E12" s="22" t="s">
        <x:v>31</x:v>
      </x:c>
      <x:c r="F12" s="33">
        <x:v>358429774172.00</x:v>
      </x:c>
      <x:c r="G12" s="33">
        <x:v>0.00</x:v>
      </x:c>
      <x:c r="H12" s="33">
        <x:v>12754022487.00</x:v>
      </x:c>
      <x:c r="I12" s="33">
        <x:v>9459354711.00</x:v>
      </x:c>
      <x:c r="J12" s="33">
        <x:v>42658164985.00</x:v>
      </x:c>
      <x:c r="K12" s="33">
        <x:f>SUM(F12:J12)</x:f>
        <x:v>423301316355.00</x:v>
      </x:c>
      <x:c r="L12" s="33">
        <x:v>190514059218.8099986</x:v>
      </x:c>
      <x:c r="M12" s="33"/>
      <x:c r="N12" s="33">
        <x:v>4527969683.39999970002</x:v>
      </x:c>
      <x:c r="O12" s="33">
        <x:v>4200454738.7199999687</x:v>
      </x:c>
      <x:c r="P12" s="33">
        <x:v>65806040512.970001001</x:v>
      </x:c>
      <x:c r="Q12" s="33">
        <x:f>N12+O12+P12</x:f>
        <x:v>74534464935.09000066972</x:v>
      </x:c>
      <x:c r="R12" s="19">
        <x:f>SUM(L12:P12)</x:f>
        <x:v>265048524153.89999926972</x:v>
      </x:c>
      <x:c r="S12" s="37">
        <x:f>IF(K12=0,0,R12/K12)</x:f>
        <x:v>0.626146231805284741</x:v>
      </x:c>
    </x:row>
    <x:row r="13" s="20" customFormat="1">
      <x:c r="A13" s="20">
        <x:v>12</x:v>
      </x:c>
      <x:c r="B13" s="7">
        <x:v>10</x:v>
      </x:c>
      <x:c r="C13" s="8"/>
      <x:c r="D13" s="21"/>
      <x:c r="E13" s="22" t="s">
        <x:v>32</x:v>
      </x:c>
      <x:c r="F13" s="33">
        <x:v>0.00</x:v>
      </x:c>
      <x:c r="G13" s="33">
        <x:v>0.00</x:v>
      </x:c>
      <x:c r="H13" s="33">
        <x:v>0.00</x:v>
      </x:c>
      <x:c r="I13" s="33">
        <x:v>0.00</x:v>
      </x:c>
      <x:c r="J13" s="33">
        <x:v>0.00</x:v>
      </x:c>
      <x:c r="K13" s="33">
        <x:f>SUM(F13:J13)</x:f>
        <x:v>0.00</x:v>
      </x:c>
      <x:c r="L13" s="33"/>
      <x:c r="M13" s="33"/>
      <x:c r="N13" s="33"/>
      <x:c r="O13" s="33"/>
      <x:c r="P13" s="33"/>
      <x:c r="Q13" s="33"/>
      <x:c r="R13" s="19"/>
      <x:c r="S13" s="37"/>
    </x:row>
    <x:row r="14" s="20" customFormat="1">
      <x:c r="A14" s="20">
        <x:v>9</x:v>
      </x:c>
      <x:c r="B14" s="7">
        <x:v>9</x:v>
      </x:c>
      <x:c r="C14" s="8"/>
      <x:c r="D14" s="21"/>
      <x:c r="E14" s="22" t="s">
        <x:v>33</x:v>
      </x:c>
      <x:c r="F14" s="33">
        <x:v>32275195681.00</x:v>
      </x:c>
      <x:c r="G14" s="33">
        <x:v>0.00</x:v>
      </x:c>
      <x:c r="H14" s="33">
        <x:v>1548572196.00</x:v>
      </x:c>
      <x:c r="I14" s="33">
        <x:v>1411596254.00</x:v>
      </x:c>
      <x:c r="J14" s="33">
        <x:v>24666604293.00</x:v>
      </x:c>
      <x:c r="K14" s="33">
        <x:f>SUM(F14:J14)</x:f>
        <x:v>59901968424.00</x:v>
      </x:c>
      <x:c r="L14" s="33">
        <x:v>20557360139.27999932</x:v>
      </x:c>
      <x:c r="M14" s="33"/>
      <x:c r="N14" s="33">
        <x:v>450447394.3300000168</x:v>
      </x:c>
      <x:c r="O14" s="33">
        <x:v>582069440.8300000026</x:v>
      </x:c>
      <x:c r="P14" s="33">
        <x:v>8823097433.3800005810</x:v>
      </x:c>
      <x:c r="Q14" s="33">
        <x:f>N14+O14+P14</x:f>
        <x:v>9855614268.5400006004</x:v>
      </x:c>
      <x:c r="R14" s="19">
        <x:f>SUM(L14:P14)</x:f>
        <x:v>30412974407.8199999204</x:v>
      </x:c>
      <x:c r="S14" s="37">
        <x:f>IF(K14=0,0,R14/K14)</x:f>
        <x:v>0.507712437637273058</x:v>
      </x:c>
    </x:row>
    <x:row r="15" s="23" customFormat="1">
      <x:c r="B15" s="12"/>
      <x:c r="C15" s="13" t="s">
        <x:v>34</x:v>
      </x:c>
      <x:c r="D15" s="14"/>
      <x:c r="E15" s="15" t="s">
        <x:v>35</x:v>
      </x:c>
      <x:c r="F15" s="32">
        <x:f>F12-F13-F14</x:f>
        <x:v>326154578491.00</x:v>
      </x:c>
      <x:c r="G15" s="32">
        <x:f>G12-G13-G14</x:f>
        <x:v>0.00</x:v>
      </x:c>
      <x:c r="H15" s="32">
        <x:f>H12-H13-H14</x:f>
        <x:v>11205450291.00</x:v>
      </x:c>
      <x:c r="I15" s="32">
        <x:f>I12-I13-I14</x:f>
        <x:v>8047758457.00</x:v>
      </x:c>
      <x:c r="J15" s="32">
        <x:f>J12-J13-J14</x:f>
        <x:v>17991560692.00</x:v>
      </x:c>
      <x:c r="K15" s="32">
        <x:f>K12-K13-K14</x:f>
        <x:v>363399347931.00</x:v>
      </x:c>
      <x:c r="L15" s="32">
        <x:f>L12-L13-L14</x:f>
        <x:v>169956699079.52999928</x:v>
      </x:c>
      <x:c r="M15" s="32"/>
      <x:c r="N15" s="32">
        <x:f>N12-N13-N14</x:f>
        <x:v>4077522289.06999968322</x:v>
      </x:c>
      <x:c r="O15" s="32">
        <x:f>O12-O13-O14</x:f>
        <x:v>3618385297.8899999661</x:v>
      </x:c>
      <x:c r="P15" s="32">
        <x:f>P12-P13-P14</x:f>
        <x:v>56982943079.5900004200</x:v>
      </x:c>
      <x:c r="Q15" s="32">
        <x:f>Q12-Q13-Q14</x:f>
        <x:v>64678850666.55000006932</x:v>
      </x:c>
      <x:c r="R15" s="16">
        <x:f>R12-R13-R14</x:f>
        <x:v>234635549746.07999934932</x:v>
      </x:c>
      <x:c r="S15" s="37">
        <x:f>IF(K15=0,0,R15/K15)</x:f>
        <x:v>0.645668604200773450</x:v>
      </x:c>
    </x:row>
    <x:row r="16" s="20" customFormat="1">
      <x:c r="B16" s="7"/>
      <x:c r="C16" s="8" t="s">
        <x:v>36</x:v>
      </x:c>
      <x:c r="D16" s="21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19"/>
      <x:c r="S16" s="19"/>
    </x:row>
    <x:row r="17" s="23" customFormat="1">
      <x:c r="B17" s="12"/>
      <x:c r="C17" s="13" t="s">
        <x:v>29</x:v>
      </x:c>
      <x:c r="D17" s="14" t="s">
        <x:v>37</x:v>
      </x:c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6"/>
      <x:c r="S17" s="16"/>
    </x:row>
    <x:row r="18" s="20" customFormat="1">
      <x:c r="A18" s="20">
        <x:v>22</x:v>
      </x:c>
      <x:c r="B18" s="7">
        <x:v>13</x:v>
      </x:c>
      <x:c r="C18" s="8"/>
      <x:c r="D18" s="21"/>
      <x:c r="E18" s="22" t="s">
        <x:v>38</x:v>
      </x:c>
      <x:c r="F18" s="33">
        <x:v>279117753977.00</x:v>
      </x:c>
      <x:c r="G18" s="33">
        <x:v>22334975222.00</x:v>
      </x:c>
      <x:c r="H18" s="33">
        <x:v>5202817631.00</x:v>
      </x:c>
      <x:c r="I18" s="33">
        <x:v>5124694714.00</x:v>
      </x:c>
      <x:c r="J18" s="33">
        <x:v>37261618379.00</x:v>
      </x:c>
      <x:c r="K18" s="33">
        <x:f>SUM(F18:J18)</x:f>
        <x:v>349041859923.00</x:v>
      </x:c>
      <x:c r="L18" s="33">
        <x:v>137972851112.549998</x:v>
      </x:c>
      <x:c r="M18" s="33">
        <x:v>4359222990.00</x:v>
      </x:c>
      <x:c r="N18" s="33">
        <x:v>2175356536.00</x:v>
      </x:c>
      <x:c r="O18" s="33">
        <x:v>138865219.4799999984</x:v>
      </x:c>
      <x:c r="P18" s="33">
        <x:v>60839283015.759998003</x:v>
      </x:c>
      <x:c r="Q18" s="33">
        <x:f>N18+O18+P18</x:f>
        <x:v>63153504771.2399980014</x:v>
      </x:c>
      <x:c r="R18" s="19">
        <x:f>SUM(L18:P18)</x:f>
        <x:v>205485578873.7899960014</x:v>
      </x:c>
      <x:c r="S18" s="37">
        <x:f>IF(K18=0,0,R18/K18)</x:f>
        <x:v>0.588713281894386302</x:v>
      </x:c>
    </x:row>
    <x:row r="19" s="20" customFormat="1">
      <x:c r="A19" s="20">
        <x:v>24</x:v>
      </x:c>
      <x:c r="B19" s="7">
        <x:v>14</x:v>
      </x:c>
      <x:c r="C19" s="8"/>
      <x:c r="D19" s="21"/>
      <x:c r="E19" s="22" t="s">
        <x:v>39</x:v>
      </x:c>
      <x:c r="F19" s="33">
        <x:v>1747285621.00</x:v>
      </x:c>
      <x:c r="G19" s="33">
        <x:v>-5867662416.00</x:v>
      </x:c>
      <x:c r="H19" s="33">
        <x:v>17700890.00</x:v>
      </x:c>
      <x:c r="I19" s="33">
        <x:v>264667074.00</x:v>
      </x:c>
      <x:c r="J19" s="33">
        <x:v>8523487423.00</x:v>
      </x:c>
      <x:c r="K19" s="33">
        <x:f>SUM(F19:J19)</x:f>
        <x:v>4685478592.00</x:v>
      </x:c>
      <x:c r="L19" s="33">
        <x:v>19340688236.470001</x:v>
      </x:c>
      <x:c r="M19" s="33">
        <x:v>-5867662417.3699999</x:v>
      </x:c>
      <x:c r="N19" s="33">
        <x:v>0.00</x:v>
      </x:c>
      <x:c r="O19" s="33">
        <x:v>0.00</x:v>
      </x:c>
      <x:c r="P19" s="33">
        <x:v>0.00</x:v>
      </x:c>
      <x:c r="Q19" s="33">
        <x:v>5216832802.1700001</x:v>
      </x:c>
      <x:c r="R19" s="19">
        <x:f>SUM(L19:Q19)</x:f>
        <x:v>18689858621.2700012</x:v>
      </x:c>
      <x:c r="S19" s="37">
        <x:f>IF(K19=0,0,R19/K19)</x:f>
        <x:v>3.988889983017128936</x:v>
      </x:c>
    </x:row>
    <x:row r="20" s="20" customFormat="1">
      <x:c r="A20" s="20">
        <x:v>32</x:v>
      </x:c>
      <x:c r="B20" s="7">
        <x:v>15</x:v>
      </x:c>
      <x:c r="C20" s="8"/>
      <x:c r="D20" s="21"/>
      <x:c r="E20" s="22" t="s">
        <x:v>40</x:v>
      </x:c>
      <x:c r="F20" s="33">
        <x:v>71739819407.00</x:v>
      </x:c>
      <x:c r="G20" s="33">
        <x:v>17075082318.00</x:v>
      </x:c>
      <x:c r="H20" s="33">
        <x:v>59056287.00</x:v>
      </x:c>
      <x:c r="I20" s="33">
        <x:v>120506747.00</x:v>
      </x:c>
      <x:c r="J20" s="33">
        <x:v>26509953142.00</x:v>
      </x:c>
      <x:c r="K20" s="33">
        <x:f>SUM(F20:J20)</x:f>
        <x:v>115504417901.00</x:v>
      </x:c>
      <x:c r="L20" s="33">
        <x:v>53678578214.4499989</x:v>
      </x:c>
      <x:c r="M20" s="33">
        <x:v>7652889506.75000000</x:v>
      </x:c>
      <x:c r="N20" s="33"/>
      <x:c r="O20" s="33">
        <x:v>25480715.25</x:v>
      </x:c>
      <x:c r="P20" s="33">
        <x:v>19852159793.840002098</x:v>
      </x:c>
      <x:c r="Q20" s="33">
        <x:v>17958707012.300001868</x:v>
      </x:c>
      <x:c r="R20" s="19">
        <x:v>79290174733.500000768</x:v>
      </x:c>
      <x:c r="S20" s="37">
        <x:f>IF(K20=0,0,R20/K20)</x:f>
        <x:v>0.686468761752995527</x:v>
      </x:c>
    </x:row>
    <x:row r="21" s="20" customFormat="1">
      <x:c r="A21" s="20">
        <x:v>37</x:v>
      </x:c>
      <x:c r="B21" s="7">
        <x:v>16</x:v>
      </x:c>
      <x:c r="C21" s="8"/>
      <x:c r="D21" s="21"/>
      <x:c r="E21" s="22" t="s">
        <x:v>41</x:v>
      </x:c>
      <x:c r="F21" s="33">
        <x:v>5093038920.00</x:v>
      </x:c>
      <x:c r="G21" s="33">
        <x:v>0.00</x:v>
      </x:c>
      <x:c r="H21" s="33">
        <x:v>269126234.00</x:v>
      </x:c>
      <x:c r="I21" s="33">
        <x:v>215756309.00</x:v>
      </x:c>
      <x:c r="J21" s="33">
        <x:v>3766766262.00</x:v>
      </x:c>
      <x:c r="K21" s="33">
        <x:f>SUM(F21:J21)</x:f>
        <x:v>9344687725.00</x:v>
      </x:c>
      <x:c r="L21" s="33">
        <x:v>3367253671.619999925</x:v>
      </x:c>
      <x:c r="M21" s="33"/>
      <x:c r="N21" s="33">
        <x:v>69094280.7599999981</x:v>
      </x:c>
      <x:c r="O21" s="33">
        <x:v>-31054658.130000002801</x:v>
      </x:c>
      <x:c r="P21" s="33">
        <x:v>1233543814.6299999732</x:v>
      </x:c>
      <x:c r="Q21" s="33">
        <x:f>N21+O21+P21</x:f>
        <x:v>1271583437.259999968499</x:v>
      </x:c>
      <x:c r="R21" s="19">
        <x:f>SUM(L21:P21)</x:f>
        <x:v>4638837108.879999893499</x:v>
      </x:c>
      <x:c r="S21" s="37">
        <x:f>IF(K21=0,0,R21/K21)</x:f>
        <x:v>0.496414352773891103</x:v>
      </x:c>
    </x:row>
    <x:row r="22" s="23" customFormat="1">
      <x:c r="B22" s="12"/>
      <x:c r="C22" s="13" t="s">
        <x:v>34</x:v>
      </x:c>
      <x:c r="D22" s="14"/>
      <x:c r="E22" s="15" t="s">
        <x:v>42</x:v>
      </x:c>
      <x:c r="F22" s="32">
        <x:f>F18+F19-F20-F21</x:f>
        <x:v>204032181271.00</x:v>
      </x:c>
      <x:c r="G22" s="32">
        <x:f>G18+G19-G20-G21</x:f>
        <x:v>-607769512.00</x:v>
      </x:c>
      <x:c r="H22" s="32">
        <x:f>H18+H19-H20-H21</x:f>
        <x:v>4892336000.00</x:v>
      </x:c>
      <x:c r="I22" s="32">
        <x:f>I18+I19-I20-I21</x:f>
        <x:v>5053098732.00</x:v>
      </x:c>
      <x:c r="J22" s="32">
        <x:f>J18+J19-J20-J21</x:f>
        <x:v>15508386398.00</x:v>
      </x:c>
      <x:c r="K22" s="32">
        <x:f>K18+K19-K20-K21</x:f>
        <x:v>228878232889.00</x:v>
      </x:c>
      <x:c r="L22" s="32">
        <x:f>L18+L19-L20-L21</x:f>
        <x:v>100267707462.950000175</x:v>
      </x:c>
      <x:c r="M22" s="32">
        <x:f>M18+M19-M20-M21</x:f>
        <x:v>-9161328934.11999990</x:v>
      </x:c>
      <x:c r="N22" s="32">
        <x:f>N18+N19-N20-N21</x:f>
        <x:v>2106262255.2400000019</x:v>
      </x:c>
      <x:c r="O22" s="32">
        <x:f>O18+O19-O20-O21</x:f>
        <x:v>144439162.360000001201</x:v>
      </x:c>
      <x:c r="P22" s="32">
        <x:f>P18+P19-P20-P21</x:f>
        <x:v>39753579407.2899959318</x:v>
      </x:c>
      <x:c r="Q22" s="32">
        <x:f>Q18+Q19-Q20-Q21</x:f>
        <x:v>49140047123.849996264901</x:v>
      </x:c>
      <x:c r="R22" s="16">
        <x:f>R18+R19-R20-R21</x:f>
        <x:v>140246425652.679996539901</x:v>
      </x:c>
      <x:c r="S22" s="37">
        <x:f>IF(K22=0,0,R22/K22)</x:f>
        <x:v>0.612755629412325423</x:v>
      </x:c>
    </x:row>
    <x:row r="23" s="20" customFormat="1">
      <x:c r="B23" s="7"/>
      <x:c r="C23" s="8"/>
      <x:c r="D23" s="21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19"/>
      <x:c r="S23" s="19"/>
    </x:row>
    <x:row r="24" s="23" customFormat="1">
      <x:c r="B24" s="12"/>
      <x:c r="C24" s="13" t="s">
        <x:v>27</x:v>
      </x:c>
      <x:c r="D24" s="14" t="s">
        <x:v>43</x:v>
      </x:c>
      <x:c r="E24" s="15"/>
      <x:c r="F24" s="32">
        <x:f>F15-F22</x:f>
        <x:v>122122397220.00</x:v>
      </x:c>
      <x:c r="G24" s="32">
        <x:f>G15-G22</x:f>
        <x:v>607769512.00</x:v>
      </x:c>
      <x:c r="H24" s="32">
        <x:f>H15-H22</x:f>
        <x:v>6313114291.00</x:v>
      </x:c>
      <x:c r="I24" s="32">
        <x:f>I15-I22</x:f>
        <x:v>2994659725.00</x:v>
      </x:c>
      <x:c r="J24" s="32">
        <x:f>J15-J22</x:f>
        <x:v>2483174294.00</x:v>
      </x:c>
      <x:c r="K24" s="32">
        <x:f>K15-K22</x:f>
        <x:v>134521115042.00</x:v>
      </x:c>
      <x:c r="L24" s="32">
        <x:f>L15-L22</x:f>
        <x:v>69688991616.579999105</x:v>
      </x:c>
      <x:c r="M24" s="32">
        <x:f>M15-M22</x:f>
        <x:v>9161328934.11999990</x:v>
      </x:c>
      <x:c r="N24" s="32">
        <x:f>N15-N22</x:f>
        <x:v>1971260033.82999968132</x:v>
      </x:c>
      <x:c r="O24" s="32">
        <x:f>O15-O22</x:f>
        <x:v>3473946135.529999964899</x:v>
      </x:c>
      <x:c r="P24" s="32">
        <x:f>P15-P22</x:f>
        <x:v>17229363672.3000044882</x:v>
      </x:c>
      <x:c r="Q24" s="32">
        <x:f>Q15-Q22</x:f>
        <x:v>15538803542.700003804419</x:v>
      </x:c>
      <x:c r="R24" s="16">
        <x:f>R15-R22</x:f>
        <x:v>94389124093.400002809419</x:v>
      </x:c>
      <x:c r="S24" s="37">
        <x:f>IF(K24=0,0,R24/K24)</x:f>
        <x:v>0.701667720074502494</x:v>
      </x:c>
    </x:row>
    <x:row r="25" s="20" customFormat="1">
      <x:c r="B25" s="7"/>
      <x:c r="C25" s="8"/>
      <x:c r="D25" s="21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19"/>
      <x:c r="S25" s="19"/>
    </x:row>
    <x:row r="26" s="23" customFormat="1">
      <x:c r="B26" s="12">
        <x:v>19</x:v>
      </x:c>
      <x:c r="C26" s="13" t="s">
        <x:v>27</x:v>
      </x:c>
      <x:c r="D26" s="14" t="s">
        <x:v>44</x:v>
      </x:c>
      <x:c r="E26" s="15"/>
      <x:c r="F26" s="15">
        <x:v>0.00</x:v>
      </x:c>
      <x:c r="G26" s="15">
        <x:v>0.00</x:v>
      </x:c>
      <x:c r="H26" s="15">
        <x:v>0.00</x:v>
      </x:c>
      <x:c r="I26" s="15">
        <x:v>0.00</x:v>
      </x:c>
      <x:c r="J26" s="15">
        <x:v>0.00</x:v>
      </x:c>
      <x:c r="K26" s="15">
        <x:v>0.00</x:v>
      </x:c>
      <x:c r="L26" s="15"/>
      <x:c r="M26" s="15"/>
      <x:c r="N26" s="15"/>
      <x:c r="O26" s="15"/>
      <x:c r="P26" s="15"/>
      <x:c r="Q26" s="15"/>
      <x:c r="R26" s="19"/>
      <x:c r="S26" s="19"/>
    </x:row>
    <x:row r="27" s="20" customFormat="1">
      <x:c r="B27" s="7"/>
      <x:c r="C27" s="8"/>
      <x:c r="D27" s="21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19"/>
      <x:c r="S27" s="19"/>
    </x:row>
    <x:row r="28" s="23" customFormat="1">
      <x:c r="B28" s="12"/>
      <x:c r="C28" s="13" t="s">
        <x:v>27</x:v>
      </x:c>
      <x:c r="D28" s="14" t="s">
        <x:v>45</x:v>
      </x:c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6"/>
      <x:c r="S28" s="16"/>
    </x:row>
    <x:row r="29" s="23" customFormat="1">
      <x:c r="B29" s="12"/>
      <x:c r="C29" s="13" t="s">
        <x:v>29</x:v>
      </x:c>
      <x:c r="D29" s="14"/>
      <x:c r="E29" s="15" t="s">
        <x:v>46</x:v>
      </x:c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6"/>
      <x:c r="S29" s="16"/>
    </x:row>
    <x:row r="30" s="20" customFormat="1">
      <x:c r="A30" s="20">
        <x:v>94</x:v>
      </x:c>
      <x:c r="B30" s="7"/>
      <x:c r="C30" s="8"/>
      <x:c r="D30" s="21"/>
      <x:c r="E30" s="24" t="s">
        <x:v>47</x:v>
      </x:c>
      <x:c r="F30" s="31">
        <x:v>2019992538.00</x:v>
      </x:c>
      <x:c r="G30" s="31">
        <x:v>0.00</x:v>
      </x:c>
      <x:c r="H30" s="31">
        <x:v>41420923.00</x:v>
      </x:c>
      <x:c r="I30" s="31">
        <x:v>53309818.00</x:v>
      </x:c>
      <x:c r="J30" s="31">
        <x:v>234563696.00</x:v>
      </x:c>
      <x:c r="K30" s="33">
        <x:f>SUM(F30:J30)</x:f>
        <x:v>2349286975.00</x:v>
      </x:c>
      <x:c r="L30" s="31">
        <x:v>1043039225.34</x:v>
      </x:c>
      <x:c r="M30" s="31"/>
      <x:c r="N30" s="31">
        <x:v>27819100.702657691266617464434750861880</x:v>
      </x:c>
      <x:c r="O30" s="31">
        <x:v>25806902.771854231679711808765024335151</x:v>
      </x:c>
      <x:c r="P30" s="31">
        <x:v>404301485.185488107053670726799766875479</x:v>
      </x:c>
      <x:c r="Q30" s="31">
        <x:f>N30+O30+P30</x:f>
        <x:v>457927488.66000003</x:v>
      </x:c>
      <x:c r="R30" s="19">
        <x:f>SUM(L30:P30)</x:f>
        <x:v>1500966714.00000003</x:v>
      </x:c>
      <x:c r="S30" s="37">
        <x:f>IF(K30=0,0,R30/K30)</x:f>
        <x:v>0.638903092713907388</x:v>
      </x:c>
    </x:row>
    <x:row r="31" s="20" customFormat="1">
      <x:c r="A31" s="20">
        <x:v>95</x:v>
      </x:c>
      <x:c r="B31" s="7"/>
      <x:c r="C31" s="8"/>
      <x:c r="D31" s="21"/>
      <x:c r="E31" s="24" t="s">
        <x:v>48</x:v>
      </x:c>
      <x:c r="F31" s="31">
        <x:v>80955400.00</x:v>
      </x:c>
      <x:c r="G31" s="31">
        <x:v>0.00</x:v>
      </x:c>
      <x:c r="H31" s="31">
        <x:v>1660030.00</x:v>
      </x:c>
      <x:c r="I31" s="31">
        <x:v>2136502.00</x:v>
      </x:c>
      <x:c r="J31" s="31">
        <x:v>9400628.00</x:v>
      </x:c>
      <x:c r="K31" s="33">
        <x:f>SUM(F31:J31)</x:f>
        <x:v>94152560.00</x:v>
      </x:c>
      <x:c r="L31" s="31">
        <x:v>40590423.289999999</x:v>
      </x:c>
      <x:c r="M31" s="31"/>
      <x:c r="N31" s="31">
        <x:v>1067323.575375752066301416053593383056</x:v>
      </x:c>
      <x:c r="O31" s="31">
        <x:v>990122.435309291835858256603657893180</x:v>
      </x:c>
      <x:c r="P31" s="31">
        <x:v>15511662.699314957097840327342731154654</x:v>
      </x:c>
      <x:c r="Q31" s="31">
        <x:f>N31+O31+P31</x:f>
        <x:v>17569108.710000001</x:v>
      </x:c>
      <x:c r="R31" s="19">
        <x:f>SUM(L31:P31)</x:f>
        <x:v>58159532.000000000</x:v>
      </x:c>
      <x:c r="S31" s="37">
        <x:f>IF(K31=0,0,R31/K31)</x:f>
        <x:v>0.617715885792165396</x:v>
      </x:c>
    </x:row>
    <x:row r="32" s="20" customFormat="1">
      <x:c r="A32" s="20">
        <x:v>96</x:v>
      </x:c>
      <x:c r="B32" s="7"/>
      <x:c r="C32" s="8"/>
      <x:c r="D32" s="21"/>
      <x:c r="E32" s="24" t="s">
        <x:v>49</x:v>
      </x:c>
      <x:c r="F32" s="31">
        <x:v>360926704.00</x:v>
      </x:c>
      <x:c r="G32" s="31">
        <x:v>0.00</x:v>
      </x:c>
      <x:c r="H32" s="31">
        <x:v>7400976.00</x:v>
      </x:c>
      <x:c r="I32" s="31">
        <x:v>9525251.00</x:v>
      </x:c>
      <x:c r="J32" s="31">
        <x:v>41911195.00</x:v>
      </x:c>
      <x:c r="K32" s="33">
        <x:f>SUM(F32:J32)</x:f>
        <x:v>419764126.00</x:v>
      </x:c>
      <x:c r="L32" s="31"/>
      <x:c r="M32" s="31"/>
      <x:c r="N32" s="31"/>
      <x:c r="O32" s="31"/>
      <x:c r="P32" s="31"/>
      <x:c r="Q32" s="31"/>
      <x:c r="R32" s="19"/>
      <x:c r="S32" s="37"/>
    </x:row>
    <x:row r="33" s="20" customFormat="1">
      <x:c r="A33" s="20">
        <x:v>97</x:v>
      </x:c>
      <x:c r="B33" s="7"/>
      <x:c r="C33" s="8"/>
      <x:c r="D33" s="21"/>
      <x:c r="E33" s="24" t="s">
        <x:v>50</x:v>
      </x:c>
      <x:c r="F33" s="31">
        <x:v>16536107.00</x:v>
      </x:c>
      <x:c r="G33" s="31">
        <x:v>0.00</x:v>
      </x:c>
      <x:c r="H33" s="31">
        <x:v>339081.00</x:v>
      </x:c>
      <x:c r="I33" s="31">
        <x:v>436406.00</x:v>
      </x:c>
      <x:c r="J33" s="31">
        <x:v>1920190.00</x:v>
      </x:c>
      <x:c r="K33" s="33">
        <x:f>SUM(F33:J33)</x:f>
        <x:v>19231784.00</x:v>
      </x:c>
      <x:c r="L33" s="31"/>
      <x:c r="M33" s="31"/>
      <x:c r="N33" s="31"/>
      <x:c r="O33" s="31"/>
      <x:c r="P33" s="31"/>
      <x:c r="Q33" s="31"/>
      <x:c r="R33" s="19"/>
      <x:c r="S33" s="37"/>
    </x:row>
    <x:row r="34" s="20" customFormat="1">
      <x:c r="A34" s="20">
        <x:v>100</x:v>
      </x:c>
      <x:c r="B34" s="7"/>
      <x:c r="C34" s="8"/>
      <x:c r="D34" s="21"/>
      <x:c r="E34" s="24" t="s">
        <x:v>51</x:v>
      </x:c>
      <x:c r="F34" s="31">
        <x:v>262090662.00</x:v>
      </x:c>
      <x:c r="G34" s="31">
        <x:v>0.00</x:v>
      </x:c>
      <x:c r="H34" s="31">
        <x:v>5374296.00</x:v>
      </x:c>
      <x:c r="I34" s="31">
        <x:v>6916860.00</x:v>
      </x:c>
      <x:c r="J34" s="31">
        <x:v>30434248.00</x:v>
      </x:c>
      <x:c r="K34" s="33">
        <x:f>SUM(F34:J34)</x:f>
        <x:v>304816066.00</x:v>
      </x:c>
      <x:c r="L34" s="31"/>
      <x:c r="M34" s="31"/>
      <x:c r="N34" s="31"/>
      <x:c r="O34" s="31"/>
      <x:c r="P34" s="31"/>
      <x:c r="Q34" s="31"/>
      <x:c r="R34" s="19"/>
      <x:c r="S34" s="37"/>
    </x:row>
    <x:row r="35" s="20" customFormat="1">
      <x:c r="A35" s="20">
        <x:v>101</x:v>
      </x:c>
      <x:c r="B35" s="7"/>
      <x:c r="C35" s="8"/>
      <x:c r="D35" s="21"/>
      <x:c r="E35" s="24" t="s">
        <x:v>52</x:v>
      </x:c>
      <x:c r="F35" s="31">
        <x:v>2639551770.00</x:v>
      </x:c>
      <x:c r="G35" s="31">
        <x:v>0.00</x:v>
      </x:c>
      <x:c r="H35" s="31">
        <x:v>54125284.00</x:v>
      </x:c>
      <x:c r="I35" s="31">
        <x:v>69660665.00</x:v>
      </x:c>
      <x:c r="J35" s="31">
        <x:v>306507577.00</x:v>
      </x:c>
      <x:c r="K35" s="33">
        <x:f>SUM(F35:J35)</x:f>
        <x:v>3069845296.00</x:v>
      </x:c>
      <x:c r="L35" s="31">
        <x:v>1426202385.95</x:v>
      </x:c>
      <x:c r="M35" s="31"/>
      <x:c r="N35" s="31">
        <x:v>38047334.812049259973011618188480466599</x:v>
      </x:c>
      <x:c r="O35" s="31">
        <x:v>35295313.127391497765413754021265605626</x:v>
      </x:c>
      <x:c r="P35" s="31">
        <x:v>552950799.390559282261574627789627634326</x:v>
      </x:c>
      <x:c r="Q35" s="31">
        <x:f>N35+O35+P35</x:f>
        <x:v>626293447.33000004</x:v>
      </x:c>
      <x:c r="R35" s="19">
        <x:f>SUM(L35:P35)</x:f>
        <x:v>2052495833.28000004</x:v>
      </x:c>
      <x:c r="S35" s="37">
        <x:f>IF(K35=0,0,R35/K35)</x:f>
        <x:v>0.668599110174834048</x:v>
      </x:c>
    </x:row>
    <x:row r="36" s="20" customFormat="1">
      <x:c r="A36" s="20">
        <x:v>102</x:v>
      </x:c>
      <x:c r="B36" s="7"/>
      <x:c r="C36" s="8"/>
      <x:c r="D36" s="21"/>
      <x:c r="E36" s="24" t="s">
        <x:v>53</x:v>
      </x:c>
      <x:c r="F36" s="31">
        <x:v>0.00</x:v>
      </x:c>
      <x:c r="G36" s="31">
        <x:v>0.00</x:v>
      </x:c>
      <x:c r="H36" s="31">
        <x:v>0.00</x:v>
      </x:c>
      <x:c r="I36" s="31">
        <x:v>0.00</x:v>
      </x:c>
      <x:c r="J36" s="31">
        <x:v>0.00</x:v>
      </x:c>
      <x:c r="K36" s="33">
        <x:f>SUM(F36:J36)</x:f>
        <x:v>0.00</x:v>
      </x:c>
      <x:c r="L36" s="31"/>
      <x:c r="M36" s="31"/>
      <x:c r="N36" s="31"/>
      <x:c r="O36" s="31"/>
      <x:c r="P36" s="31"/>
      <x:c r="Q36" s="31"/>
      <x:c r="R36" s="19"/>
      <x:c r="S36" s="37"/>
    </x:row>
    <x:row r="37" s="20" customFormat="1">
      <x:c r="A37" s="20">
        <x:v>103</x:v>
      </x:c>
      <x:c r="B37" s="7"/>
      <x:c r="C37" s="8"/>
      <x:c r="D37" s="21"/>
      <x:c r="E37" s="24" t="s">
        <x:v>54</x:v>
      </x:c>
      <x:c r="F37" s="31">
        <x:v>0.00</x:v>
      </x:c>
      <x:c r="G37" s="31">
        <x:v>0.00</x:v>
      </x:c>
      <x:c r="H37" s="31">
        <x:v>0.00</x:v>
      </x:c>
      <x:c r="I37" s="31">
        <x:v>0.00</x:v>
      </x:c>
      <x:c r="J37" s="31">
        <x:v>0.00</x:v>
      </x:c>
      <x:c r="K37" s="33">
        <x:f>SUM(F37:J37)</x:f>
        <x:v>0.00</x:v>
      </x:c>
      <x:c r="L37" s="31"/>
      <x:c r="M37" s="31"/>
      <x:c r="N37" s="31"/>
      <x:c r="O37" s="31"/>
      <x:c r="P37" s="31"/>
      <x:c r="Q37" s="31"/>
      <x:c r="R37" s="19"/>
      <x:c r="S37" s="37"/>
    </x:row>
    <x:row r="38" s="20" customFormat="1">
      <x:c r="A38" s="20">
        <x:v>104</x:v>
      </x:c>
      <x:c r="B38" s="7"/>
      <x:c r="C38" s="8"/>
      <x:c r="D38" s="21"/>
      <x:c r="E38" s="24" t="s">
        <x:v>55</x:v>
      </x:c>
      <x:c r="F38" s="31">
        <x:v>396307733.00</x:v>
      </x:c>
      <x:c r="G38" s="31">
        <x:v>0.00</x:v>
      </x:c>
      <x:c r="H38" s="31">
        <x:v>8126482.00</x:v>
      </x:c>
      <x:c r="I38" s="31">
        <x:v>10458996.00</x:v>
      </x:c>
      <x:c r="J38" s="31">
        <x:v>46019678.00</x:v>
      </x:c>
      <x:c r="K38" s="33">
        <x:f>SUM(F38:J38)</x:f>
        <x:v>460912889.00</x:v>
      </x:c>
      <x:c r="L38" s="31"/>
      <x:c r="M38" s="31"/>
      <x:c r="N38" s="31"/>
      <x:c r="O38" s="31"/>
      <x:c r="P38" s="31"/>
      <x:c r="Q38" s="31"/>
      <x:c r="R38" s="19"/>
      <x:c r="S38" s="37"/>
    </x:row>
    <x:row r="39" s="20" customFormat="1">
      <x:c r="A39" s="20">
        <x:v>105</x:v>
      </x:c>
      <x:c r="B39" s="7"/>
      <x:c r="C39" s="8"/>
      <x:c r="D39" s="21"/>
      <x:c r="E39" s="24" t="s">
        <x:v>56</x:v>
      </x:c>
      <x:c r="F39" s="31">
        <x:v>100583081.00</x:v>
      </x:c>
      <x:c r="G39" s="31">
        <x:v>0.00</x:v>
      </x:c>
      <x:c r="H39" s="31">
        <x:v>2062505.00</x:v>
      </x:c>
      <x:c r="I39" s="31">
        <x:v>2654498.00</x:v>
      </x:c>
      <x:c r="J39" s="31">
        <x:v>11679815.00</x:v>
      </x:c>
      <x:c r="K39" s="33">
        <x:f>SUM(F39:J39)</x:f>
        <x:v>116979899.00</x:v>
      </x:c>
      <x:c r="L39" s="31"/>
      <x:c r="M39" s="31"/>
      <x:c r="N39" s="31"/>
      <x:c r="O39" s="31"/>
      <x:c r="P39" s="31"/>
      <x:c r="Q39" s="31"/>
      <x:c r="R39" s="19"/>
      <x:c r="S39" s="37"/>
    </x:row>
    <x:row r="40" s="20" customFormat="1">
      <x:c r="A40" s="20">
        <x:v>106</x:v>
      </x:c>
      <x:c r="B40" s="7"/>
      <x:c r="C40" s="8"/>
      <x:c r="D40" s="21"/>
      <x:c r="E40" s="24" t="s">
        <x:v>57</x:v>
      </x:c>
      <x:c r="F40" s="31">
        <x:v>142687058.00</x:v>
      </x:c>
      <x:c r="G40" s="31">
        <x:v>0.00</x:v>
      </x:c>
      <x:c r="H40" s="31">
        <x:v>2925867.00</x:v>
      </x:c>
      <x:c r="I40" s="31">
        <x:v>3765668.00</x:v>
      </x:c>
      <x:c r="J40" s="31">
        <x:v>16568974.00</x:v>
      </x:c>
      <x:c r="K40" s="33">
        <x:f>SUM(F40:J40)</x:f>
        <x:v>165947567.00</x:v>
      </x:c>
      <x:c r="L40" s="31"/>
      <x:c r="M40" s="31"/>
      <x:c r="N40" s="31"/>
      <x:c r="O40" s="31"/>
      <x:c r="P40" s="31"/>
      <x:c r="Q40" s="31"/>
      <x:c r="R40" s="19"/>
      <x:c r="S40" s="37"/>
    </x:row>
    <x:row r="41" s="20" customFormat="1">
      <x:c r="A41" s="20">
        <x:v>107</x:v>
      </x:c>
      <x:c r="B41" s="7"/>
      <x:c r="C41" s="8"/>
      <x:c r="D41" s="21"/>
      <x:c r="E41" s="24" t="s">
        <x:v>58</x:v>
      </x:c>
      <x:c r="F41" s="31">
        <x:v>20708564.00</x:v>
      </x:c>
      <x:c r="G41" s="31">
        <x:v>0.00</x:v>
      </x:c>
      <x:c r="H41" s="31">
        <x:v>424639.00</x:v>
      </x:c>
      <x:c r="I41" s="31">
        <x:v>546522.00</x:v>
      </x:c>
      <x:c r="J41" s="31">
        <x:v>2404701.00</x:v>
      </x:c>
      <x:c r="K41" s="33">
        <x:f>SUM(F41:J41)</x:f>
        <x:v>24084426.00</x:v>
      </x:c>
      <x:c r="L41" s="31"/>
      <x:c r="M41" s="31"/>
      <x:c r="N41" s="31"/>
      <x:c r="O41" s="31"/>
      <x:c r="P41" s="31"/>
      <x:c r="Q41" s="31"/>
      <x:c r="R41" s="19"/>
      <x:c r="S41" s="37"/>
    </x:row>
    <x:row r="42" s="20" customFormat="1">
      <x:c r="A42" s="20">
        <x:v>108</x:v>
      </x:c>
      <x:c r="B42" s="7"/>
      <x:c r="C42" s="8"/>
      <x:c r="D42" s="21"/>
      <x:c r="E42" s="24" t="s">
        <x:v>59</x:v>
      </x:c>
      <x:c r="F42" s="31">
        <x:v>47983259.00</x:v>
      </x:c>
      <x:c r="G42" s="31">
        <x:v>0.00</x:v>
      </x:c>
      <x:c r="H42" s="31">
        <x:v>983920.00</x:v>
      </x:c>
      <x:c r="I42" s="31">
        <x:v>1266331.00</x:v>
      </x:c>
      <x:c r="J42" s="31">
        <x:v>5571867.00</x:v>
      </x:c>
      <x:c r="K42" s="33">
        <x:f>SUM(F42:J42)</x:f>
        <x:v>55805377.00</x:v>
      </x:c>
      <x:c r="L42" s="31"/>
      <x:c r="M42" s="31"/>
      <x:c r="N42" s="31"/>
      <x:c r="O42" s="31"/>
      <x:c r="P42" s="31"/>
      <x:c r="Q42" s="31"/>
      <x:c r="R42" s="19"/>
      <x:c r="S42" s="37"/>
    </x:row>
    <x:row r="43" s="20" customFormat="1">
      <x:c r="A43" s="20">
        <x:v>109</x:v>
      </x:c>
      <x:c r="B43" s="7"/>
      <x:c r="C43" s="8"/>
      <x:c r="D43" s="21"/>
      <x:c r="E43" s="24" t="s">
        <x:v>60</x:v>
      </x:c>
      <x:c r="F43" s="31">
        <x:v>695650945.00</x:v>
      </x:c>
      <x:c r="G43" s="31">
        <x:v>0.00</x:v>
      </x:c>
      <x:c r="H43" s="31">
        <x:v>14264659.00</x:v>
      </x:c>
      <x:c r="I43" s="31">
        <x:v>18358991.00</x:v>
      </x:c>
      <x:c r="J43" s="31">
        <x:v>80779732.00</x:v>
      </x:c>
      <x:c r="K43" s="33">
        <x:f>SUM(F43:J43)</x:f>
        <x:v>809054327.00</x:v>
      </x:c>
      <x:c r="L43" s="31">
        <x:v>430781900.82999998</x:v>
      </x:c>
      <x:c r="M43" s="31"/>
      <x:c r="N43" s="31">
        <x:v>11969424.608464272325792358815201177992</x:v>
      </x:c>
      <x:c r="O43" s="31">
        <x:v>11103657.893447532853444761183416921614</x:v>
      </x:c>
      <x:c r="P43" s="31">
        <x:v>173954442.228088184820762880001184872868</x:v>
      </x:c>
      <x:c r="Q43" s="31">
        <x:f>N43+O43+P43</x:f>
        <x:v>197027524.72999999</x:v>
      </x:c>
      <x:c r="R43" s="19">
        <x:f>SUM(L43:P43)</x:f>
        <x:v>627809425.55999997</x:v>
      </x:c>
      <x:c r="S43" s="37">
        <x:f>IF(K43=0,0,R43/K43)</x:f>
        <x:v>0.775979318827621782</x:v>
      </x:c>
    </x:row>
    <x:row r="44" s="20" customFormat="1">
      <x:c r="A44" s="20">
        <x:v>110</x:v>
      </x:c>
      <x:c r="B44" s="7"/>
      <x:c r="C44" s="8"/>
      <x:c r="D44" s="21"/>
      <x:c r="E44" s="24" t="s">
        <x:v>61</x:v>
      </x:c>
      <x:c r="F44" s="31">
        <x:v>1603647260.00</x:v>
      </x:c>
      <x:c r="G44" s="31">
        <x:v>0.00</x:v>
      </x:c>
      <x:c r="H44" s="31">
        <x:v>32883562.00</x:v>
      </x:c>
      <x:c r="I44" s="31">
        <x:v>42322009.00</x:v>
      </x:c>
      <x:c r="J44" s="31">
        <x:v>186217237.00</x:v>
      </x:c>
      <x:c r="K44" s="33">
        <x:f>SUM(F44:J44)</x:f>
        <x:v>1865070068.00</x:v>
      </x:c>
      <x:c r="L44" s="31">
        <x:v>248902403.47999999</x:v>
      </x:c>
      <x:c r="M44" s="31"/>
      <x:c r="N44" s="31">
        <x:v>7177989.385852775033804427019600961231</x:v>
      </x:c>
      <x:c r="O44" s="31">
        <x:v>6658794.479305623787260186095622967409</x:v>
      </x:c>
      <x:c r="P44" s="31">
        <x:v>104319395.524841601178935386884657915179</x:v>
      </x:c>
      <x:c r="Q44" s="31">
        <x:f>N44+O44+P44</x:f>
        <x:v>118156179.39</x:v>
      </x:c>
      <x:c r="R44" s="19">
        <x:f>SUM(L44:P44)</x:f>
        <x:v>367058582.86999999</x:v>
      </x:c>
      <x:c r="S44" s="37">
        <x:f>IF(K44=0,0,R44/K44)</x:f>
        <x:v>0.196806859521161963</x:v>
      </x:c>
    </x:row>
    <x:row r="45" s="20" customFormat="1">
      <x:c r="A45" s="20">
        <x:v>111</x:v>
      </x:c>
      <x:c r="B45" s="7"/>
      <x:c r="C45" s="8"/>
      <x:c r="D45" s="21"/>
      <x:c r="E45" s="24" t="s">
        <x:v>62</x:v>
      </x:c>
      <x:c r="F45" s="31">
        <x:v>83963494.00</x:v>
      </x:c>
      <x:c r="G45" s="31">
        <x:v>0.00</x:v>
      </x:c>
      <x:c r="H45" s="31">
        <x:v>1721712.00</x:v>
      </x:c>
      <x:c r="I45" s="31">
        <x:v>2215889.00</x:v>
      </x:c>
      <x:c r="J45" s="31">
        <x:v>9749931.00</x:v>
      </x:c>
      <x:c r="K45" s="33">
        <x:f>SUM(F45:J45)</x:f>
        <x:v>97651026.00</x:v>
      </x:c>
      <x:c r="L45" s="31">
        <x:v>38538806.899999999</x:v>
      </x:c>
      <x:c r="M45" s="31"/>
      <x:c r="N45" s="31">
        <x:v>1028367.714243173804665481890555229668</x:v>
      </x:c>
      <x:c r="O45" s="31">
        <x:v>953984.310954098050180421222506952642</x:v>
      </x:c>
      <x:c r="P45" s="31">
        <x:v>14945508.074802729145154096886920889829</x:v>
      </x:c>
      <x:c r="Q45" s="31">
        <x:f>N45+O45+P45</x:f>
        <x:v>16927860.100000001</x:v>
      </x:c>
      <x:c r="R45" s="19">
        <x:f>SUM(L45:P45)</x:f>
        <x:v>55466667.000000000</x:v>
      </x:c>
      <x:c r="S45" s="37">
        <x:f>IF(K45=0,0,R45/K45)</x:f>
        <x:v>0.568009055020067070</x:v>
      </x:c>
    </x:row>
    <x:row r="46" s="20" customFormat="1">
      <x:c r="A46" s="20">
        <x:v>112</x:v>
      </x:c>
      <x:c r="B46" s="7"/>
      <x:c r="C46" s="8"/>
      <x:c r="D46" s="21"/>
      <x:c r="E46" s="24" t="s">
        <x:v>63</x:v>
      </x:c>
      <x:c r="F46" s="31">
        <x:v>943740633.00</x:v>
      </x:c>
      <x:c r="G46" s="31">
        <x:v>0.00</x:v>
      </x:c>
      <x:c r="H46" s="31">
        <x:v>19351858.00</x:v>
      </x:c>
      <x:c r="I46" s="31">
        <x:v>24906350.00</x:v>
      </x:c>
      <x:c r="J46" s="31">
        <x:v>109588173.00</x:v>
      </x:c>
      <x:c r="K46" s="33">
        <x:f>SUM(F46:J46)</x:f>
        <x:v>1097587014.00</x:v>
      </x:c>
      <x:c r="L46" s="31">
        <x:v>597296259.63</x:v>
      </x:c>
      <x:c r="M46" s="31"/>
      <x:c r="N46" s="31">
        <x:v>15947611.823724307251781281634116021518</x:v>
      </x:c>
      <x:c r="O46" s="31">
        <x:v>14794096.767434613794518419988954048322</x:v>
      </x:c>
      <x:c r="P46" s="31">
        <x:v>231770365.778841078953700298376667418084</x:v>
      </x:c>
      <x:c r="Q46" s="31">
        <x:f>N46+O46+P46</x:f>
        <x:v>262512074.37</x:v>
      </x:c>
      <x:c r="R46" s="19">
        <x:f>SUM(L46:P46)</x:f>
        <x:v>859808334.00</x:v>
      </x:c>
      <x:c r="S46" s="37">
        <x:f>IF(K46=0,0,R46/K46)</x:f>
        <x:v>0.783362342149576489</x:v>
      </x:c>
    </x:row>
    <x:row r="47" s="20" customFormat="1">
      <x:c r="A47" s="20">
        <x:v>113</x:v>
      </x:c>
      <x:c r="B47" s="7"/>
      <x:c r="C47" s="8"/>
      <x:c r="D47" s="21"/>
      <x:c r="E47" s="24" t="s">
        <x:v>64</x:v>
      </x:c>
      <x:c r="F47" s="31">
        <x:v>32940452.00</x:v>
      </x:c>
      <x:c r="G47" s="31">
        <x:v>0.00</x:v>
      </x:c>
      <x:c r="H47" s="31">
        <x:v>675460.00</x:v>
      </x:c>
      <x:c r="I47" s="31">
        <x:v>869335.00</x:v>
      </x:c>
      <x:c r="J47" s="31">
        <x:v>3825081.00</x:v>
      </x:c>
      <x:c r="K47" s="33">
        <x:f>SUM(F47:J47)</x:f>
        <x:v>38310328.00</x:v>
      </x:c>
      <x:c r="L47" s="31"/>
      <x:c r="M47" s="31"/>
      <x:c r="N47" s="31"/>
      <x:c r="O47" s="31"/>
      <x:c r="P47" s="31"/>
      <x:c r="Q47" s="31"/>
      <x:c r="R47" s="19"/>
      <x:c r="S47" s="37"/>
    </x:row>
    <x:row r="48" s="20" customFormat="1">
      <x:c r="A48" s="20">
        <x:v>114</x:v>
      </x:c>
      <x:c r="B48" s="7"/>
      <x:c r="C48" s="8"/>
      <x:c r="D48" s="21"/>
      <x:c r="E48" s="24" t="s">
        <x:v>65</x:v>
      </x:c>
      <x:c r="F48" s="31">
        <x:v>316045338.00</x:v>
      </x:c>
      <x:c r="G48" s="31">
        <x:v>0.00</x:v>
      </x:c>
      <x:c r="H48" s="31">
        <x:v>6480662.00</x:v>
      </x:c>
      <x:c r="I48" s="31">
        <x:v>8340783.00</x:v>
      </x:c>
      <x:c r="J48" s="31">
        <x:v>36699523.00</x:v>
      </x:c>
      <x:c r="K48" s="33">
        <x:f>SUM(F48:J48)</x:f>
        <x:v>367566306.00</x:v>
      </x:c>
      <x:c r="L48" s="31"/>
      <x:c r="M48" s="31"/>
      <x:c r="N48" s="31"/>
      <x:c r="O48" s="31"/>
      <x:c r="P48" s="31"/>
      <x:c r="Q48" s="31"/>
      <x:c r="R48" s="19"/>
      <x:c r="S48" s="37"/>
    </x:row>
    <x:row r="49" s="20" customFormat="1">
      <x:c r="A49" s="20">
        <x:v>115</x:v>
      </x:c>
      <x:c r="B49" s="7"/>
      <x:c r="C49" s="8"/>
      <x:c r="D49" s="21"/>
      <x:c r="E49" s="24" t="s">
        <x:v>66</x:v>
      </x:c>
      <x:c r="F49" s="31">
        <x:v>284009877.00</x:v>
      </x:c>
      <x:c r="G49" s="31">
        <x:v>0.00</x:v>
      </x:c>
      <x:c r="H49" s="31">
        <x:v>5823760.00</x:v>
      </x:c>
      <x:c r="I49" s="31">
        <x:v>7495332.00</x:v>
      </x:c>
      <x:c r="J49" s="31">
        <x:v>32979531.00</x:v>
      </x:c>
      <x:c r="K49" s="33">
        <x:f>SUM(F49:J49)</x:f>
        <x:v>330308500.00</x:v>
      </x:c>
      <x:c r="L49" s="31">
        <x:v>208289622.00</x:v>
      </x:c>
      <x:c r="M49" s="31"/>
      <x:c r="N49" s="31">
        <x:v>5409204.084762501911148745039822863870</x:v>
      </x:c>
      <x:c r="O49" s="31">
        <x:v>5017948.113443023198140653372260441398</x:v>
      </x:c>
      <x:c r="P49" s="31">
        <x:v>78613225.801794474890710601587827654354</x:v>
      </x:c>
      <x:c r="Q49" s="31">
        <x:f>N49+O49+P49</x:f>
        <x:v>89040378.00</x:v>
      </x:c>
      <x:c r="R49" s="19">
        <x:f>SUM(L49:P49)</x:f>
        <x:v>297330000.00</x:v>
      </x:c>
      <x:c r="S49" s="37">
        <x:f>IF(K49=0,0,R49/K49)</x:f>
        <x:v>0.900158488201181622</x:v>
      </x:c>
    </x:row>
    <x:row r="50" s="20" customFormat="1">
      <x:c r="A50" s="20">
        <x:v>124</x:v>
      </x:c>
      <x:c r="B50" s="7"/>
      <x:c r="C50" s="8"/>
      <x:c r="D50" s="21"/>
      <x:c r="E50" s="24" t="s">
        <x:v>67</x:v>
      </x:c>
      <x:c r="F50" s="31">
        <x:v>66933169.00</x:v>
      </x:c>
      <x:c r="G50" s="31">
        <x:v>0.00</x:v>
      </x:c>
      <x:c r="H50" s="31">
        <x:v>1372497.00</x:v>
      </x:c>
      <x:c r="I50" s="31">
        <x:v>1766440.00</x:v>
      </x:c>
      <x:c r="J50" s="31">
        <x:v>7772351.00</x:v>
      </x:c>
      <x:c r="K50" s="33">
        <x:f>SUM(F50:J50)</x:f>
        <x:v>77844457.00</x:v>
      </x:c>
      <x:c r="L50" s="31"/>
      <x:c r="M50" s="31"/>
      <x:c r="N50" s="31"/>
      <x:c r="O50" s="31"/>
      <x:c r="P50" s="31"/>
      <x:c r="Q50" s="31"/>
      <x:c r="R50" s="19"/>
      <x:c r="S50" s="37"/>
    </x:row>
    <x:row r="51" s="20" customFormat="1">
      <x:c r="A51" s="20">
        <x:v>143</x:v>
      </x:c>
      <x:c r="B51" s="7"/>
      <x:c r="C51" s="8"/>
      <x:c r="D51" s="21"/>
      <x:c r="E51" s="24" t="s">
        <x:v>68</x:v>
      </x:c>
      <x:c r="F51" s="31">
        <x:v>0.00</x:v>
      </x:c>
      <x:c r="G51" s="31">
        <x:v>0.00</x:v>
      </x:c>
      <x:c r="H51" s="31">
        <x:v>0.00</x:v>
      </x:c>
      <x:c r="I51" s="31">
        <x:v>0.00</x:v>
      </x:c>
      <x:c r="J51" s="31">
        <x:v>0.00</x:v>
      </x:c>
      <x:c r="K51" s="33">
        <x:f>SUM(F51:J51)</x:f>
        <x:v>0.00</x:v>
      </x:c>
      <x:c r="L51" s="31"/>
      <x:c r="M51" s="31"/>
      <x:c r="N51" s="31"/>
      <x:c r="O51" s="31"/>
      <x:c r="P51" s="31"/>
      <x:c r="Q51" s="31"/>
      <x:c r="R51" s="19"/>
      <x:c r="S51" s="37"/>
    </x:row>
    <x:row r="52" s="20" customFormat="1">
      <x:c r="A52" s="20">
        <x:v>0</x:v>
      </x:c>
      <x:c r="B52" s="7"/>
      <x:c r="C52" s="8"/>
      <x:c r="D52" s="21"/>
      <x:c r="E52" s="24" t="s">
        <x:v>69</x:v>
      </x:c>
      <x:c r="F52" s="31">
        <x:v>183002512.00</x:v>
      </x:c>
      <x:c r="G52" s="31">
        <x:v>0.00</x:v>
      </x:c>
      <x:c r="H52" s="31">
        <x:v>3752555.00</x:v>
      </x:c>
      <x:c r="I52" s="31">
        <x:v>4829637.00</x:v>
      </x:c>
      <x:c r="J52" s="31">
        <x:v>21250448.00</x:v>
      </x:c>
      <x:c r="K52" s="33">
        <x:f>SUM(F52:J52)</x:f>
        <x:v>212835152.00</x:v>
      </x:c>
      <x:c r="L52" s="31">
        <x:v>113590787.23</x:v>
      </x:c>
      <x:c r="M52" s="31"/>
      <x:c r="N52" s="31">
        <x:v>3047193.097923728212183601865878266894</x:v>
      </x:c>
      <x:c r="O52" s="31">
        <x:v>2826784.979345871632431473058136898580</x:v>
      </x:c>
      <x:c r="P52" s="31">
        <x:v>44285568.692730403155384925075934674978</x:v>
      </x:c>
      <x:c r="Q52" s="31">
        <x:f>N52+O52+P52</x:f>
        <x:v>50159546.770000003</x:v>
      </x:c>
      <x:c r="R52" s="19">
        <x:f>SUM(L52:P52)</x:f>
        <x:v>163750334.000000003</x:v>
      </x:c>
      <x:c r="S52" s="37">
        <x:f>IF(K52=0,0,R52/K52)</x:f>
        <x:v>0.769376357529511868</x:v>
      </x:c>
    </x:row>
    <x:row r="53" s="23" customFormat="1">
      <x:c r="B53" s="12">
        <x:v>21</x:v>
      </x:c>
      <x:c r="C53" s="8" t="s">
        <x:v>34</x:v>
      </x:c>
      <x:c r="D53" s="14"/>
      <x:c r="E53" s="15" t="s">
        <x:v>70</x:v>
      </x:c>
      <x:c r="F53" s="32">
        <x:f>SUM(F30:F52)</x:f>
        <x:v>10298256556.00</x:v>
      </x:c>
      <x:c r="G53" s="32">
        <x:f>SUM(G30:G52)</x:f>
        <x:v>0.00</x:v>
      </x:c>
      <x:c r="H53" s="32">
        <x:f>SUM(H30:H52)</x:f>
        <x:v>211170728.00</x:v>
      </x:c>
      <x:c r="I53" s="32">
        <x:f>SUM(I30:I52)</x:f>
        <x:v>271782283.00</x:v>
      </x:c>
      <x:c r="J53" s="32">
        <x:f>SUM(J30:J52)</x:f>
        <x:v>1195844576.00</x:v>
      </x:c>
      <x:c r="K53" s="32">
        <x:f>SUM(K30:K52)</x:f>
        <x:v>11977054143.00</x:v>
      </x:c>
      <x:c r="L53" s="32">
        <x:f>SUM(L30:L52)</x:f>
        <x:v>4147231814.649999968</x:v>
      </x:c>
      <x:c r="M53" s="32"/>
      <x:c r="N53" s="32">
        <x:f>SUM(N30:N52)</x:f>
        <x:v>111513549.805053461845306394941999232708</x:v>
      </x:c>
      <x:c r="O53" s="32">
        <x:f>SUM(O30:O52)</x:f>
        <x:v>103447604.878485784596959734310846063922</x:v>
      </x:c>
      <x:c r="P53" s="32">
        <x:f>SUM(P30:P52)</x:f>
        <x:v>1620652453.376460818557733870745319089751</x:v>
      </x:c>
      <x:c r="Q53" s="32">
        <x:f>SUM(Q30:Q52)</x:f>
        <x:v>1835613608.060000065</x:v>
      </x:c>
      <x:c r="R53" s="16">
        <x:f>SUM(R30:R52)</x:f>
        <x:v>5982845422.710000033</x:v>
      </x:c>
      <x:c r="S53" s="37">
        <x:f>IF(K53=0,0,R53/K53)</x:f>
        <x:v>0.499525622183705280</x:v>
      </x:c>
    </x:row>
    <x:row r="54" s="20" customFormat="1">
      <x:c r="B54" s="7"/>
      <x:c r="C54" s="8" t="s">
        <x:v>36</x:v>
      </x:c>
      <x:c r="D54" s="21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19"/>
      <x:c r="S54" s="19"/>
    </x:row>
    <x:row r="55" s="20" customFormat="1">
      <x:c r="B55" s="7"/>
      <x:c r="C55" s="8" t="s">
        <x:v>29</x:v>
      </x:c>
      <x:c r="D55" s="21"/>
      <x:c r="E55" s="22" t="s">
        <x:v>71</x:v>
      </x:c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19"/>
      <x:c r="S55" s="19"/>
    </x:row>
    <x:row r="56" s="20" customFormat="1">
      <x:c r="A56" s="20">
        <x:v>169</x:v>
      </x:c>
      <x:c r="B56" s="7"/>
      <x:c r="C56" s="8"/>
      <x:c r="D56" s="21"/>
      <x:c r="E56" s="24" t="s">
        <x:v>72</x:v>
      </x:c>
      <x:c r="F56" s="31">
        <x:v>0.00</x:v>
      </x:c>
      <x:c r="G56" s="31">
        <x:v>0.00</x:v>
      </x:c>
      <x:c r="H56" s="31">
        <x:v>0.00</x:v>
      </x:c>
      <x:c r="I56" s="31">
        <x:v>0.00</x:v>
      </x:c>
      <x:c r="J56" s="31">
        <x:v>0.00</x:v>
      </x:c>
      <x:c r="K56" s="33">
        <x:f>SUM(F56:J56)</x:f>
        <x:v>0.00</x:v>
      </x:c>
      <x:c r="L56" s="31"/>
      <x:c r="M56" s="31"/>
      <x:c r="N56" s="31"/>
      <x:c r="O56" s="31"/>
      <x:c r="P56" s="31"/>
      <x:c r="Q56" s="31"/>
      <x:c r="R56" s="19"/>
      <x:c r="S56" s="37"/>
    </x:row>
    <x:row r="57" s="20" customFormat="1">
      <x:c r="A57" s="20">
        <x:v>171</x:v>
      </x:c>
      <x:c r="B57" s="7"/>
      <x:c r="C57" s="8"/>
      <x:c r="D57" s="21"/>
      <x:c r="E57" s="24" t="s">
        <x:v>73</x:v>
      </x:c>
      <x:c r="F57" s="31">
        <x:v>0.00</x:v>
      </x:c>
      <x:c r="G57" s="31">
        <x:v>0.00</x:v>
      </x:c>
      <x:c r="H57" s="31">
        <x:v>0.00</x:v>
      </x:c>
      <x:c r="I57" s="31">
        <x:v>0.00</x:v>
      </x:c>
      <x:c r="J57" s="31">
        <x:v>0.00</x:v>
      </x:c>
      <x:c r="K57" s="33">
        <x:f>SUM(F57:J57)</x:f>
        <x:v>0.00</x:v>
      </x:c>
      <x:c r="L57" s="31"/>
      <x:c r="M57" s="31"/>
      <x:c r="N57" s="31"/>
      <x:c r="O57" s="31"/>
      <x:c r="P57" s="31"/>
      <x:c r="Q57" s="31"/>
      <x:c r="R57" s="19"/>
      <x:c r="S57" s="37"/>
    </x:row>
    <x:row r="58" s="20" customFormat="1">
      <x:c r="A58" s="20">
        <x:v>175</x:v>
      </x:c>
      <x:c r="B58" s="7"/>
      <x:c r="C58" s="8"/>
      <x:c r="D58" s="21"/>
      <x:c r="E58" s="24" t="s">
        <x:v>74</x:v>
      </x:c>
      <x:c r="F58" s="31">
        <x:v>0.00</x:v>
      </x:c>
      <x:c r="G58" s="31">
        <x:v>0.00</x:v>
      </x:c>
      <x:c r="H58" s="31">
        <x:v>0.00</x:v>
      </x:c>
      <x:c r="I58" s="31">
        <x:v>0.00</x:v>
      </x:c>
      <x:c r="J58" s="31">
        <x:v>0.00</x:v>
      </x:c>
      <x:c r="K58" s="33">
        <x:f>SUM(F58:J58)</x:f>
        <x:v>0.00</x:v>
      </x:c>
      <x:c r="L58" s="31"/>
      <x:c r="M58" s="31"/>
      <x:c r="N58" s="31"/>
      <x:c r="O58" s="31"/>
      <x:c r="P58" s="31"/>
      <x:c r="Q58" s="31"/>
      <x:c r="R58" s="19"/>
      <x:c r="S58" s="37"/>
    </x:row>
    <x:row r="59" s="20" customFormat="1">
      <x:c r="A59" s="20">
        <x:v>176</x:v>
      </x:c>
      <x:c r="B59" s="7"/>
      <x:c r="C59" s="8"/>
      <x:c r="D59" s="21"/>
      <x:c r="E59" s="24" t="s">
        <x:v>75</x:v>
      </x:c>
      <x:c r="F59" s="31">
        <x:v>0.00</x:v>
      </x:c>
      <x:c r="G59" s="31">
        <x:v>0.00</x:v>
      </x:c>
      <x:c r="H59" s="31">
        <x:v>0.00</x:v>
      </x:c>
      <x:c r="I59" s="31">
        <x:v>0.00</x:v>
      </x:c>
      <x:c r="J59" s="31">
        <x:v>0.00</x:v>
      </x:c>
      <x:c r="K59" s="33">
        <x:f>SUM(F59:J59)</x:f>
        <x:v>0.00</x:v>
      </x:c>
      <x:c r="L59" s="31"/>
      <x:c r="M59" s="31"/>
      <x:c r="N59" s="31"/>
      <x:c r="O59" s="31"/>
      <x:c r="P59" s="31"/>
      <x:c r="Q59" s="31"/>
      <x:c r="R59" s="19"/>
      <x:c r="S59" s="37"/>
    </x:row>
    <x:row r="60" s="20" customFormat="1">
      <x:c r="A60" s="20">
        <x:v>177</x:v>
      </x:c>
      <x:c r="B60" s="7"/>
      <x:c r="C60" s="8"/>
      <x:c r="D60" s="21"/>
      <x:c r="E60" s="24" t="s">
        <x:v>76</x:v>
      </x:c>
      <x:c r="F60" s="31">
        <x:v>0.00</x:v>
      </x:c>
      <x:c r="G60" s="31">
        <x:v>0.00</x:v>
      </x:c>
      <x:c r="H60" s="31">
        <x:v>0.00</x:v>
      </x:c>
      <x:c r="I60" s="31">
        <x:v>0.00</x:v>
      </x:c>
      <x:c r="J60" s="31">
        <x:v>0.00</x:v>
      </x:c>
      <x:c r="K60" s="33">
        <x:f>SUM(F60:J60)</x:f>
        <x:v>0.00</x:v>
      </x:c>
      <x:c r="L60" s="31"/>
      <x:c r="M60" s="31"/>
      <x:c r="N60" s="31"/>
      <x:c r="O60" s="31"/>
      <x:c r="P60" s="31"/>
      <x:c r="Q60" s="31"/>
      <x:c r="R60" s="19"/>
      <x:c r="S60" s="37"/>
    </x:row>
    <x:row r="61" s="20" customFormat="1">
      <x:c r="A61" s="20">
        <x:v>179</x:v>
      </x:c>
      <x:c r="B61" s="7"/>
      <x:c r="C61" s="8"/>
      <x:c r="D61" s="21"/>
      <x:c r="E61" s="24" t="s">
        <x:v>77</x:v>
      </x:c>
      <x:c r="F61" s="31">
        <x:v>307268768.00</x:v>
      </x:c>
      <x:c r="G61" s="31">
        <x:v>0.00</x:v>
      </x:c>
      <x:c r="H61" s="31">
        <x:v>6300695.00</x:v>
      </x:c>
      <x:c r="I61" s="31">
        <x:v>8109160.00</x:v>
      </x:c>
      <x:c r="J61" s="31">
        <x:v>35680378.00</x:v>
      </x:c>
      <x:c r="K61" s="33">
        <x:f>SUM(F61:J61)</x:f>
        <x:v>357359001.00</x:v>
      </x:c>
      <x:c r="L61" s="31">
        <x:v>155326213.88999999</x:v>
      </x:c>
      <x:c r="M61" s="31"/>
      <x:c r="N61" s="31">
        <x:v>4151088.948152969665680681649808842154</x:v>
      </x:c>
      <x:c r="O61" s="31">
        <x:v>3850834.361157764205911520739899119739</x:v>
      </x:c>
      <x:c r="P61" s="31">
        <x:v>60328744.800689265128407797610223707437</x:v>
      </x:c>
      <x:c r="Q61" s="31">
        <x:f>N61+O61+P61</x:f>
        <x:v>68330668.109999999</x:v>
      </x:c>
      <x:c r="R61" s="19">
        <x:f>SUM(L61:P61)</x:f>
        <x:v>223656881.999999989</x:v>
      </x:c>
      <x:c r="S61" s="37">
        <x:f>IF(K61=0,0,R61/K61)</x:f>
        <x:v>0.625860497074760932</x:v>
      </x:c>
    </x:row>
    <x:row r="62" s="20" customFormat="1">
      <x:c r="A62" s="20">
        <x:v>180</x:v>
      </x:c>
      <x:c r="B62" s="7"/>
      <x:c r="C62" s="8"/>
      <x:c r="D62" s="21"/>
      <x:c r="E62" s="24" t="s">
        <x:v>78</x:v>
      </x:c>
      <x:c r="F62" s="31">
        <x:v>15169427.00</x:v>
      </x:c>
      <x:c r="G62" s="31">
        <x:v>0.00</x:v>
      </x:c>
      <x:c r="H62" s="31">
        <x:v>311056.00</x:v>
      </x:c>
      <x:c r="I62" s="31">
        <x:v>400338.00</x:v>
      </x:c>
      <x:c r="J62" s="31">
        <x:v>1761490.00</x:v>
      </x:c>
      <x:c r="K62" s="33">
        <x:f>SUM(F62:J62)</x:f>
        <x:v>17642311.00</x:v>
      </x:c>
      <x:c r="L62" s="31">
        <x:v>4457699.0999999996</x:v>
      </x:c>
      <x:c r="M62" s="31"/>
      <x:c r="N62" s="31">
        <x:v>114624.818685336819659040229940672428</x:v>
      </x:c>
      <x:c r="O62" s="31">
        <x:v>106333.830941246242582202570018403188</x:v>
      </x:c>
      <x:c r="P62" s="31">
        <x:v>1665869.250373416937758757200039037554</x:v>
      </x:c>
      <x:c r="Q62" s="31">
        <x:f>N62+O62+P62</x:f>
        <x:v>1886827.90</x:v>
      </x:c>
      <x:c r="R62" s="19">
        <x:f>SUM(L62:P62)</x:f>
        <x:v>6344526.9999999996</x:v>
      </x:c>
      <x:c r="S62" s="37">
        <x:f>IF(K62=0,0,R62/K62)</x:f>
        <x:v>0.359619950016752317</x:v>
      </x:c>
    </x:row>
    <x:row r="63" s="20" customFormat="1">
      <x:c r="A63" s="20">
        <x:v>181</x:v>
      </x:c>
      <x:c r="B63" s="7"/>
      <x:c r="C63" s="8"/>
      <x:c r="D63" s="21"/>
      <x:c r="E63" s="24" t="s">
        <x:v>79</x:v>
      </x:c>
      <x:c r="F63" s="31">
        <x:v>1373615410.00</x:v>
      </x:c>
      <x:c r="G63" s="31">
        <x:v>0.00</x:v>
      </x:c>
      <x:c r="H63" s="31">
        <x:v>28166648.00</x:v>
      </x:c>
      <x:c r="I63" s="31">
        <x:v>36251217.00</x:v>
      </x:c>
      <x:c r="J63" s="31">
        <x:v>159505692.00</x:v>
      </x:c>
      <x:c r="K63" s="33">
        <x:f>SUM(F63:J63)</x:f>
        <x:v>1597538967.00</x:v>
      </x:c>
      <x:c r="L63" s="31">
        <x:v>574901432.07000005</x:v>
      </x:c>
      <x:c r="M63" s="31"/>
      <x:c r="N63" s="31">
        <x:v>17447967.497037370404172032098916397923</x:v>
      </x:c>
      <x:c r="O63" s="31">
        <x:v>16185929.429397372714853283697374364092</x:v>
      </x:c>
      <x:c r="P63" s="31">
        <x:v>253575385.053565276880974684203422028702</x:v>
      </x:c>
      <x:c r="Q63" s="31">
        <x:f>N63+O63+P63</x:f>
        <x:v>287209281.98000002</x:v>
      </x:c>
      <x:c r="R63" s="19">
        <x:f>SUM(L63:P63)</x:f>
        <x:v>862110714.05000007</x:v>
      </x:c>
      <x:c r="S63" s="37">
        <x:f>IF(K63=0,0,R63/K63)</x:f>
        <x:v>0.539649255422512689</x:v>
      </x:c>
    </x:row>
    <x:row r="64" s="20" customFormat="1">
      <x:c r="A64" s="20">
        <x:v>134</x:v>
      </x:c>
      <x:c r="B64" s="7"/>
      <x:c r="C64" s="8"/>
      <x:c r="D64" s="21"/>
      <x:c r="E64" s="24" t="s">
        <x:v>80</x:v>
      </x:c>
      <x:c r="F64" s="31">
        <x:v>0.00</x:v>
      </x:c>
      <x:c r="G64" s="31">
        <x:v>0.00</x:v>
      </x:c>
      <x:c r="H64" s="31">
        <x:v>0.00</x:v>
      </x:c>
      <x:c r="I64" s="31">
        <x:v>0.00</x:v>
      </x:c>
      <x:c r="J64" s="31">
        <x:v>0.00</x:v>
      </x:c>
      <x:c r="K64" s="33">
        <x:f>SUM(F64:J64)</x:f>
        <x:v>0.00</x:v>
      </x:c>
      <x:c r="L64" s="31"/>
      <x:c r="M64" s="31"/>
      <x:c r="N64" s="31"/>
      <x:c r="O64" s="31"/>
      <x:c r="P64" s="31"/>
      <x:c r="Q64" s="31"/>
      <x:c r="R64" s="19"/>
      <x:c r="S64" s="37"/>
    </x:row>
    <x:row r="65" s="20" customFormat="1">
      <x:c r="A65" s="20">
        <x:v>132</x:v>
      </x:c>
      <x:c r="B65" s="7"/>
      <x:c r="C65" s="8"/>
      <x:c r="D65" s="21"/>
      <x:c r="E65" s="24" t="s">
        <x:v>81</x:v>
      </x:c>
      <x:c r="F65" s="31">
        <x:v>0.00</x:v>
      </x:c>
      <x:c r="G65" s="31">
        <x:v>0.00</x:v>
      </x:c>
      <x:c r="H65" s="31">
        <x:v>0.00</x:v>
      </x:c>
      <x:c r="I65" s="31">
        <x:v>0.00</x:v>
      </x:c>
      <x:c r="J65" s="31">
        <x:v>0.00</x:v>
      </x:c>
      <x:c r="K65" s="33">
        <x:f>SUM(F65:J65)</x:f>
        <x:v>0.00</x:v>
      </x:c>
      <x:c r="L65" s="31"/>
      <x:c r="M65" s="31"/>
      <x:c r="N65" s="31"/>
      <x:c r="O65" s="31"/>
      <x:c r="P65" s="31"/>
      <x:c r="Q65" s="31"/>
      <x:c r="R65" s="19"/>
      <x:c r="S65" s="37"/>
    </x:row>
    <x:row r="66" s="20" customFormat="1">
      <x:c r="A66" s="20">
        <x:v>133</x:v>
      </x:c>
      <x:c r="B66" s="7"/>
      <x:c r="C66" s="8"/>
      <x:c r="D66" s="21"/>
      <x:c r="E66" s="24" t="s">
        <x:v>82</x:v>
      </x:c>
      <x:c r="F66" s="31">
        <x:v>0.00</x:v>
      </x:c>
      <x:c r="G66" s="31">
        <x:v>0.00</x:v>
      </x:c>
      <x:c r="H66" s="31">
        <x:v>0.00</x:v>
      </x:c>
      <x:c r="I66" s="31">
        <x:v>0.00</x:v>
      </x:c>
      <x:c r="J66" s="31">
        <x:v>0.00</x:v>
      </x:c>
      <x:c r="K66" s="33">
        <x:f>SUM(F66:J66)</x:f>
        <x:v>0.00</x:v>
      </x:c>
      <x:c r="L66" s="31"/>
      <x:c r="M66" s="31"/>
      <x:c r="N66" s="31"/>
      <x:c r="O66" s="31"/>
      <x:c r="P66" s="31"/>
      <x:c r="Q66" s="31"/>
      <x:c r="R66" s="19"/>
      <x:c r="S66" s="37"/>
    </x:row>
    <x:row r="67" s="20" customFormat="1">
      <x:c r="A67" s="20">
        <x:v>182</x:v>
      </x:c>
      <x:c r="B67" s="7"/>
      <x:c r="C67" s="8"/>
      <x:c r="D67" s="21"/>
      <x:c r="E67" s="24" t="s">
        <x:v>83</x:v>
      </x:c>
      <x:c r="F67" s="31">
        <x:v>0.00</x:v>
      </x:c>
      <x:c r="G67" s="31">
        <x:v>0.00</x:v>
      </x:c>
      <x:c r="H67" s="31">
        <x:v>0.00</x:v>
      </x:c>
      <x:c r="I67" s="31">
        <x:v>0.00</x:v>
      </x:c>
      <x:c r="J67" s="31">
        <x:v>0.00</x:v>
      </x:c>
      <x:c r="K67" s="33">
        <x:f>SUM(F67:J67)</x:f>
        <x:v>0.00</x:v>
      </x:c>
      <x:c r="L67" s="31"/>
      <x:c r="M67" s="31"/>
      <x:c r="N67" s="31"/>
      <x:c r="O67" s="31"/>
      <x:c r="P67" s="31"/>
      <x:c r="Q67" s="31"/>
      <x:c r="R67" s="19"/>
      <x:c r="S67" s="37"/>
    </x:row>
    <x:row r="68" s="20" customFormat="1">
      <x:c r="A68" s="20">
        <x:v>137</x:v>
      </x:c>
      <x:c r="B68" s="7"/>
      <x:c r="C68" s="8"/>
      <x:c r="D68" s="21"/>
      <x:c r="E68" s="24" t="s">
        <x:v>84</x:v>
      </x:c>
      <x:c r="F68" s="31">
        <x:v>0.00</x:v>
      </x:c>
      <x:c r="G68" s="31">
        <x:v>0.00</x:v>
      </x:c>
      <x:c r="H68" s="31">
        <x:v>0.00</x:v>
      </x:c>
      <x:c r="I68" s="31">
        <x:v>0.00</x:v>
      </x:c>
      <x:c r="J68" s="31">
        <x:v>0.00</x:v>
      </x:c>
      <x:c r="K68" s="33">
        <x:f>SUM(F68:J68)</x:f>
        <x:v>0.00</x:v>
      </x:c>
      <x:c r="L68" s="31"/>
      <x:c r="M68" s="31"/>
      <x:c r="N68" s="31"/>
      <x:c r="O68" s="31"/>
      <x:c r="P68" s="31"/>
      <x:c r="Q68" s="31"/>
      <x:c r="R68" s="19"/>
      <x:c r="S68" s="37"/>
    </x:row>
    <x:row r="69" s="20" customFormat="1">
      <x:c r="A69" s="20">
        <x:v>129</x:v>
      </x:c>
      <x:c r="B69" s="7"/>
      <x:c r="C69" s="8"/>
      <x:c r="D69" s="21"/>
      <x:c r="E69" s="24" t="s">
        <x:v>85</x:v>
      </x:c>
      <x:c r="F69" s="31">
        <x:v>0.00</x:v>
      </x:c>
      <x:c r="G69" s="31">
        <x:v>0.00</x:v>
      </x:c>
      <x:c r="H69" s="31">
        <x:v>0.00</x:v>
      </x:c>
      <x:c r="I69" s="31">
        <x:v>0.00</x:v>
      </x:c>
      <x:c r="J69" s="31">
        <x:v>0.00</x:v>
      </x:c>
      <x:c r="K69" s="33">
        <x:f>SUM(F69:J69)</x:f>
        <x:v>0.00</x:v>
      </x:c>
      <x:c r="L69" s="31"/>
      <x:c r="M69" s="31"/>
      <x:c r="N69" s="31"/>
      <x:c r="O69" s="31"/>
      <x:c r="P69" s="31"/>
      <x:c r="Q69" s="31"/>
      <x:c r="R69" s="19"/>
      <x:c r="S69" s="37"/>
    </x:row>
    <x:row r="70" s="20" customFormat="1">
      <x:c r="A70" s="20">
        <x:v>5</x:v>
      </x:c>
      <x:c r="B70" s="7"/>
      <x:c r="C70" s="8"/>
      <x:c r="D70" s="21"/>
      <x:c r="E70" s="24" t="s">
        <x:v>86</x:v>
      </x:c>
      <x:c r="F70" s="31">
        <x:v>0.00</x:v>
      </x:c>
      <x:c r="G70" s="31">
        <x:v>0.00</x:v>
      </x:c>
      <x:c r="H70" s="31">
        <x:v>0.00</x:v>
      </x:c>
      <x:c r="I70" s="31">
        <x:v>0.00</x:v>
      </x:c>
      <x:c r="J70" s="31">
        <x:v>0.00</x:v>
      </x:c>
      <x:c r="K70" s="33">
        <x:f>SUM(F70:J70)</x:f>
        <x:v>0.00</x:v>
      </x:c>
      <x:c r="L70" s="31"/>
      <x:c r="M70" s="31"/>
      <x:c r="N70" s="31"/>
      <x:c r="O70" s="31"/>
      <x:c r="P70" s="31"/>
      <x:c r="Q70" s="31"/>
      <x:c r="R70" s="19"/>
      <x:c r="S70" s="37"/>
    </x:row>
    <x:row r="71" s="20" customFormat="1">
      <x:c r="A71" s="20">
        <x:v>183</x:v>
      </x:c>
      <x:c r="B71" s="7"/>
      <x:c r="C71" s="8"/>
      <x:c r="D71" s="21"/>
      <x:c r="E71" s="24" t="s">
        <x:v>87</x:v>
      </x:c>
      <x:c r="F71" s="31">
        <x:v>100920163.00</x:v>
      </x:c>
      <x:c r="G71" s="31">
        <x:v>0.00</x:v>
      </x:c>
      <x:c r="H71" s="31">
        <x:v>2069417.00</x:v>
      </x:c>
      <x:c r="I71" s="31">
        <x:v>2663394.00</x:v>
      </x:c>
      <x:c r="J71" s="31">
        <x:v>11718957.00</x:v>
      </x:c>
      <x:c r="K71" s="33">
        <x:f>SUM(F71:J71)</x:f>
        <x:v>117371931.00</x:v>
      </x:c>
      <x:c r="L71" s="31">
        <x:v>30514447.469999999</x:v>
      </x:c>
      <x:c r="M71" s="31"/>
      <x:c r="N71" s="31">
        <x:v>878736.753598987555924396280635934423</x:v>
      </x:c>
      <x:c r="O71" s="31">
        <x:v>815176.385626923367511938306573030829</x:v>
      </x:c>
      <x:c r="P71" s="31">
        <x:v>12770886.390774088076563665412776569947</x:v>
      </x:c>
      <x:c r="Q71" s="31">
        <x:f>N71+O71+P71</x:f>
        <x:v>14464799.529999999</x:v>
      </x:c>
      <x:c r="R71" s="19">
        <x:f>SUM(L71:P71)</x:f>
        <x:v>44979246.999999998</x:v>
      </x:c>
      <x:c r="S71" s="37">
        <x:f>IF(K71=0,0,R71/K71)</x:f>
        <x:v>0.383219792132413651</x:v>
      </x:c>
    </x:row>
    <x:row r="72" s="20" customFormat="1">
      <x:c r="A72" s="20">
        <x:v>184</x:v>
      </x:c>
      <x:c r="B72" s="7"/>
      <x:c r="C72" s="8"/>
      <x:c r="D72" s="21"/>
      <x:c r="E72" s="24" t="s">
        <x:v>88</x:v>
      </x:c>
      <x:c r="F72" s="31">
        <x:v>9512047.00</x:v>
      </x:c>
      <x:c r="G72" s="31">
        <x:v>0.00</x:v>
      </x:c>
      <x:c r="H72" s="31">
        <x:v>195049.00</x:v>
      </x:c>
      <x:c r="I72" s="31">
        <x:v>251033.00</x:v>
      </x:c>
      <x:c r="J72" s="31">
        <x:v>1104549.00</x:v>
      </x:c>
      <x:c r="K72" s="33">
        <x:f>SUM(F72:J72)</x:f>
        <x:v>11062678.00</x:v>
      </x:c>
      <x:c r="L72" s="31">
        <x:v>15965451.51</x:v>
      </x:c>
      <x:c r="M72" s="31"/>
      <x:c r="N72" s="31">
        <x:v>437027.966465605088231029552109304667</x:v>
      </x:c>
      <x:c r="O72" s="31">
        <x:v>405417.067924182350034638147066754329</x:v>
      </x:c>
      <x:c r="P72" s="31">
        <x:v>6351429.465610212561734332300816747128</x:v>
      </x:c>
      <x:c r="Q72" s="31">
        <x:f>N72+O72+P72</x:f>
        <x:v>7193874.50</x:v>
      </x:c>
      <x:c r="R72" s="19">
        <x:f>SUM(L72:P72)</x:f>
        <x:v>23159326.01</x:v>
      </x:c>
      <x:c r="S72" s="37">
        <x:f>IF(K72=0,0,R72/K72)</x:f>
        <x:v>2.093464711709045495</x:v>
      </x:c>
    </x:row>
    <x:row r="73" s="20" customFormat="1">
      <x:c r="A73" s="20">
        <x:v>185</x:v>
      </x:c>
      <x:c r="B73" s="7"/>
      <x:c r="C73" s="8"/>
      <x:c r="D73" s="21"/>
      <x:c r="E73" s="24" t="s">
        <x:v>89</x:v>
      </x:c>
      <x:c r="F73" s="31">
        <x:v>53561010.00</x:v>
      </x:c>
      <x:c r="G73" s="31">
        <x:v>0.00</x:v>
      </x:c>
      <x:c r="H73" s="31">
        <x:v>1098294.00</x:v>
      </x:c>
      <x:c r="I73" s="31">
        <x:v>1413534.00</x:v>
      </x:c>
      <x:c r="J73" s="31">
        <x:v>6219562.00</x:v>
      </x:c>
      <x:c r="K73" s="33">
        <x:f>SUM(F73:J73)</x:f>
        <x:v>62292400.00</x:v>
      </x:c>
      <x:c r="L73" s="31">
        <x:v>67995835.00</x:v>
      </x:c>
      <x:c r="M73" s="31"/>
      <x:c r="N73" s="31">
        <x:v>1859203.409140351968200444215787925975</x:v>
      </x:c>
      <x:c r="O73" s="31">
        <x:v>1724724.394423044790473870731012226515</x:v>
      </x:c>
      <x:c r="P73" s="31">
        <x:v>27020237.196436603241325685053169243345</x:v>
      </x:c>
      <x:c r="Q73" s="31">
        <x:f>N73+O73+P73</x:f>
        <x:v>30604165.00</x:v>
      </x:c>
      <x:c r="R73" s="19">
        <x:f>SUM(L73:P73)</x:f>
        <x:v>98600000.00</x:v>
      </x:c>
      <x:c r="S73" s="37">
        <x:f>IF(K73=0,0,R73/K73)</x:f>
        <x:v>1.582857619870160725</x:v>
      </x:c>
    </x:row>
    <x:row r="74" s="20" customFormat="1">
      <x:c r="A74" s="20">
        <x:v>186</x:v>
      </x:c>
      <x:c r="B74" s="7"/>
      <x:c r="C74" s="8"/>
      <x:c r="D74" s="21"/>
      <x:c r="E74" s="24" t="s">
        <x:v>90</x:v>
      </x:c>
      <x:c r="F74" s="31">
        <x:v>0.00</x:v>
      </x:c>
      <x:c r="G74" s="31">
        <x:v>0.00</x:v>
      </x:c>
      <x:c r="H74" s="31">
        <x:v>0.00</x:v>
      </x:c>
      <x:c r="I74" s="31">
        <x:v>0.00</x:v>
      </x:c>
      <x:c r="J74" s="31">
        <x:v>0.00</x:v>
      </x:c>
      <x:c r="K74" s="33">
        <x:f>SUM(F74:J74)</x:f>
        <x:v>0.00</x:v>
      </x:c>
      <x:c r="L74" s="31"/>
      <x:c r="M74" s="31"/>
      <x:c r="N74" s="31"/>
      <x:c r="O74" s="31"/>
      <x:c r="P74" s="31"/>
      <x:c r="Q74" s="31"/>
      <x:c r="R74" s="19"/>
      <x:c r="S74" s="37"/>
    </x:row>
    <x:row r="75" s="20" customFormat="1">
      <x:c r="A75" s="20">
        <x:v>187</x:v>
      </x:c>
      <x:c r="B75" s="7"/>
      <x:c r="C75" s="8"/>
      <x:c r="D75" s="21"/>
      <x:c r="E75" s="24" t="s">
        <x:v>91</x:v>
      </x:c>
      <x:c r="F75" s="31">
        <x:v>0.00</x:v>
      </x:c>
      <x:c r="G75" s="31">
        <x:v>0.00</x:v>
      </x:c>
      <x:c r="H75" s="31">
        <x:v>0.00</x:v>
      </x:c>
      <x:c r="I75" s="31">
        <x:v>0.00</x:v>
      </x:c>
      <x:c r="J75" s="31">
        <x:v>0.00</x:v>
      </x:c>
      <x:c r="K75" s="33">
        <x:f>SUM(F75:J75)</x:f>
        <x:v>0.00</x:v>
      </x:c>
      <x:c r="L75" s="31">
        <x:v>2645845.4500000002</x:v>
      </x:c>
      <x:c r="M75" s="31"/>
      <x:c r="N75" s="31">
        <x:v>68788.123171444916916194259898938863</x:v>
      </x:c>
      <x:c r="O75" s="31">
        <x:v>63812.573437149893537538607034182449</x:v>
      </x:c>
      <x:c r="P75" s="31">
        <x:v>999713.853391405189546267133065746373</x:v>
      </x:c>
      <x:c r="Q75" s="31">
        <x:f>N75+O75+P75</x:f>
        <x:v>1132314.55</x:v>
      </x:c>
      <x:c r="R75" s="19">
        <x:f>SUM(L75:P75)</x:f>
        <x:v>3778160.0000000002</x:v>
      </x:c>
      <x:c r="S75" s="37">
        <x:v>0.00</x:v>
      </x:c>
    </x:row>
    <x:row r="76" s="20" customFormat="1">
      <x:c r="A76" s="20">
        <x:v>188</x:v>
      </x:c>
      <x:c r="B76" s="7"/>
      <x:c r="C76" s="8"/>
      <x:c r="D76" s="21"/>
      <x:c r="E76" s="24" t="s">
        <x:v>92</x:v>
      </x:c>
      <x:c r="F76" s="31">
        <x:v>0.00</x:v>
      </x:c>
      <x:c r="G76" s="31">
        <x:v>0.00</x:v>
      </x:c>
      <x:c r="H76" s="31">
        <x:v>0.00</x:v>
      </x:c>
      <x:c r="I76" s="31">
        <x:v>0.00</x:v>
      </x:c>
      <x:c r="J76" s="31">
        <x:v>0.00</x:v>
      </x:c>
      <x:c r="K76" s="33">
        <x:f>SUM(F76:J76)</x:f>
        <x:v>0.00</x:v>
      </x:c>
      <x:c r="L76" s="31"/>
      <x:c r="M76" s="31"/>
      <x:c r="N76" s="31"/>
      <x:c r="O76" s="31"/>
      <x:c r="P76" s="31"/>
      <x:c r="Q76" s="31"/>
      <x:c r="R76" s="19"/>
      <x:c r="S76" s="37"/>
    </x:row>
    <x:row r="77" s="20" customFormat="1">
      <x:c r="A77" s="20">
        <x:v>189</x:v>
      </x:c>
      <x:c r="B77" s="7"/>
      <x:c r="C77" s="8"/>
      <x:c r="D77" s="21"/>
      <x:c r="E77" s="24" t="s">
        <x:v>93</x:v>
      </x:c>
      <x:c r="F77" s="31">
        <x:v>301111384.00</x:v>
      </x:c>
      <x:c r="G77" s="31">
        <x:v>0.00</x:v>
      </x:c>
      <x:c r="H77" s="31">
        <x:v>6174434.00</x:v>
      </x:c>
      <x:c r="I77" s="31">
        <x:v>7946660.00</x:v>
      </x:c>
      <x:c r="J77" s="31">
        <x:v>34965376.00</x:v>
      </x:c>
      <x:c r="K77" s="33">
        <x:f>SUM(F77:J77)</x:f>
        <x:v>350197854.00</x:v>
      </x:c>
      <x:c r="L77" s="31">
        <x:v>122679690.06</x:v>
      </x:c>
      <x:c r="M77" s="31"/>
      <x:c r="N77" s="31">
        <x:v>3236346.473710432082664975202420548461</x:v>
      </x:c>
      <x:c r="O77" s="31">
        <x:v>3002256.603323605888356532694918014020</x:v>
      </x:c>
      <x:c r="P77" s="31">
        <x:v>47034578.862965960028978492102608164335</x:v>
      </x:c>
      <x:c r="Q77" s="31">
        <x:f>N77+O77+P77</x:f>
        <x:v>53273181.939999998</x:v>
      </x:c>
      <x:c r="R77" s="19">
        <x:f>SUM(L77:P77)</x:f>
        <x:v>175952871.999999998</x:v>
      </x:c>
      <x:c r="S77" s="37">
        <x:f>IF(K77=0,0,R77/K77)</x:f>
        <x:v>0.502438464400184468</x:v>
      </x:c>
    </x:row>
    <x:row r="78" s="20" customFormat="1">
      <x:c r="A78" s="20">
        <x:v>190</x:v>
      </x:c>
      <x:c r="B78" s="7"/>
      <x:c r="C78" s="8"/>
      <x:c r="D78" s="21"/>
      <x:c r="E78" s="24" t="s">
        <x:v>94</x:v>
      </x:c>
      <x:c r="F78" s="31">
        <x:v>100260504.00</x:v>
      </x:c>
      <x:c r="G78" s="31">
        <x:v>0.00</x:v>
      </x:c>
      <x:c r="H78" s="31">
        <x:v>2055890.00</x:v>
      </x:c>
      <x:c r="I78" s="31">
        <x:v>2645985.00</x:v>
      </x:c>
      <x:c r="J78" s="31">
        <x:v>11642357.00</x:v>
      </x:c>
      <x:c r="K78" s="33">
        <x:f>SUM(F78:J78)</x:f>
        <x:v>116604736.00</x:v>
      </x:c>
      <x:c r="L78" s="31">
        <x:v>35876972.240000002</x:v>
      </x:c>
      <x:c r="M78" s="31"/>
      <x:c r="N78" s="31">
        <x:v>957020.266548711846513305131783159895</x:v>
      </x:c>
      <x:c r="O78" s="31">
        <x:v>887797.532835313243556285999503710065</x:v>
      </x:c>
      <x:c r="P78" s="31">
        <x:v>13908598.960615974909930408868697376622</x:v>
      </x:c>
      <x:c r="Q78" s="31">
        <x:f>N78+O78+P78</x:f>
        <x:v>15753416.76</x:v>
      </x:c>
      <x:c r="R78" s="49">
        <x:f>SUM(L78:P78)</x:f>
        <x:v>51630389.000000002</x:v>
      </x:c>
      <x:c r="S78" s="37">
        <x:f>IF(K78=0,0,R78/K78)</x:f>
        <x:v>0.442781234889121501</x:v>
      </x:c>
    </x:row>
    <x:row r="79" s="20" customFormat="1">
      <x:c r="A79" s="20">
        <x:v>192</x:v>
      </x:c>
      <x:c r="B79" s="7"/>
      <x:c r="C79" s="8"/>
      <x:c r="D79" s="21"/>
      <x:c r="E79" s="24" t="s">
        <x:v>95</x:v>
      </x:c>
      <x:c r="F79" s="31">
        <x:v>7638275.00</x:v>
      </x:c>
      <x:c r="G79" s="31">
        <x:v>0.00</x:v>
      </x:c>
      <x:c r="H79" s="31">
        <x:v>156627.00</x:v>
      </x:c>
      <x:c r="I79" s="31">
        <x:v>201582.00</x:v>
      </x:c>
      <x:c r="J79" s="31">
        <x:v>886965.00</x:v>
      </x:c>
      <x:c r="K79" s="33">
        <x:f>SUM(F79:J79)</x:f>
        <x:v>8883449.00</x:v>
      </x:c>
      <x:c r="L79" s="31">
        <x:v>1548777.10</x:v>
      </x:c>
      <x:c r="M79" s="31"/>
      <x:c r="N79" s="31">
        <x:v>41073.139403964407289796375058848861</x:v>
      </x:c>
      <x:c r="O79" s="31">
        <x:v>38102.256663949611173531159474484563</x:v>
      </x:c>
      <x:c r="P79" s="31">
        <x:v>596925.523932085981536672465465990473</x:v>
      </x:c>
      <x:c r="Q79" s="31">
        <x:f>N79+O79+P79</x:f>
        <x:v>676100.92</x:v>
      </x:c>
      <x:c r="R79" s="49">
        <x:f>SUM(L79:P79)</x:f>
        <x:v>2224878.02</x:v>
      </x:c>
      <x:c r="S79" s="37">
        <x:f>IF(K79=0,0,R79/K79)</x:f>
        <x:v>0.250452050774423312</x:v>
      </x:c>
    </x:row>
    <x:row r="80" s="20" customFormat="1">
      <x:c r="A80" s="20">
        <x:v>193</x:v>
      </x:c>
      <x:c r="B80" s="7"/>
      <x:c r="C80" s="8"/>
      <x:c r="D80" s="21"/>
      <x:c r="E80" s="24" t="s">
        <x:v>96</x:v>
      </x:c>
      <x:c r="F80" s="31">
        <x:v>95673975.00</x:v>
      </x:c>
      <x:c r="G80" s="31">
        <x:v>0.00</x:v>
      </x:c>
      <x:c r="H80" s="31">
        <x:v>1961841.00</x:v>
      </x:c>
      <x:c r="I80" s="31">
        <x:v>2524941.00</x:v>
      </x:c>
      <x:c r="J80" s="31">
        <x:v>11109764.00</x:v>
      </x:c>
      <x:c r="K80" s="33">
        <x:f>SUM(F80:J80)</x:f>
        <x:v>111270521.00</x:v>
      </x:c>
      <x:c r="L80" s="31">
        <x:v>156654606.68000001</x:v>
      </x:c>
      <x:c r="M80" s="31"/>
      <x:c r="N80" s="31">
        <x:v>4168410.733501065638946097894300973176</x:v>
      </x:c>
      <x:c r="O80" s="31">
        <x:v>3866903.235385267033964187269782195747</x:v>
      </x:c>
      <x:c r="P80" s="31">
        <x:v>60580486.351113660327089714835848215275</x:v>
      </x:c>
      <x:c r="Q80" s="31">
        <x:f>N80+O80+P80</x:f>
        <x:v>68615800.319999993</x:v>
      </x:c>
      <x:c r="R80" s="19">
        <x:f>SUM(L80:P80)</x:f>
        <x:v>225270407.000000003</x:v>
      </x:c>
      <x:c r="S80" s="37">
        <x:f>IF(K80=0,0,R80/K80)</x:f>
        <x:v>2.024529093379548416</x:v>
      </x:c>
    </x:row>
    <x:row r="81" s="20" customFormat="1">
      <x:c r="A81" s="20">
        <x:v>204</x:v>
      </x:c>
      <x:c r="B81" s="7"/>
      <x:c r="C81" s="8"/>
      <x:c r="D81" s="21"/>
      <x:c r="E81" s="24" t="s">
        <x:v>97</x:v>
      </x:c>
      <x:c r="F81" s="31">
        <x:v>536668291.00</x:v>
      </x:c>
      <x:c r="G81" s="31">
        <x:v>0.00</x:v>
      </x:c>
      <x:c r="H81" s="31">
        <x:v>11004643.00</x:v>
      </x:c>
      <x:c r="I81" s="31">
        <x:v>14163265.00</x:v>
      </x:c>
      <x:c r="J81" s="31">
        <x:v>62318496.00</x:v>
      </x:c>
      <x:c r="K81" s="33">
        <x:f>SUM(F81:J81)</x:f>
        <x:v>624154695.00</x:v>
      </x:c>
      <x:c r="L81" s="31">
        <x:v>68772439.359999999</x:v>
      </x:c>
      <x:c r="M81" s="31"/>
      <x:c r="N81" s="31">
        <x:v>1762239.320778370614342143614205298088</x:v>
      </x:c>
      <x:c r="O81" s="31">
        <x:v>1634773.866278183712526406268426828179</x:v>
      </x:c>
      <x:c r="P81" s="31">
        <x:v>25611035.462943444673131450117338865684</x:v>
      </x:c>
      <x:c r="Q81" s="31">
        <x:f>N81+O81+P81</x:f>
        <x:v>29008048.649999999</x:v>
      </x:c>
      <x:c r="R81" s="19">
        <x:f>SUM(L81:P81)</x:f>
        <x:v>97780488.009999998</x:v>
      </x:c>
      <x:c r="S81" s="37">
        <x:f>IF(K81=0,0,R81/K81)</x:f>
        <x:v>0.156660662482079058</x:v>
      </x:c>
    </x:row>
    <x:row r="82" s="20" customFormat="1">
      <x:c r="A82" s="20">
        <x:v>194</x:v>
      </x:c>
      <x:c r="B82" s="7"/>
      <x:c r="C82" s="8"/>
      <x:c r="D82" s="21"/>
      <x:c r="E82" s="24" t="s">
        <x:v>98</x:v>
      </x:c>
      <x:c r="F82" s="31">
        <x:v>0.00</x:v>
      </x:c>
      <x:c r="G82" s="31">
        <x:v>0.00</x:v>
      </x:c>
      <x:c r="H82" s="31">
        <x:v>0.00</x:v>
      </x:c>
      <x:c r="I82" s="31">
        <x:v>0.00</x:v>
      </x:c>
      <x:c r="J82" s="31">
        <x:v>0.00</x:v>
      </x:c>
      <x:c r="K82" s="33">
        <x:f>SUM(F82:J82)</x:f>
        <x:v>0.00</x:v>
      </x:c>
      <x:c r="L82" s="31"/>
      <x:c r="M82" s="31"/>
      <x:c r="N82" s="31"/>
      <x:c r="O82" s="31"/>
      <x:c r="P82" s="31"/>
      <x:c r="Q82" s="31"/>
      <x:c r="R82" s="19"/>
      <x:c r="S82" s="37"/>
    </x:row>
    <x:row r="83" s="20" customFormat="1">
      <x:c r="A83" s="20">
        <x:v>195</x:v>
      </x:c>
      <x:c r="B83" s="7"/>
      <x:c r="C83" s="8"/>
      <x:c r="D83" s="21"/>
      <x:c r="E83" s="24" t="s">
        <x:v>99</x:v>
      </x:c>
      <x:c r="F83" s="31">
        <x:v>0.00</x:v>
      </x:c>
      <x:c r="G83" s="31">
        <x:v>0.00</x:v>
      </x:c>
      <x:c r="H83" s="31">
        <x:v>0.00</x:v>
      </x:c>
      <x:c r="I83" s="31">
        <x:v>0.00</x:v>
      </x:c>
      <x:c r="J83" s="31">
        <x:v>0.00</x:v>
      </x:c>
      <x:c r="K83" s="33">
        <x:f>SUM(F83:J83)</x:f>
        <x:v>0.00</x:v>
      </x:c>
      <x:c r="L83" s="31"/>
      <x:c r="M83" s="31"/>
      <x:c r="N83" s="31"/>
      <x:c r="O83" s="31"/>
      <x:c r="P83" s="31"/>
      <x:c r="Q83" s="31"/>
      <x:c r="R83" s="19"/>
      <x:c r="S83" s="37"/>
    </x:row>
    <x:row r="84" s="20" customFormat="1">
      <x:c r="A84" s="20">
        <x:v>196</x:v>
      </x:c>
      <x:c r="B84" s="7"/>
      <x:c r="C84" s="8"/>
      <x:c r="D84" s="21"/>
      <x:c r="E84" s="24" t="s">
        <x:v>100</x:v>
      </x:c>
      <x:c r="F84" s="31">
        <x:v>0.00</x:v>
      </x:c>
      <x:c r="G84" s="31">
        <x:v>0.00</x:v>
      </x:c>
      <x:c r="H84" s="31">
        <x:v>0.00</x:v>
      </x:c>
      <x:c r="I84" s="31">
        <x:v>0.00</x:v>
      </x:c>
      <x:c r="J84" s="31">
        <x:v>0.00</x:v>
      </x:c>
      <x:c r="K84" s="33">
        <x:f>SUM(F84:J84)</x:f>
        <x:v>0.00</x:v>
      </x:c>
      <x:c r="L84" s="31"/>
      <x:c r="M84" s="31"/>
      <x:c r="N84" s="31"/>
      <x:c r="O84" s="31"/>
      <x:c r="P84" s="31"/>
      <x:c r="Q84" s="31"/>
      <x:c r="R84" s="19"/>
      <x:c r="S84" s="37"/>
    </x:row>
    <x:row r="85" s="20" customFormat="1">
      <x:c r="A85" s="20">
        <x:v>197</x:v>
      </x:c>
      <x:c r="B85" s="7"/>
      <x:c r="C85" s="8"/>
      <x:c r="D85" s="21"/>
      <x:c r="E85" s="24" t="s">
        <x:v>101</x:v>
      </x:c>
      <x:c r="F85" s="31">
        <x:v>0.00</x:v>
      </x:c>
      <x:c r="G85" s="31">
        <x:v>0.00</x:v>
      </x:c>
      <x:c r="H85" s="31">
        <x:v>0.00</x:v>
      </x:c>
      <x:c r="I85" s="31">
        <x:v>0.00</x:v>
      </x:c>
      <x:c r="J85" s="31">
        <x:v>0.00</x:v>
      </x:c>
      <x:c r="K85" s="33">
        <x:f>SUM(F85:J85)</x:f>
        <x:v>0.00</x:v>
      </x:c>
      <x:c r="L85" s="31"/>
      <x:c r="M85" s="31"/>
      <x:c r="N85" s="31"/>
      <x:c r="O85" s="31"/>
      <x:c r="P85" s="31"/>
      <x:c r="Q85" s="31"/>
      <x:c r="R85" s="19"/>
      <x:c r="S85" s="37"/>
    </x:row>
    <x:row r="86" s="20" customFormat="1">
      <x:c r="A86" s="20">
        <x:v>198</x:v>
      </x:c>
      <x:c r="B86" s="7"/>
      <x:c r="C86" s="8"/>
      <x:c r="D86" s="21"/>
      <x:c r="E86" s="24" t="s">
        <x:v>102</x:v>
      </x:c>
      <x:c r="F86" s="31">
        <x:v>0.00</x:v>
      </x:c>
      <x:c r="G86" s="31">
        <x:v>0.00</x:v>
      </x:c>
      <x:c r="H86" s="31">
        <x:v>0.00</x:v>
      </x:c>
      <x:c r="I86" s="31">
        <x:v>0.00</x:v>
      </x:c>
      <x:c r="J86" s="31">
        <x:v>0.00</x:v>
      </x:c>
      <x:c r="K86" s="33">
        <x:f>SUM(F86:J86)</x:f>
        <x:v>0.00</x:v>
      </x:c>
      <x:c r="L86" s="31"/>
      <x:c r="M86" s="31"/>
      <x:c r="N86" s="31"/>
      <x:c r="O86" s="31"/>
      <x:c r="P86" s="31"/>
      <x:c r="Q86" s="31"/>
      <x:c r="R86" s="19"/>
      <x:c r="S86" s="37"/>
    </x:row>
    <x:row r="87" s="28" customFormat="1">
      <x:c r="A87" s="28">
        <x:v>202</x:v>
      </x:c>
      <x:c r="B87" s="7"/>
      <x:c r="C87" s="8"/>
      <x:c r="D87" s="59"/>
      <x:c r="E87" s="60" t="s">
        <x:v>103</x:v>
      </x:c>
      <x:c r="F87" s="61">
        <x:v>303304038.00</x:v>
      </x:c>
      <x:c r="G87" s="61">
        <x:v>0.00</x:v>
      </x:c>
      <x:c r="H87" s="61">
        <x:v>6219396.00</x:v>
      </x:c>
      <x:c r="I87" s="61">
        <x:v>8004526.00</x:v>
      </x:c>
      <x:c r="J87" s="61">
        <x:v>35219990.00</x:v>
      </x:c>
      <x:c r="K87" s="64">
        <x:f>SUM(F87:J87)</x:f>
        <x:v>352747950.00</x:v>
      </x:c>
      <x:c r="L87" s="61">
        <x:v>116128185.72</x:v>
      </x:c>
      <x:c r="M87" s="61"/>
      <x:c r="N87" s="61">
        <x:v>2701570.876762927090724494435405136607</x:v>
      </x:c>
      <x:c r="O87" s="61">
        <x:v>2506162.139929751389971710582790495831</x:v>
      </x:c>
      <x:c r="P87" s="61">
        <x:v>39262560.263307322519303794981759897267</x:v>
      </x:c>
      <x:c r="Q87" s="61">
        <x:f>N87+O87+P87</x:f>
        <x:v>44470293.280000001</x:v>
      </x:c>
      <x:c r="R87" s="62">
        <x:f>SUM(L87:P87)</x:f>
        <x:v>160598479.000000001</x:v>
      </x:c>
      <x:c r="S87" s="65">
        <x:f>IF(K87=0,0,R87/K87)</x:f>
        <x:v>0.455278277308202644</x:v>
      </x:c>
    </x:row>
    <x:row r="88" s="20" customFormat="1">
      <x:c r="A88" s="20">
        <x:v>203</x:v>
      </x:c>
      <x:c r="B88" s="7"/>
      <x:c r="C88" s="8"/>
      <x:c r="D88" s="21"/>
      <x:c r="E88" s="24" t="s">
        <x:v>104</x:v>
      </x:c>
      <x:c r="F88" s="31">
        <x:v>3598029.00</x:v>
      </x:c>
      <x:c r="G88" s="31">
        <x:v>0.00</x:v>
      </x:c>
      <x:c r="H88" s="31">
        <x:v>73779.00</x:v>
      </x:c>
      <x:c r="I88" s="31">
        <x:v>94956.00</x:v>
      </x:c>
      <x:c r="J88" s="31">
        <x:v>417807.00</x:v>
      </x:c>
      <x:c r="K88" s="33">
        <x:f>SUM(F88:J88)</x:f>
        <x:v>4184571.00</x:v>
      </x:c>
      <x:c r="L88" s="31">
        <x:v>23314366.359999999</x:v>
      </x:c>
      <x:c r="M88" s="31"/>
      <x:c r="N88" s="31">
        <x:v>442608.592627401292583969160574600492</x:v>
      </x:c>
      <x:c r="O88" s="31">
        <x:v>410594.038894699089908163958096746827</x:v>
      </x:c>
      <x:c r="P88" s="31">
        <x:v>6432534.008477899317507866881321366943</x:v>
      </x:c>
      <x:c r="Q88" s="31">
        <x:f>N88+O88+P88</x:f>
        <x:v>7285736.6399999997</x:v>
      </x:c>
      <x:c r="R88" s="19">
        <x:f>SUM(L88:P88)</x:f>
        <x:v>30600102.9999999987</x:v>
      </x:c>
      <x:c r="S88" s="37">
        <x:f>IF(K88=0,0,R88/K88)</x:f>
        <x:v>7.312602175945873232</x:v>
      </x:c>
    </x:row>
    <x:row r="89" s="20" customFormat="1">
      <x:c r="A89" s="20">
        <x:v>205</x:v>
      </x:c>
      <x:c r="B89" s="7"/>
      <x:c r="C89" s="8"/>
      <x:c r="D89" s="21"/>
      <x:c r="E89" s="24" t="s">
        <x:v>105</x:v>
      </x:c>
      <x:c r="F89" s="31">
        <x:v>111028233.00</x:v>
      </x:c>
      <x:c r="G89" s="31">
        <x:v>0.00</x:v>
      </x:c>
      <x:c r="H89" s="31">
        <x:v>2276688.00</x:v>
      </x:c>
      <x:c r="I89" s="31">
        <x:v>2930157.00</x:v>
      </x:c>
      <x:c r="J89" s="31">
        <x:v>12892717.00</x:v>
      </x:c>
      <x:c r="K89" s="33">
        <x:f>SUM(F89:J89)</x:f>
        <x:v>129127795.00</x:v>
      </x:c>
      <x:c r="L89" s="31">
        <x:v>48754606.810000002</x:v>
      </x:c>
      <x:c r="M89" s="31"/>
      <x:c r="N89" s="31">
        <x:v>1297599.018626562720676731510024581556</x:v>
      </x:c>
      <x:c r="O89" s="31">
        <x:v>1203741.704969995613954171813914696245</x:v>
      </x:c>
      <x:c r="P89" s="31">
        <x:v>18858309.476403440665369096676039362548</x:v>
      </x:c>
      <x:c r="Q89" s="31">
        <x:f>N89+O89+P89</x:f>
        <x:v>21359650.199999999</x:v>
      </x:c>
      <x:c r="R89" s="19">
        <x:f>SUM(L89:P89)</x:f>
        <x:v>70114257.010000001</x:v>
      </x:c>
      <x:c r="S89" s="37">
        <x:f>IF(K89=0,0,R89/K89)</x:f>
        <x:v>0.542983460764585974</x:v>
      </x:c>
    </x:row>
    <x:row r="90" s="20" customFormat="1">
      <x:c r="A90" s="20">
        <x:v>206</x:v>
      </x:c>
      <x:c r="B90" s="7"/>
      <x:c r="C90" s="8"/>
      <x:c r="D90" s="21"/>
      <x:c r="E90" s="24" t="s">
        <x:v>106</x:v>
      </x:c>
      <x:c r="F90" s="31">
        <x:v>0.00</x:v>
      </x:c>
      <x:c r="G90" s="31">
        <x:v>0.00</x:v>
      </x:c>
      <x:c r="H90" s="31">
        <x:v>0.00</x:v>
      </x:c>
      <x:c r="I90" s="31">
        <x:v>0.00</x:v>
      </x:c>
      <x:c r="J90" s="31">
        <x:v>0.00</x:v>
      </x:c>
      <x:c r="K90" s="33">
        <x:f>SUM(F90:J90)</x:f>
        <x:v>0.00</x:v>
      </x:c>
      <x:c r="L90" s="31">
        <x:v>-5077468.91</x:v>
      </x:c>
      <x:c r="M90" s="31"/>
      <x:c r="N90" s="31">
        <x:v>308456.300221755664465770072598044262</x:v>
      </x:c>
      <x:c r="O90" s="31">
        <x:v>286145.186153635863326725065169187035</x:v>
      </x:c>
      <x:c r="P90" s="31">
        <x:v>4482867.423624608472207504862227691232</x:v>
      </x:c>
      <x:c r="Q90" s="31">
        <x:f>N90+O90+P90</x:f>
        <x:v>5077468.91</x:v>
      </x:c>
      <x:c r="R90" s="19">
        <x:f>SUM(L90:P90)</x:f>
        <x:v>0.00</x:v>
      </x:c>
      <x:c r="S90" s="37">
        <x:f>IF(K90=0,0,R90/K90)</x:f>
        <x:v>0.00</x:v>
      </x:c>
    </x:row>
    <x:row r="91" s="20" customFormat="1">
      <x:c r="A91" s="20">
        <x:v>244</x:v>
      </x:c>
      <x:c r="B91" s="7"/>
      <x:c r="C91" s="8"/>
      <x:c r="D91" s="21"/>
      <x:c r="E91" s="24" t="s">
        <x:v>107</x:v>
      </x:c>
      <x:c r="F91" s="31">
        <x:v>17626893.00</x:v>
      </x:c>
      <x:c r="G91" s="31">
        <x:v>0.00</x:v>
      </x:c>
      <x:c r="H91" s="31">
        <x:v>361448.00</x:v>
      </x:c>
      <x:c r="I91" s="31">
        <x:v>465193.00</x:v>
      </x:c>
      <x:c r="J91" s="31">
        <x:v>2046854.00</x:v>
      </x:c>
      <x:c r="K91" s="33">
        <x:f>SUM(F91:J91)</x:f>
        <x:v>20500388.00</x:v>
      </x:c>
      <x:c r="L91" s="31">
        <x:v>3112271.40</x:v>
      </x:c>
      <x:c r="M91" s="31"/>
      <x:c r="N91" s="31">
        <x:v>85762.530227533941461067721734358269</x:v>
      </x:c>
      <x:c r="O91" s="31">
        <x:v>79559.195773669787422495299697700202</x:v>
      </x:c>
      <x:c r="P91" s="31">
        <x:v>1246406.873998796271116436978566529799</x:v>
      </x:c>
      <x:c r="Q91" s="31">
        <x:f>N91+O91+P91</x:f>
        <x:v>1411728.60</x:v>
      </x:c>
      <x:c r="R91" s="19">
        <x:f>SUM(L91:P91)</x:f>
        <x:v>4524000.00</x:v>
      </x:c>
      <x:c r="S91" s="37">
        <x:f>IF(K91=0,0,R91/K91)</x:f>
        <x:v>0.220678750080242383</x:v>
      </x:c>
    </x:row>
    <x:row r="92" s="20" customFormat="1">
      <x:c r="A92" s="20">
        <x:v>213</x:v>
      </x:c>
      <x:c r="B92" s="7"/>
      <x:c r="C92" s="8"/>
      <x:c r="D92" s="21"/>
      <x:c r="E92" s="24" t="s">
        <x:v>108</x:v>
      </x:c>
      <x:c r="F92" s="31">
        <x:v>0.00</x:v>
      </x:c>
      <x:c r="G92" s="31">
        <x:v>0.00</x:v>
      </x:c>
      <x:c r="H92" s="31">
        <x:v>0.00</x:v>
      </x:c>
      <x:c r="I92" s="31">
        <x:v>0.00</x:v>
      </x:c>
      <x:c r="J92" s="31">
        <x:v>0.00</x:v>
      </x:c>
      <x:c r="K92" s="33">
        <x:f>SUM(F92:J92)</x:f>
        <x:v>0.00</x:v>
      </x:c>
      <x:c r="L92" s="31"/>
      <x:c r="M92" s="31"/>
      <x:c r="N92" s="31"/>
      <x:c r="O92" s="31"/>
      <x:c r="P92" s="31"/>
      <x:c r="Q92" s="31"/>
      <x:c r="R92" s="19"/>
      <x:c r="S92" s="37"/>
    </x:row>
    <x:row r="93" s="20" customFormat="1">
      <x:c r="A93" s="20">
        <x:v>207</x:v>
      </x:c>
      <x:c r="B93" s="7"/>
      <x:c r="C93" s="8"/>
      <x:c r="D93" s="21"/>
      <x:c r="E93" s="24" t="s">
        <x:v>109</x:v>
      </x:c>
      <x:c r="F93" s="31">
        <x:v>0.00</x:v>
      </x:c>
      <x:c r="G93" s="31">
        <x:v>0.00</x:v>
      </x:c>
      <x:c r="H93" s="31">
        <x:v>0.00</x:v>
      </x:c>
      <x:c r="I93" s="31">
        <x:v>0.00</x:v>
      </x:c>
      <x:c r="J93" s="31">
        <x:v>0.00</x:v>
      </x:c>
      <x:c r="K93" s="33">
        <x:f>SUM(F93:J93)</x:f>
        <x:v>0.00</x:v>
      </x:c>
      <x:c r="L93" s="31"/>
      <x:c r="M93" s="31"/>
      <x:c r="N93" s="31"/>
      <x:c r="O93" s="31"/>
      <x:c r="P93" s="31"/>
      <x:c r="Q93" s="31"/>
      <x:c r="R93" s="19"/>
      <x:c r="S93" s="37"/>
    </x:row>
    <x:row r="94" s="20" customFormat="1">
      <x:c r="A94" s="20">
        <x:v>208</x:v>
      </x:c>
      <x:c r="B94" s="7"/>
      <x:c r="C94" s="8"/>
      <x:c r="D94" s="21"/>
      <x:c r="E94" s="24" t="s">
        <x:v>110</x:v>
      </x:c>
      <x:c r="F94" s="31">
        <x:v>0.00</x:v>
      </x:c>
      <x:c r="G94" s="31">
        <x:v>0.00</x:v>
      </x:c>
      <x:c r="H94" s="31">
        <x:v>0.00</x:v>
      </x:c>
      <x:c r="I94" s="31">
        <x:v>0.00</x:v>
      </x:c>
      <x:c r="J94" s="31">
        <x:v>0.00</x:v>
      </x:c>
      <x:c r="K94" s="33">
        <x:f>SUM(F94:J94)</x:f>
        <x:v>0.00</x:v>
      </x:c>
      <x:c r="L94" s="31"/>
      <x:c r="M94" s="31"/>
      <x:c r="N94" s="31"/>
      <x:c r="O94" s="31"/>
      <x:c r="P94" s="31"/>
      <x:c r="Q94" s="31"/>
      <x:c r="R94" s="19"/>
      <x:c r="S94" s="37"/>
    </x:row>
    <x:row r="95" s="20" customFormat="1">
      <x:c r="A95" s="20">
        <x:v>209</x:v>
      </x:c>
      <x:c r="B95" s="7"/>
      <x:c r="C95" s="8"/>
      <x:c r="D95" s="21"/>
      <x:c r="E95" s="24" t="s">
        <x:v>111</x:v>
      </x:c>
      <x:c r="F95" s="31">
        <x:v>0.00</x:v>
      </x:c>
      <x:c r="G95" s="31">
        <x:v>0.00</x:v>
      </x:c>
      <x:c r="H95" s="31">
        <x:v>0.00</x:v>
      </x:c>
      <x:c r="I95" s="31">
        <x:v>0.00</x:v>
      </x:c>
      <x:c r="J95" s="31">
        <x:v>0.00</x:v>
      </x:c>
      <x:c r="K95" s="33">
        <x:f>SUM(F95:J95)</x:f>
        <x:v>0.00</x:v>
      </x:c>
      <x:c r="L95" s="31"/>
      <x:c r="M95" s="31"/>
      <x:c r="N95" s="31"/>
      <x:c r="O95" s="31"/>
      <x:c r="P95" s="31"/>
      <x:c r="Q95" s="31"/>
      <x:c r="R95" s="19"/>
      <x:c r="S95" s="37"/>
    </x:row>
    <x:row r="96" s="20" customFormat="1">
      <x:c r="A96" s="20">
        <x:v>211</x:v>
      </x:c>
      <x:c r="B96" s="7"/>
      <x:c r="C96" s="8"/>
      <x:c r="D96" s="21"/>
      <x:c r="E96" s="24" t="s">
        <x:v>112</x:v>
      </x:c>
      <x:c r="F96" s="31">
        <x:v>0.00</x:v>
      </x:c>
      <x:c r="G96" s="31">
        <x:v>0.00</x:v>
      </x:c>
      <x:c r="H96" s="31">
        <x:v>0.00</x:v>
      </x:c>
      <x:c r="I96" s="31">
        <x:v>0.00</x:v>
      </x:c>
      <x:c r="J96" s="31">
        <x:v>0.00</x:v>
      </x:c>
      <x:c r="K96" s="33">
        <x:f>SUM(F96:J96)</x:f>
        <x:v>0.00</x:v>
      </x:c>
      <x:c r="L96" s="31"/>
      <x:c r="M96" s="31"/>
      <x:c r="N96" s="31"/>
      <x:c r="O96" s="31"/>
      <x:c r="P96" s="31"/>
      <x:c r="Q96" s="31"/>
      <x:c r="R96" s="19"/>
      <x:c r="S96" s="37"/>
    </x:row>
    <x:row r="97" s="20" customFormat="1">
      <x:c r="A97" s="20">
        <x:v>212</x:v>
      </x:c>
      <x:c r="B97" s="7"/>
      <x:c r="C97" s="8"/>
      <x:c r="D97" s="21"/>
      <x:c r="E97" s="24" t="s">
        <x:v>113</x:v>
      </x:c>
      <x:c r="F97" s="31">
        <x:v>0.00</x:v>
      </x:c>
      <x:c r="G97" s="31">
        <x:v>0.00</x:v>
      </x:c>
      <x:c r="H97" s="31">
        <x:v>0.00</x:v>
      </x:c>
      <x:c r="I97" s="31">
        <x:v>0.00</x:v>
      </x:c>
      <x:c r="J97" s="31">
        <x:v>0.00</x:v>
      </x:c>
      <x:c r="K97" s="33">
        <x:f>SUM(F97:J97)</x:f>
        <x:v>0.00</x:v>
      </x:c>
      <x:c r="L97" s="31"/>
      <x:c r="M97" s="31"/>
      <x:c r="N97" s="31"/>
      <x:c r="O97" s="31"/>
      <x:c r="P97" s="31"/>
      <x:c r="Q97" s="31"/>
      <x:c r="R97" s="19"/>
      <x:c r="S97" s="37"/>
    </x:row>
    <x:row r="98" s="20" customFormat="1">
      <x:c r="A98" s="20">
        <x:v>214</x:v>
      </x:c>
      <x:c r="B98" s="7"/>
      <x:c r="C98" s="8"/>
      <x:c r="D98" s="21"/>
      <x:c r="E98" s="24" t="s">
        <x:v>114</x:v>
      </x:c>
      <x:c r="F98" s="31">
        <x:v>490991527.00</x:v>
      </x:c>
      <x:c r="G98" s="31">
        <x:v>0.00</x:v>
      </x:c>
      <x:c r="H98" s="31">
        <x:v>10068018.00</x:v>
      </x:c>
      <x:c r="I98" s="31">
        <x:v>12957805.00</x:v>
      </x:c>
      <x:c r="J98" s="31">
        <x:v>57014462.00</x:v>
      </x:c>
      <x:c r="K98" s="33">
        <x:f>SUM(F98:J98)</x:f>
        <x:v>571031812.00</x:v>
      </x:c>
      <x:c r="L98" s="31">
        <x:v>24924339.91</x:v>
      </x:c>
      <x:c r="M98" s="31"/>
      <x:c r="N98" s="31">
        <x:v>694677.492965731824584633639034778342</x:v>
      </x:c>
      <x:c r="O98" s="31">
        <x:v>644430.411693696341395002003205979781</x:v>
      </x:c>
      <x:c r="P98" s="31">
        <x:v>10095910.185340571834020364357747806858</x:v>
      </x:c>
      <x:c r="Q98" s="31">
        <x:f>N98+O98+P98</x:f>
        <x:v>11435018.09</x:v>
      </x:c>
      <x:c r="R98" s="19">
        <x:f>SUM(L98:P98)</x:f>
        <x:v>36359358.00</x:v>
      </x:c>
      <x:c r="S98" s="37">
        <x:f>IF(K98=0,0,R98/K98)</x:f>
        <x:v>0.063673086570525426</x:v>
      </x:c>
    </x:row>
    <x:row r="99" s="20" customFormat="1">
      <x:c r="A99" s="20">
        <x:v>215</x:v>
      </x:c>
      <x:c r="B99" s="7"/>
      <x:c r="C99" s="8"/>
      <x:c r="D99" s="21"/>
      <x:c r="E99" s="24" t="s">
        <x:v>115</x:v>
      </x:c>
      <x:c r="F99" s="31">
        <x:v>0.00</x:v>
      </x:c>
      <x:c r="G99" s="31">
        <x:v>0.00</x:v>
      </x:c>
      <x:c r="H99" s="31">
        <x:v>0.00</x:v>
      </x:c>
      <x:c r="I99" s="31">
        <x:v>0.00</x:v>
      </x:c>
      <x:c r="J99" s="31">
        <x:v>0.00</x:v>
      </x:c>
      <x:c r="K99" s="33">
        <x:f>SUM(F99:J99)</x:f>
        <x:v>0.00</x:v>
      </x:c>
      <x:c r="L99" s="31">
        <x:v>22099836.219999999</x:v>
      </x:c>
      <x:c r="M99" s="31"/>
      <x:c r="N99" s="31">
        <x:v>584181.402478730319476018602194753770</x:v>
      </x:c>
      <x:c r="O99" s="31">
        <x:v>541926.671750886764944338571277880016</x:v>
      </x:c>
      <x:c r="P99" s="31">
        <x:v>8490044.705770382215579642826517750060</x:v>
      </x:c>
      <x:c r="Q99" s="31">
        <x:f>N99+O99+P99</x:f>
        <x:v>9616152.7799999993</x:v>
      </x:c>
      <x:c r="R99" s="19">
        <x:f>SUM(L99:P99)</x:f>
        <x:v>31715988.9999999983</x:v>
      </x:c>
      <x:c r="S99" s="37">
        <x:v>0.00</x:v>
      </x:c>
    </x:row>
    <x:row r="100" s="20" customFormat="1">
      <x:c r="A100" s="20">
        <x:v>216</x:v>
      </x:c>
      <x:c r="B100" s="7"/>
      <x:c r="C100" s="8"/>
      <x:c r="D100" s="21"/>
      <x:c r="E100" s="24" t="s">
        <x:v>116</x:v>
      </x:c>
      <x:c r="F100" s="31">
        <x:v>74386902.00</x:v>
      </x:c>
      <x:c r="G100" s="31">
        <x:v>0.00</x:v>
      </x:c>
      <x:c r="H100" s="31">
        <x:v>1525339.00</x:v>
      </x:c>
      <x:c r="I100" s="31">
        <x:v>1963152.00</x:v>
      </x:c>
      <x:c r="J100" s="31">
        <x:v>8637887.00</x:v>
      </x:c>
      <x:c r="K100" s="33">
        <x:f>SUM(F100:J100)</x:f>
        <x:v>86513280.00</x:v>
      </x:c>
      <x:c r="L100" s="31">
        <x:v>22734141.100000001</x:v>
      </x:c>
      <x:c r="M100" s="31"/>
      <x:c r="N100" s="31">
        <x:v>604940.053571747372926484812582800624</x:v>
      </x:c>
      <x:c r="O100" s="31">
        <x:v>561183.817988585136101854981028808399</x:v>
      </x:c>
      <x:c r="P100" s="31">
        <x:v>8791735.028439667890971660206378433117</x:v>
      </x:c>
      <x:c r="Q100" s="31">
        <x:f>N100+O100+P100</x:f>
        <x:v>9957858.9000000004</x:v>
      </x:c>
      <x:c r="R100" s="19">
        <x:f>SUM(L100:P100)</x:f>
        <x:v>32692000.0000000014</x:v>
      </x:c>
      <x:c r="S100" s="37">
        <x:f>IF(K100=0,0,R100/K100)</x:f>
        <x:v>0.377884181480577333</x:v>
      </x:c>
    </x:row>
    <x:row r="101" s="20" customFormat="1">
      <x:c r="A101" s="20">
        <x:v>210</x:v>
      </x:c>
      <x:c r="B101" s="7"/>
      <x:c r="C101" s="8"/>
      <x:c r="D101" s="21"/>
      <x:c r="E101" s="24" t="s">
        <x:v>117</x:v>
      </x:c>
      <x:c r="F101" s="31">
        <x:v>0.00</x:v>
      </x:c>
      <x:c r="G101" s="31">
        <x:v>0.00</x:v>
      </x:c>
      <x:c r="H101" s="31">
        <x:v>0.00</x:v>
      </x:c>
      <x:c r="I101" s="31">
        <x:v>0.00</x:v>
      </x:c>
      <x:c r="J101" s="31">
        <x:v>0.00</x:v>
      </x:c>
      <x:c r="K101" s="33">
        <x:f>SUM(F101:J101)</x:f>
        <x:v>0.00</x:v>
      </x:c>
      <x:c r="L101" s="31"/>
      <x:c r="M101" s="31"/>
      <x:c r="N101" s="31"/>
      <x:c r="O101" s="31"/>
      <x:c r="P101" s="31"/>
      <x:c r="Q101" s="31"/>
      <x:c r="R101" s="19"/>
      <x:c r="S101" s="37"/>
    </x:row>
    <x:row r="102" s="20" customFormat="1">
      <x:c r="A102" s="20">
        <x:v>217</x:v>
      </x:c>
      <x:c r="B102" s="7"/>
      <x:c r="C102" s="8"/>
      <x:c r="D102" s="21"/>
      <x:c r="E102" s="24" t="s">
        <x:v>118</x:v>
      </x:c>
      <x:c r="F102" s="31">
        <x:v>236963439.00</x:v>
      </x:c>
      <x:c r="G102" s="31">
        <x:v>0.00</x:v>
      </x:c>
      <x:c r="H102" s="31">
        <x:v>4859050.00</x:v>
      </x:c>
      <x:c r="I102" s="31">
        <x:v>6253725.00</x:v>
      </x:c>
      <x:c r="J102" s="31">
        <x:v>27516448.00</x:v>
      </x:c>
      <x:c r="K102" s="33">
        <x:f>SUM(F102:J102)</x:f>
        <x:v>275592662.00</x:v>
      </x:c>
      <x:c r="L102" s="31">
        <x:v>157079401.55000001</x:v>
      </x:c>
      <x:c r="M102" s="31"/>
      <x:c r="N102" s="31">
        <x:v>4229121.995483275648724981899205393321</x:v>
      </x:c>
      <x:c r="O102" s="31">
        <x:v>3923223.159306523876297161078854815127</x:v>
      </x:c>
      <x:c r="P102" s="31">
        <x:v>61462817.295210203474977857021870176388</x:v>
      </x:c>
      <x:c r="Q102" s="31">
        <x:f>N102+O102+P102</x:f>
        <x:v>69615162.450000003</x:v>
      </x:c>
      <x:c r="R102" s="19">
        <x:f>SUM(L102:P102)</x:f>
        <x:v>226694564.000000013</x:v>
      </x:c>
      <x:c r="S102" s="37">
        <x:f>IF(K102=0,0,R102/K102)</x:f>
        <x:v>0.822571117659148751</x:v>
      </x:c>
    </x:row>
    <x:row r="103" s="20" customFormat="1">
      <x:c r="A103" s="20">
        <x:v>218</x:v>
      </x:c>
      <x:c r="B103" s="7"/>
      <x:c r="C103" s="8"/>
      <x:c r="D103" s="21"/>
      <x:c r="E103" s="24" t="s">
        <x:v>119</x:v>
      </x:c>
      <x:c r="F103" s="31">
        <x:v>21347985.00</x:v>
      </x:c>
      <x:c r="G103" s="31">
        <x:v>0.00</x:v>
      </x:c>
      <x:c r="H103" s="31">
        <x:v>437751.00</x:v>
      </x:c>
      <x:c r="I103" s="31">
        <x:v>563397.00</x:v>
      </x:c>
      <x:c r="J103" s="31">
        <x:v>2478951.00</x:v>
      </x:c>
      <x:c r="K103" s="33">
        <x:f>SUM(F103:J103)</x:f>
        <x:v>24828084.00</x:v>
      </x:c>
      <x:c r="L103" s="31">
        <x:v>29598384.300000001</x:v>
      </x:c>
      <x:c r="M103" s="31"/>
      <x:c r="N103" s="31">
        <x:v>795314.221516506953565489934219900020</x:v>
      </x:c>
      <x:c r="O103" s="31">
        <x:v>737787.932367943913481168165961352751</x:v>
      </x:c>
      <x:c r="P103" s="31">
        <x:v>11558487.256115549132953341899805655639</x:v>
      </x:c>
      <x:c r="Q103" s="31">
        <x:f>N103+O103+P103</x:f>
        <x:v>13091589.41</x:v>
      </x:c>
      <x:c r="R103" s="19">
        <x:f>SUM(L103:P103)</x:f>
        <x:v>42689973.710000001</x:v>
      </x:c>
      <x:c r="S103" s="37">
        <x:f>IF(K103=0,0,R103/K103)</x:f>
        <x:v>1.719422800003415527</x:v>
      </x:c>
    </x:row>
    <x:row r="104" s="20" customFormat="1">
      <x:c r="A104" s="20">
        <x:v>219</x:v>
      </x:c>
      <x:c r="B104" s="7"/>
      <x:c r="C104" s="8"/>
      <x:c r="D104" s="21"/>
      <x:c r="E104" s="24" t="s">
        <x:v>120</x:v>
      </x:c>
      <x:c r="F104" s="31">
        <x:v>0.00</x:v>
      </x:c>
      <x:c r="G104" s="31">
        <x:v>0.00</x:v>
      </x:c>
      <x:c r="H104" s="31">
        <x:v>0.00</x:v>
      </x:c>
      <x:c r="I104" s="31">
        <x:v>0.00</x:v>
      </x:c>
      <x:c r="J104" s="31">
        <x:v>0.00</x:v>
      </x:c>
      <x:c r="K104" s="33">
        <x:f>SUM(F104:J104)</x:f>
        <x:v>0.00</x:v>
      </x:c>
      <x:c r="L104" s="31"/>
      <x:c r="M104" s="31"/>
      <x:c r="N104" s="31"/>
      <x:c r="O104" s="31"/>
      <x:c r="P104" s="31"/>
      <x:c r="Q104" s="31"/>
      <x:c r="R104" s="19"/>
      <x:c r="S104" s="37"/>
    </x:row>
    <x:row r="105" s="20" customFormat="1">
      <x:c r="A105" s="20">
        <x:v>220</x:v>
      </x:c>
      <x:c r="B105" s="7"/>
      <x:c r="C105" s="8"/>
      <x:c r="D105" s="21"/>
      <x:c r="E105" s="24" t="s">
        <x:v>121</x:v>
      </x:c>
      <x:c r="F105" s="31">
        <x:v>0.00</x:v>
      </x:c>
      <x:c r="G105" s="31">
        <x:v>0.00</x:v>
      </x:c>
      <x:c r="H105" s="31">
        <x:v>0.00</x:v>
      </x:c>
      <x:c r="I105" s="31">
        <x:v>0.00</x:v>
      </x:c>
      <x:c r="J105" s="31">
        <x:v>0.00</x:v>
      </x:c>
      <x:c r="K105" s="33">
        <x:f>SUM(F105:J105)</x:f>
        <x:v>0.00</x:v>
      </x:c>
      <x:c r="L105" s="31"/>
      <x:c r="M105" s="31"/>
      <x:c r="N105" s="31"/>
      <x:c r="O105" s="31"/>
      <x:c r="P105" s="31"/>
      <x:c r="Q105" s="31"/>
      <x:c r="R105" s="19"/>
      <x:c r="S105" s="37"/>
    </x:row>
    <x:row r="106" s="20" customFormat="1">
      <x:c r="A106" s="20">
        <x:v>0</x:v>
      </x:c>
      <x:c r="B106" s="7"/>
      <x:c r="C106" s="8"/>
      <x:c r="D106" s="21"/>
      <x:c r="E106" s="24" t="s">
        <x:v>122</x:v>
      </x:c>
      <x:c r="F106" s="31">
        <x:v>0.00</x:v>
      </x:c>
      <x:c r="G106" s="31">
        <x:v>0.00</x:v>
      </x:c>
      <x:c r="H106" s="31">
        <x:v>0.00</x:v>
      </x:c>
      <x:c r="I106" s="31">
        <x:v>0.00</x:v>
      </x:c>
      <x:c r="J106" s="31">
        <x:v>0.00</x:v>
      </x:c>
      <x:c r="K106" s="33">
        <x:f>SUM(F106:J106)</x:f>
        <x:v>0.00</x:v>
      </x:c>
      <x:c r="L106" s="31"/>
      <x:c r="M106" s="31"/>
      <x:c r="N106" s="31"/>
      <x:c r="O106" s="31"/>
      <x:c r="P106" s="31"/>
      <x:c r="Q106" s="31"/>
      <x:c r="R106" s="19"/>
      <x:c r="S106" s="37"/>
    </x:row>
    <x:row r="107" s="20" customFormat="1">
      <x:c r="A107" s="20">
        <x:v>225</x:v>
      </x:c>
      <x:c r="B107" s="7"/>
      <x:c r="C107" s="8"/>
      <x:c r="D107" s="21"/>
      <x:c r="E107" s="24" t="s">
        <x:v>123</x:v>
      </x:c>
      <x:c r="F107" s="31">
        <x:v>0.00</x:v>
      </x:c>
      <x:c r="G107" s="31">
        <x:v>0.00</x:v>
      </x:c>
      <x:c r="H107" s="31">
        <x:v>0.00</x:v>
      </x:c>
      <x:c r="I107" s="31">
        <x:v>0.00</x:v>
      </x:c>
      <x:c r="J107" s="31">
        <x:v>0.00</x:v>
      </x:c>
      <x:c r="K107" s="33">
        <x:f>SUM(F107:J107)</x:f>
        <x:v>0.00</x:v>
      </x:c>
      <x:c r="L107" s="31"/>
      <x:c r="M107" s="31"/>
      <x:c r="N107" s="31"/>
      <x:c r="O107" s="31"/>
      <x:c r="P107" s="31"/>
      <x:c r="Q107" s="31"/>
      <x:c r="R107" s="19"/>
      <x:c r="S107" s="37"/>
    </x:row>
    <x:row r="108" s="20" customFormat="1">
      <x:c r="A108" s="20">
        <x:v>229</x:v>
      </x:c>
      <x:c r="B108" s="7"/>
      <x:c r="C108" s="8"/>
      <x:c r="D108" s="21"/>
      <x:c r="E108" s="24" t="s">
        <x:v>124</x:v>
      </x:c>
      <x:c r="F108" s="31">
        <x:v>0.00</x:v>
      </x:c>
      <x:c r="G108" s="31">
        <x:v>0.00</x:v>
      </x:c>
      <x:c r="H108" s="31">
        <x:v>0.00</x:v>
      </x:c>
      <x:c r="I108" s="31">
        <x:v>0.00</x:v>
      </x:c>
      <x:c r="J108" s="31">
        <x:v>0.00</x:v>
      </x:c>
      <x:c r="K108" s="33">
        <x:f>SUM(F108:J108)</x:f>
        <x:v>0.00</x:v>
      </x:c>
      <x:c r="L108" s="31"/>
      <x:c r="M108" s="31"/>
      <x:c r="N108" s="31"/>
      <x:c r="O108" s="31"/>
      <x:c r="P108" s="31"/>
      <x:c r="Q108" s="31"/>
      <x:c r="R108" s="19"/>
      <x:c r="S108" s="37"/>
    </x:row>
    <x:row r="109" s="20" customFormat="1">
      <x:c r="A109" s="20">
        <x:v>230</x:v>
      </x:c>
      <x:c r="B109" s="7"/>
      <x:c r="C109" s="8"/>
      <x:c r="D109" s="21"/>
      <x:c r="E109" s="24" t="s">
        <x:v>125</x:v>
      </x:c>
      <x:c r="F109" s="31">
        <x:v>0.00</x:v>
      </x:c>
      <x:c r="G109" s="31">
        <x:v>0.00</x:v>
      </x:c>
      <x:c r="H109" s="31">
        <x:v>0.00</x:v>
      </x:c>
      <x:c r="I109" s="31">
        <x:v>0.00</x:v>
      </x:c>
      <x:c r="J109" s="31">
        <x:v>0.00</x:v>
      </x:c>
      <x:c r="K109" s="33">
        <x:f>SUM(F109:J109)</x:f>
        <x:v>0.00</x:v>
      </x:c>
      <x:c r="L109" s="31"/>
      <x:c r="M109" s="31"/>
      <x:c r="N109" s="31"/>
      <x:c r="O109" s="31"/>
      <x:c r="P109" s="31"/>
      <x:c r="Q109" s="31"/>
      <x:c r="R109" s="19"/>
      <x:c r="S109" s="37"/>
    </x:row>
    <x:row r="110" s="20" customFormat="1">
      <x:c r="A110" s="20">
        <x:v>231</x:v>
      </x:c>
      <x:c r="B110" s="7"/>
      <x:c r="C110" s="8"/>
      <x:c r="D110" s="21"/>
      <x:c r="E110" s="24" t="s">
        <x:v>126</x:v>
      </x:c>
      <x:c r="F110" s="31">
        <x:v>57226203.00</x:v>
      </x:c>
      <x:c r="G110" s="31">
        <x:v>0.00</x:v>
      </x:c>
      <x:c r="H110" s="31">
        <x:v>1173451.00</x:v>
      </x:c>
      <x:c r="I110" s="31">
        <x:v>1510262.00</x:v>
      </x:c>
      <x:c r="J110" s="31">
        <x:v>6645168.00</x:v>
      </x:c>
      <x:c r="K110" s="33">
        <x:f>SUM(F110:J110)</x:f>
        <x:v>66555084.00</x:v>
      </x:c>
      <x:c r="L110" s="31">
        <x:v>23875213.420000002</x:v>
      </x:c>
      <x:c r="M110" s="31"/>
      <x:c r="N110" s="31">
        <x:v>515289.296548231084427516436556175258</x:v>
      </x:c>
      <x:c r="O110" s="31">
        <x:v>478017.636786042427698366845339754111</x:v>
      </x:c>
      <x:c r="P110" s="31">
        <x:v>7488819.646665726587874116718095588503</x:v>
      </x:c>
      <x:c r="Q110" s="31">
        <x:f>N110+O110+P110</x:f>
        <x:v>8482126.5800000001</x:v>
      </x:c>
      <x:c r="R110" s="19">
        <x:f>SUM(L110:P110)</x:f>
        <x:v>32357340.0000000021</x:v>
      </x:c>
      <x:c r="S110" s="37">
        <x:f>IF(K110=0,0,R110/K110)</x:f>
        <x:v>0.486173828583853971</x:v>
      </x:c>
    </x:row>
    <x:row r="111" s="20" customFormat="1">
      <x:c r="A111" s="20">
        <x:v>255</x:v>
      </x:c>
      <x:c r="B111" s="7"/>
      <x:c r="C111" s="8"/>
      <x:c r="D111" s="21"/>
      <x:c r="E111" s="24" t="s">
        <x:v>127</x:v>
      </x:c>
      <x:c r="F111" s="31">
        <x:v>2344135474.00</x:v>
      </x:c>
      <x:c r="G111" s="31">
        <x:v>0.00</x:v>
      </x:c>
      <x:c r="H111" s="31">
        <x:v>48067630.00</x:v>
      </x:c>
      <x:c r="I111" s="31">
        <x:v>61864305.00</x:v>
      </x:c>
      <x:c r="J111" s="31">
        <x:v>272203521.00</x:v>
      </x:c>
      <x:c r="K111" s="33">
        <x:f>SUM(F111:J111)</x:f>
        <x:v>2726270930.00</x:v>
      </x:c>
      <x:c r="L111" s="31">
        <x:v>1235853593.75</x:v>
      </x:c>
      <x:c r="M111" s="31"/>
      <x:c r="N111" s="31">
        <x:v>38780169.383064491391784312509856396123</x:v>
      </x:c>
      <x:c r="O111" s="31">
        <x:v>35975140.657554498713936874394562428149</x:v>
      </x:c>
      <x:c r="P111" s="31">
        <x:v>563601255.299381039894278813094942819162</x:v>
      </x:c>
      <x:c r="Q111" s="31">
        <x:f>N111+O111+P111</x:f>
        <x:v>638356565.34000003</x:v>
      </x:c>
      <x:c r="R111" s="19">
        <x:f>SUM(L111:P111)</x:f>
        <x:v>1874210159.09000003</x:v>
      </x:c>
      <x:c r="S111" s="37">
        <x:f>IF(K111=0,0,R111/K111)</x:f>
        <x:v>0.687462914439688512</x:v>
      </x:c>
    </x:row>
    <x:row r="112" s="20" customFormat="1">
      <x:c r="A112" s="20">
        <x:v>200</x:v>
      </x:c>
      <x:c r="B112" s="7"/>
      <x:c r="C112" s="8"/>
      <x:c r="D112" s="21"/>
      <x:c r="E112" s="24" t="s">
        <x:v>128</x:v>
      </x:c>
      <x:c r="F112" s="31">
        <x:v>11794848.00</x:v>
      </x:c>
      <x:c r="G112" s="31">
        <x:v>0.00</x:v>
      </x:c>
      <x:c r="H112" s="31">
        <x:v>241859.00</x:v>
      </x:c>
      <x:c r="I112" s="31">
        <x:v>311279.00</x:v>
      </x:c>
      <x:c r="J112" s="31">
        <x:v>1369630.00</x:v>
      </x:c>
      <x:c r="K112" s="33">
        <x:f>SUM(F112:J112)</x:f>
        <x:v>13717616.00</x:v>
      </x:c>
      <x:c r="L112" s="31">
        <x:v>13998504.73</x:v>
      </x:c>
      <x:c r="M112" s="31"/>
      <x:c r="N112" s="31">
        <x:v>367733.731901749432920786225534534174</x:v>
      </x:c>
      <x:c r="O112" s="31">
        <x:v>341134.990902596892990893127554542069</x:v>
      </x:c>
      <x:c r="P112" s="31">
        <x:v>5344360.177195654074088320646904870527</x:v>
      </x:c>
      <x:c r="Q112" s="31">
        <x:f>N112+O112+P112</x:f>
        <x:v>6053228.9000000004</x:v>
      </x:c>
      <x:c r="R112" s="19">
        <x:f>SUM(L112:P112)</x:f>
        <x:v>20051733.6300000004</x:v>
      </x:c>
      <x:c r="S112" s="37">
        <x:f>IF(K112=0,0,R112/K112)</x:f>
        <x:v>1.461750615413057225</x:v>
      </x:c>
    </x:row>
    <x:row r="113" s="20" customFormat="1">
      <x:c r="A113" s="20">
        <x:v>201</x:v>
      </x:c>
      <x:c r="B113" s="7"/>
      <x:c r="C113" s="8"/>
      <x:c r="D113" s="21"/>
      <x:c r="E113" s="24" t="s">
        <x:v>129</x:v>
      </x:c>
      <x:c r="F113" s="31">
        <x:v>0.00</x:v>
      </x:c>
      <x:c r="G113" s="31">
        <x:v>0.00</x:v>
      </x:c>
      <x:c r="H113" s="31">
        <x:v>0.00</x:v>
      </x:c>
      <x:c r="I113" s="31">
        <x:v>0.00</x:v>
      </x:c>
      <x:c r="J113" s="31">
        <x:v>0.00</x:v>
      </x:c>
      <x:c r="K113" s="33">
        <x:f>SUM(F113:J113)</x:f>
        <x:v>0.00</x:v>
      </x:c>
      <x:c r="L113" s="31"/>
      <x:c r="M113" s="31"/>
      <x:c r="N113" s="31"/>
      <x:c r="O113" s="31"/>
      <x:c r="P113" s="31"/>
      <x:c r="Q113" s="31"/>
      <x:c r="R113" s="19"/>
      <x:c r="S113" s="37"/>
    </x:row>
    <x:row r="114" s="20" customFormat="1">
      <x:c r="A114" s="20">
        <x:v>223</x:v>
      </x:c>
      <x:c r="B114" s="7"/>
      <x:c r="C114" s="8"/>
      <x:c r="D114" s="21"/>
      <x:c r="E114" s="24" t="s">
        <x:v>130</x:v>
      </x:c>
      <x:c r="F114" s="31">
        <x:v>19354902.00</x:v>
      </x:c>
      <x:c r="G114" s="31">
        <x:v>0.00</x:v>
      </x:c>
      <x:c r="H114" s="31">
        <x:v>396882.00</x:v>
      </x:c>
      <x:c r="I114" s="31">
        <x:v>510797.00</x:v>
      </x:c>
      <x:c r="J114" s="31">
        <x:v>2247512.00</x:v>
      </x:c>
      <x:c r="K114" s="33">
        <x:f>SUM(F114:J114)</x:f>
        <x:v>22510093.00</x:v>
      </x:c>
      <x:c r="L114" s="31"/>
      <x:c r="M114" s="31"/>
      <x:c r="N114" s="31"/>
      <x:c r="O114" s="31"/>
      <x:c r="P114" s="31"/>
      <x:c r="Q114" s="31"/>
      <x:c r="R114" s="19"/>
      <x:c r="S114" s="37"/>
    </x:row>
    <x:row r="115" s="20" customFormat="1">
      <x:c r="A115" s="20">
        <x:v>222</x:v>
      </x:c>
      <x:c r="B115" s="7"/>
      <x:c r="C115" s="8"/>
      <x:c r="D115" s="21"/>
      <x:c r="E115" s="24" t="s">
        <x:v>131</x:v>
      </x:c>
      <x:c r="F115" s="31">
        <x:v>1356265.00</x:v>
      </x:c>
      <x:c r="G115" s="31">
        <x:v>0.00</x:v>
      </x:c>
      <x:c r="H115" s="31">
        <x:v>27811.00</x:v>
      </x:c>
      <x:c r="I115" s="31">
        <x:v>35793.00</x:v>
      </x:c>
      <x:c r="J115" s="31">
        <x:v>157491.00</x:v>
      </x:c>
      <x:c r="K115" s="33">
        <x:f>SUM(F115:J115)</x:f>
        <x:v>1577360.00</x:v>
      </x:c>
      <x:c r="L115" s="31"/>
      <x:c r="M115" s="31"/>
      <x:c r="N115" s="31"/>
      <x:c r="O115" s="31"/>
      <x:c r="P115" s="31"/>
      <x:c r="Q115" s="31"/>
      <x:c r="R115" s="19"/>
      <x:c r="S115" s="37"/>
    </x:row>
    <x:row r="116" s="20" customFormat="1">
      <x:c r="A116" s="20">
        <x:v>221</x:v>
      </x:c>
      <x:c r="B116" s="7"/>
      <x:c r="C116" s="8"/>
      <x:c r="D116" s="21"/>
      <x:c r="E116" s="24" t="s">
        <x:v>132</x:v>
      </x:c>
      <x:c r="F116" s="31">
        <x:v>699271.00</x:v>
      </x:c>
      <x:c r="G116" s="31">
        <x:v>0.00</x:v>
      </x:c>
      <x:c r="H116" s="31">
        <x:v>14339.00</x:v>
      </x:c>
      <x:c r="I116" s="31">
        <x:v>18455.00</x:v>
      </x:c>
      <x:c r="J116" s="31">
        <x:v>81200.00</x:v>
      </x:c>
      <x:c r="K116" s="33">
        <x:f>SUM(F116:J116)</x:f>
        <x:v>813265.00</x:v>
      </x:c>
      <x:c r="L116" s="31"/>
      <x:c r="M116" s="31"/>
      <x:c r="N116" s="31"/>
      <x:c r="O116" s="31"/>
      <x:c r="P116" s="31"/>
      <x:c r="Q116" s="31"/>
      <x:c r="R116" s="19"/>
      <x:c r="S116" s="37"/>
    </x:row>
    <x:row r="117" s="20" customFormat="1">
      <x:c r="A117" s="20">
        <x:v>235</x:v>
      </x:c>
      <x:c r="B117" s="7"/>
      <x:c r="C117" s="8"/>
      <x:c r="D117" s="21"/>
      <x:c r="E117" s="24" t="s">
        <x:v>133</x:v>
      </x:c>
      <x:c r="F117" s="31">
        <x:v>0.00</x:v>
      </x:c>
      <x:c r="G117" s="31">
        <x:v>0.00</x:v>
      </x:c>
      <x:c r="H117" s="31">
        <x:v>0.00</x:v>
      </x:c>
      <x:c r="I117" s="31">
        <x:v>0.00</x:v>
      </x:c>
      <x:c r="J117" s="31">
        <x:v>0.00</x:v>
      </x:c>
      <x:c r="K117" s="33">
        <x:f>SUM(F117:J117)</x:f>
        <x:v>0.00</x:v>
      </x:c>
      <x:c r="L117" s="31"/>
      <x:c r="M117" s="31"/>
      <x:c r="N117" s="31"/>
      <x:c r="O117" s="31"/>
      <x:c r="P117" s="31"/>
      <x:c r="Q117" s="31"/>
      <x:c r="R117" s="19"/>
      <x:c r="S117" s="37"/>
    </x:row>
    <x:row r="118" s="20" customFormat="1">
      <x:c r="A118" s="20">
        <x:v>236</x:v>
      </x:c>
      <x:c r="B118" s="7"/>
      <x:c r="C118" s="8"/>
      <x:c r="D118" s="21"/>
      <x:c r="E118" s="24" t="s">
        <x:v>134</x:v>
      </x:c>
      <x:c r="F118" s="31">
        <x:v>14195747.00</x:v>
      </x:c>
      <x:c r="G118" s="31">
        <x:v>0.00</x:v>
      </x:c>
      <x:c r="H118" s="31">
        <x:v>291091.00</x:v>
      </x:c>
      <x:c r="I118" s="31">
        <x:v>374641.00</x:v>
      </x:c>
      <x:c r="J118" s="31">
        <x:v>1648425.00</x:v>
      </x:c>
      <x:c r="K118" s="33">
        <x:f>SUM(F118:J118)</x:f>
        <x:v>16509904.00</x:v>
      </x:c>
      <x:c r="L118" s="31">
        <x:v>16243533.369999999</x:v>
      </x:c>
      <x:c r="M118" s="31"/>
      <x:c r="N118" s="31">
        <x:v>621344.363069662113929880266165032203</x:v>
      </x:c>
      <x:c r="O118" s="31">
        <x:v>576401.578791746056368237107101420033</x:v>
      </x:c>
      <x:c r="P118" s="31">
        <x:v>9030142.688138592829701882626723319874</x:v>
      </x:c>
      <x:c r="Q118" s="31">
        <x:f>N118+O118+P118</x:f>
        <x:v>10227888.630000001</x:v>
      </x:c>
      <x:c r="R118" s="19">
        <x:f>SUM(L118:P118)</x:f>
        <x:v>26471422.000000000</x:v>
      </x:c>
      <x:c r="S118" s="37">
        <x:f>IF(K118=0,0,R118/K118)</x:f>
        <x:v>1.603366197647181958</x:v>
      </x:c>
    </x:row>
    <x:row r="119" s="20" customFormat="1">
      <x:c r="A119" s="20">
        <x:v>240</x:v>
      </x:c>
      <x:c r="B119" s="7"/>
      <x:c r="C119" s="8"/>
      <x:c r="D119" s="21"/>
      <x:c r="E119" s="24" t="s">
        <x:v>135</x:v>
      </x:c>
      <x:c r="F119" s="31">
        <x:v>0.00</x:v>
      </x:c>
      <x:c r="G119" s="31">
        <x:v>0.00</x:v>
      </x:c>
      <x:c r="H119" s="31">
        <x:v>0.00</x:v>
      </x:c>
      <x:c r="I119" s="31">
        <x:v>0.00</x:v>
      </x:c>
      <x:c r="J119" s="31">
        <x:v>0.00</x:v>
      </x:c>
      <x:c r="K119" s="33">
        <x:f>SUM(F119:J119)</x:f>
        <x:v>0.00</x:v>
      </x:c>
      <x:c r="L119" s="31"/>
      <x:c r="M119" s="31"/>
      <x:c r="N119" s="31"/>
      <x:c r="O119" s="31"/>
      <x:c r="P119" s="31"/>
      <x:c r="Q119" s="31"/>
      <x:c r="R119" s="19"/>
      <x:c r="S119" s="37"/>
    </x:row>
    <x:row r="120" s="20" customFormat="1">
      <x:c r="A120" s="20">
        <x:v>241</x:v>
      </x:c>
      <x:c r="B120" s="7"/>
      <x:c r="C120" s="8"/>
      <x:c r="D120" s="21"/>
      <x:c r="E120" s="24" t="s">
        <x:v>136</x:v>
      </x:c>
      <x:c r="F120" s="31">
        <x:v>0.00</x:v>
      </x:c>
      <x:c r="G120" s="31">
        <x:v>0.00</x:v>
      </x:c>
      <x:c r="H120" s="31">
        <x:v>0.00</x:v>
      </x:c>
      <x:c r="I120" s="31">
        <x:v>0.00</x:v>
      </x:c>
      <x:c r="J120" s="31">
        <x:v>0.00</x:v>
      </x:c>
      <x:c r="K120" s="33">
        <x:f>SUM(F120:J120)</x:f>
        <x:v>0.00</x:v>
      </x:c>
      <x:c r="L120" s="31"/>
      <x:c r="M120" s="31"/>
      <x:c r="N120" s="31"/>
      <x:c r="O120" s="31"/>
      <x:c r="P120" s="31"/>
      <x:c r="Q120" s="31"/>
      <x:c r="R120" s="19"/>
      <x:c r="S120" s="37"/>
    </x:row>
    <x:row r="121" s="20" customFormat="1">
      <x:c r="A121" s="20">
        <x:v>242</x:v>
      </x:c>
      <x:c r="B121" s="7"/>
      <x:c r="C121" s="8"/>
      <x:c r="D121" s="21"/>
      <x:c r="E121" s="24" t="s">
        <x:v>137</x:v>
      </x:c>
      <x:c r="F121" s="31">
        <x:v>0.00</x:v>
      </x:c>
      <x:c r="G121" s="31">
        <x:v>0.00</x:v>
      </x:c>
      <x:c r="H121" s="31">
        <x:v>0.00</x:v>
      </x:c>
      <x:c r="I121" s="31">
        <x:v>0.00</x:v>
      </x:c>
      <x:c r="J121" s="31">
        <x:v>0.00</x:v>
      </x:c>
      <x:c r="K121" s="33">
        <x:f>SUM(F121:J121)</x:f>
        <x:v>0.00</x:v>
      </x:c>
      <x:c r="L121" s="31"/>
      <x:c r="M121" s="31"/>
      <x:c r="N121" s="31"/>
      <x:c r="O121" s="31"/>
      <x:c r="P121" s="31"/>
      <x:c r="Q121" s="31"/>
      <x:c r="R121" s="19"/>
      <x:c r="S121" s="37"/>
    </x:row>
    <x:row r="122" s="20" customFormat="1">
      <x:c r="A122" s="20">
        <x:v>243</x:v>
      </x:c>
      <x:c r="B122" s="7"/>
      <x:c r="C122" s="8"/>
      <x:c r="D122" s="21"/>
      <x:c r="E122" s="24" t="s">
        <x:v>138</x:v>
      </x:c>
      <x:c r="F122" s="31">
        <x:v>0.00</x:v>
      </x:c>
      <x:c r="G122" s="31">
        <x:v>0.00</x:v>
      </x:c>
      <x:c r="H122" s="31">
        <x:v>0.00</x:v>
      </x:c>
      <x:c r="I122" s="31">
        <x:v>0.00</x:v>
      </x:c>
      <x:c r="J122" s="31">
        <x:v>0.00</x:v>
      </x:c>
      <x:c r="K122" s="33">
        <x:f>SUM(F122:J122)</x:f>
        <x:v>0.00</x:v>
      </x:c>
      <x:c r="L122" s="31"/>
      <x:c r="M122" s="31"/>
      <x:c r="N122" s="31"/>
      <x:c r="O122" s="31"/>
      <x:c r="P122" s="31"/>
      <x:c r="Q122" s="31"/>
      <x:c r="R122" s="19"/>
      <x:c r="S122" s="37"/>
    </x:row>
    <x:row r="123" s="20" customFormat="1">
      <x:c r="A123" s="20">
        <x:v>245</x:v>
      </x:c>
      <x:c r="B123" s="7"/>
      <x:c r="C123" s="8"/>
      <x:c r="D123" s="21"/>
      <x:c r="E123" s="24" t="s">
        <x:v>139</x:v>
      </x:c>
      <x:c r="F123" s="31">
        <x:v>59795613.00</x:v>
      </x:c>
      <x:c r="G123" s="31">
        <x:v>0.00</x:v>
      </x:c>
      <x:c r="H123" s="31">
        <x:v>1226138.00</x:v>
      </x:c>
      <x:c r="I123" s="31">
        <x:v>1578072.00</x:v>
      </x:c>
      <x:c r="J123" s="31">
        <x:v>6943531.00</x:v>
      </x:c>
      <x:c r="K123" s="33">
        <x:f>SUM(F123:J123)</x:f>
        <x:v>69543354.00</x:v>
      </x:c>
      <x:c r="L123" s="31"/>
      <x:c r="M123" s="31"/>
      <x:c r="N123" s="31"/>
      <x:c r="O123" s="31"/>
      <x:c r="P123" s="31"/>
      <x:c r="Q123" s="31"/>
      <x:c r="R123" s="19"/>
      <x:c r="S123" s="37"/>
    </x:row>
    <x:row r="124" s="20" customFormat="1">
      <x:c r="A124" s="20">
        <x:v>246</x:v>
      </x:c>
      <x:c r="B124" s="7"/>
      <x:c r="C124" s="8"/>
      <x:c r="D124" s="21"/>
      <x:c r="E124" s="24" t="s">
        <x:v>140</x:v>
      </x:c>
      <x:c r="F124" s="31">
        <x:v>0.00</x:v>
      </x:c>
      <x:c r="G124" s="31">
        <x:v>0.00</x:v>
      </x:c>
      <x:c r="H124" s="31">
        <x:v>0.00</x:v>
      </x:c>
      <x:c r="I124" s="31">
        <x:v>0.00</x:v>
      </x:c>
      <x:c r="J124" s="31">
        <x:v>0.00</x:v>
      </x:c>
      <x:c r="K124" s="33">
        <x:f>SUM(F124:J124)</x:f>
        <x:v>0.00</x:v>
      </x:c>
      <x:c r="L124" s="31"/>
      <x:c r="M124" s="31"/>
      <x:c r="N124" s="31"/>
      <x:c r="O124" s="31"/>
      <x:c r="P124" s="31"/>
      <x:c r="Q124" s="31"/>
      <x:c r="R124" s="19"/>
      <x:c r="S124" s="37"/>
    </x:row>
    <x:row r="125" s="20" customFormat="1">
      <x:c r="A125" s="20">
        <x:v>247</x:v>
      </x:c>
      <x:c r="B125" s="7"/>
      <x:c r="C125" s="8"/>
      <x:c r="D125" s="21"/>
      <x:c r="E125" s="24" t="s">
        <x:v>141</x:v>
      </x:c>
      <x:c r="F125" s="31">
        <x:v>22765427.00</x:v>
      </x:c>
      <x:c r="G125" s="31">
        <x:v>0.00</x:v>
      </x:c>
      <x:c r="H125" s="31">
        <x:v>466816.00</x:v>
      </x:c>
      <x:c r="I125" s="31">
        <x:v>600805.00</x:v>
      </x:c>
      <x:c r="J125" s="31">
        <x:v>2643546.00</x:v>
      </x:c>
      <x:c r="K125" s="33">
        <x:f>SUM(F125:J125)</x:f>
        <x:v>26476594.00</x:v>
      </x:c>
      <x:c r="L125" s="31">
        <x:v>868117.20</x:v>
      </x:c>
      <x:c r="M125" s="31"/>
      <x:c r="N125" s="31">
        <x:v>24195.685115472517380571692889115562</x:v>
      </x:c>
      <x:c r="O125" s="31">
        <x:v>22445.574353657897991183440606387934</x:v>
      </x:c>
      <x:c r="P125" s="31">
        <x:v>351641.540530869584628244866504098220</x:v>
      </x:c>
      <x:c r="Q125" s="31">
        <x:f>N125+O125+P125</x:f>
        <x:v>398282.80</x:v>
      </x:c>
      <x:c r="R125" s="19">
        <x:f>SUM(L125:P125)</x:f>
        <x:v>1266400.00</x:v>
      </x:c>
      <x:c r="S125" s="37">
        <x:f>IF(K125=0,0,R125/K125)</x:f>
        <x:v>0.047830925684776523</x:v>
      </x:c>
    </x:row>
    <x:row r="126" s="20" customFormat="1">
      <x:c r="A126" s="20">
        <x:v>248</x:v>
      </x:c>
      <x:c r="B126" s="7"/>
      <x:c r="C126" s="8"/>
      <x:c r="D126" s="21"/>
      <x:c r="E126" s="24" t="s">
        <x:v>142</x:v>
      </x:c>
      <x:c r="F126" s="31">
        <x:v>47135474.00</x:v>
      </x:c>
      <x:c r="G126" s="31">
        <x:v>0.00</x:v>
      </x:c>
      <x:c r="H126" s="31">
        <x:v>966536.00</x:v>
      </x:c>
      <x:c r="I126" s="31">
        <x:v>1243957.00</x:v>
      </x:c>
      <x:c r="J126" s="31">
        <x:v>5473422.00</x:v>
      </x:c>
      <x:c r="K126" s="33">
        <x:f>SUM(F126:J126)</x:f>
        <x:v>54819389.00</x:v>
      </x:c>
      <x:c r="L126" s="31">
        <x:v>14562113.449999999</x:v>
      </x:c>
      <x:c r="M126" s="31"/>
      <x:c r="N126" s="31">
        <x:v>404977.721466977400619373977722528711</x:v>
      </x:c>
      <x:c r="O126" s="31">
        <x:v>375685.065968609659099070613511430119</x:v>
      </x:c>
      <x:c r="P126" s="31">
        <x:v>5885635.772564412540281555408759374869</x:v>
      </x:c>
      <x:c r="Q126" s="31">
        <x:f>N126+O126+P126</x:f>
        <x:v>6666298.5599999996</x:v>
      </x:c>
      <x:c r="R126" s="19">
        <x:f>SUM(L126:P126)</x:f>
        <x:v>21228412.0099999986</x:v>
      </x:c>
      <x:c r="S126" s="37">
        <x:f>IF(K126=0,0,R126/K126)</x:f>
        <x:v>0.387242769342066154</x:v>
      </x:c>
    </x:row>
    <x:row r="127" s="20" customFormat="1">
      <x:c r="A127" s="20">
        <x:v>249</x:v>
      </x:c>
      <x:c r="B127" s="7"/>
      <x:c r="C127" s="8"/>
      <x:c r="D127" s="21"/>
      <x:c r="E127" s="24" t="s">
        <x:v>143</x:v>
      </x:c>
      <x:c r="F127" s="31">
        <x:v>0.00</x:v>
      </x:c>
      <x:c r="G127" s="31">
        <x:v>0.00</x:v>
      </x:c>
      <x:c r="H127" s="31">
        <x:v>0.00</x:v>
      </x:c>
      <x:c r="I127" s="31">
        <x:v>0.00</x:v>
      </x:c>
      <x:c r="J127" s="31">
        <x:v>0.00</x:v>
      </x:c>
      <x:c r="K127" s="33">
        <x:f>SUM(F127:J127)</x:f>
        <x:v>0.00</x:v>
      </x:c>
      <x:c r="L127" s="31"/>
      <x:c r="M127" s="31"/>
      <x:c r="N127" s="31"/>
      <x:c r="O127" s="31"/>
      <x:c r="P127" s="31"/>
      <x:c r="Q127" s="31"/>
      <x:c r="R127" s="19"/>
      <x:c r="S127" s="37"/>
    </x:row>
    <x:row r="128" s="20" customFormat="1">
      <x:c r="A128" s="20">
        <x:v>250</x:v>
      </x:c>
      <x:c r="B128" s="7"/>
      <x:c r="C128" s="8"/>
      <x:c r="D128" s="21"/>
      <x:c r="E128" s="24" t="s">
        <x:v>144</x:v>
      </x:c>
      <x:c r="F128" s="31">
        <x:v>0.00</x:v>
      </x:c>
      <x:c r="G128" s="31">
        <x:v>0.00</x:v>
      </x:c>
      <x:c r="H128" s="31">
        <x:v>0.00</x:v>
      </x:c>
      <x:c r="I128" s="31">
        <x:v>0.00</x:v>
      </x:c>
      <x:c r="J128" s="31">
        <x:v>0.00</x:v>
      </x:c>
      <x:c r="K128" s="33">
        <x:f>SUM(F128:J128)</x:f>
        <x:v>0.00</x:v>
      </x:c>
      <x:c r="L128" s="31"/>
      <x:c r="M128" s="31"/>
      <x:c r="N128" s="31"/>
      <x:c r="O128" s="31"/>
      <x:c r="P128" s="31"/>
      <x:c r="Q128" s="31"/>
      <x:c r="R128" s="19"/>
      <x:c r="S128" s="37"/>
    </x:row>
    <x:row r="129" s="20" customFormat="1">
      <x:c r="A129" s="20">
        <x:v>251</x:v>
      </x:c>
      <x:c r="B129" s="7"/>
      <x:c r="C129" s="8"/>
      <x:c r="D129" s="21"/>
      <x:c r="E129" s="24" t="s">
        <x:v>145</x:v>
      </x:c>
      <x:c r="F129" s="31">
        <x:v>123925703.00</x:v>
      </x:c>
      <x:c r="G129" s="31">
        <x:v>0.00</x:v>
      </x:c>
      <x:c r="H129" s="31">
        <x:v>2541156.00</x:v>
      </x:c>
      <x:c r="I129" s="31">
        <x:v>3270535.00</x:v>
      </x:c>
      <x:c r="J129" s="31">
        <x:v>14390385.00</x:v>
      </x:c>
      <x:c r="K129" s="33">
        <x:f>SUM(F129:J129)</x:f>
        <x:v>144127779.00</x:v>
      </x:c>
      <x:c r="L129" s="31">
        <x:v>45222109.729999997</x:v>
      </x:c>
      <x:c r="M129" s="31"/>
      <x:c r="N129" s="31">
        <x:v>1225195.517620693821258094082276207662</x:v>
      </x:c>
      <x:c r="O129" s="31">
        <x:v>1136575.259484509410714888135516204822</x:v>
      </x:c>
      <x:c r="P129" s="31">
        <x:v>17806052.492894796768027017782187419692</x:v>
      </x:c>
      <x:c r="Q129" s="31">
        <x:f>N129+O129+P129</x:f>
        <x:v>20167823.27</x:v>
      </x:c>
      <x:c r="R129" s="19">
        <x:f>SUM(L129:P129)</x:f>
        <x:v>65389932.999999997</x:v>
      </x:c>
      <x:c r="S129" s="37">
        <x:f>IF(K129=0,0,R129/K129)</x:f>
        <x:v>0.453694169532717193</x:v>
      </x:c>
    </x:row>
    <x:row r="130" s="20" customFormat="1">
      <x:c r="A130" s="20">
        <x:v>252</x:v>
      </x:c>
      <x:c r="B130" s="7"/>
      <x:c r="C130" s="8"/>
      <x:c r="D130" s="21"/>
      <x:c r="E130" s="24" t="s">
        <x:v>146</x:v>
      </x:c>
      <x:c r="F130" s="31">
        <x:v>40221692.00</x:v>
      </x:c>
      <x:c r="G130" s="31">
        <x:v>0.00</x:v>
      </x:c>
      <x:c r="H130" s="31">
        <x:v>824765.00</x:v>
      </x:c>
      <x:c r="I130" s="31">
        <x:v>1061495.00</x:v>
      </x:c>
      <x:c r="J130" s="31">
        <x:v>4670586.00</x:v>
      </x:c>
      <x:c r="K130" s="33">
        <x:f>SUM(F130:J130)</x:f>
        <x:v>46778538.00</x:v>
      </x:c>
      <x:c r="L130" s="31">
        <x:v>14939024.57</x:v>
      </x:c>
      <x:c r="M130" s="31"/>
      <x:c r="N130" s="31">
        <x:v>420596.542414569889469987132373451043</x:v>
      </x:c>
      <x:c r="O130" s="31">
        <x:v>390174.153804831913966830372567577807</x:v>
      </x:c>
      <x:c r="P130" s="31">
        <x:v>6112627.743780598596563182495052047751</x:v>
      </x:c>
      <x:c r="Q130" s="31">
        <x:f>N130+O130+P130</x:f>
        <x:v>6923398.4400000004</x:v>
      </x:c>
      <x:c r="R130" s="19">
        <x:f>SUM(L130:P130)</x:f>
        <x:v>21862423.0100000004</x:v>
      </x:c>
      <x:c r="S130" s="37">
        <x:f>IF(K130=0,0,R130/K130)</x:f>
        <x:v>0.467360117368353846</x:v>
      </x:c>
    </x:row>
    <x:row r="131" s="20" customFormat="1">
      <x:c r="A131" s="20">
        <x:v>253</x:v>
      </x:c>
      <x:c r="B131" s="7"/>
      <x:c r="C131" s="8"/>
      <x:c r="D131" s="21"/>
      <x:c r="E131" s="24" t="s">
        <x:v>147</x:v>
      </x:c>
      <x:c r="F131" s="31">
        <x:v>11452931.00</x:v>
      </x:c>
      <x:c r="G131" s="31">
        <x:v>0.00</x:v>
      </x:c>
      <x:c r="H131" s="31">
        <x:v>234848.00</x:v>
      </x:c>
      <x:c r="I131" s="31">
        <x:v>302255.00</x:v>
      </x:c>
      <x:c r="J131" s="31">
        <x:v>1329927.00</x:v>
      </x:c>
      <x:c r="K131" s="33">
        <x:f>SUM(F131:J131)</x:f>
        <x:v>13319961.00</x:v>
      </x:c>
      <x:c r="L131" s="31">
        <x:v>4513400.74</x:v>
      </x:c>
      <x:c r="M131" s="31"/>
      <x:c r="N131" s="31">
        <x:v>96853.700121599147666388275742924882</x:v>
      </x:c>
      <x:c r="O131" s="31">
        <x:v>89848.124454060695215809585257054122</x:v>
      </x:c>
      <x:c r="P131" s="31">
        <x:v>1407597.435424340157117802138998426695</x:v>
      </x:c>
      <x:c r="Q131" s="31">
        <x:f>N131+O131+P131</x:f>
        <x:v>1594299.26</x:v>
      </x:c>
      <x:c r="R131" s="19">
        <x:f>SUM(L131:P131)</x:f>
        <x:v>6107700.00</x:v>
      </x:c>
      <x:c r="S131" s="37">
        <x:f>IF(K131=0,0,R131/K131)</x:f>
        <x:v>0.458537378600432839</x:v>
      </x:c>
    </x:row>
    <x:row r="132" s="20" customFormat="1">
      <x:c r="A132" s="20">
        <x:v>254</x:v>
      </x:c>
      <x:c r="B132" s="7"/>
      <x:c r="C132" s="8"/>
      <x:c r="D132" s="21"/>
      <x:c r="E132" s="24" t="s">
        <x:v>148</x:v>
      </x:c>
      <x:c r="F132" s="31">
        <x:v>1598895.00</x:v>
      </x:c>
      <x:c r="G132" s="31">
        <x:v>0.00</x:v>
      </x:c>
      <x:c r="H132" s="31">
        <x:v>32786.00</x:v>
      </x:c>
      <x:c r="I132" s="31">
        <x:v>42197.00</x:v>
      </x:c>
      <x:c r="J132" s="31">
        <x:v>185665.00</x:v>
      </x:c>
      <x:c r="K132" s="33">
        <x:f>SUM(F132:J132)</x:f>
        <x:v>1859543.00</x:v>
      </x:c>
      <x:c r="L132" s="31">
        <x:v>2005766.04</x:v>
      </x:c>
      <x:c r="M132" s="31"/>
      <x:c r="N132" s="31">
        <x:v>42344.821847568777915965023240782833</x:v>
      </x:c>
      <x:c r="O132" s="31">
        <x:v>39281.956379247622850071955636285030</x:v>
      </x:c>
      <x:c r="P132" s="31">
        <x:v>615407.181773183599233963021122235102</x:v>
      </x:c>
      <x:c r="Q132" s="31">
        <x:f>N132+O132+P132</x:f>
        <x:v>697033.96</x:v>
      </x:c>
      <x:c r="R132" s="19">
        <x:f>SUM(L132:P132)</x:f>
        <x:v>2702800.00</x:v>
      </x:c>
      <x:c r="S132" s="37">
        <x:f>IF(K132=0,0,R132/K132)</x:f>
        <x:v>1.453475396912036989</x:v>
      </x:c>
    </x:row>
    <x:row r="133" s="20" customFormat="1">
      <x:c r="A133" s="20">
        <x:v>233</x:v>
      </x:c>
      <x:c r="B133" s="7"/>
      <x:c r="C133" s="8"/>
      <x:c r="D133" s="21"/>
      <x:c r="E133" s="24" t="s">
        <x:v>149</x:v>
      </x:c>
      <x:c r="F133" s="31">
        <x:v>0.00</x:v>
      </x:c>
      <x:c r="G133" s="31">
        <x:v>0.00</x:v>
      </x:c>
      <x:c r="H133" s="31">
        <x:v>0.00</x:v>
      </x:c>
      <x:c r="I133" s="31">
        <x:v>0.00</x:v>
      </x:c>
      <x:c r="J133" s="31">
        <x:v>0.00</x:v>
      </x:c>
      <x:c r="K133" s="33">
        <x:f>SUM(F133:J133)</x:f>
        <x:v>0.00</x:v>
      </x:c>
      <x:c r="L133" s="31"/>
      <x:c r="M133" s="31"/>
      <x:c r="N133" s="31"/>
      <x:c r="O133" s="31"/>
      <x:c r="P133" s="31"/>
      <x:c r="Q133" s="31"/>
      <x:c r="R133" s="19"/>
      <x:c r="S133" s="37"/>
    </x:row>
    <x:row r="134" s="20" customFormat="1">
      <x:c r="A134" s="20">
        <x:v>234</x:v>
      </x:c>
      <x:c r="B134" s="7"/>
      <x:c r="C134" s="8"/>
      <x:c r="D134" s="21"/>
      <x:c r="E134" s="24" t="s">
        <x:v>150</x:v>
      </x:c>
      <x:c r="F134" s="31">
        <x:v>402127.00</x:v>
      </x:c>
      <x:c r="G134" s="31">
        <x:v>0.00</x:v>
      </x:c>
      <x:c r="H134" s="31">
        <x:v>8246.00</x:v>
      </x:c>
      <x:c r="I134" s="31">
        <x:v>10613.00</x:v>
      </x:c>
      <x:c r="J134" s="31">
        <x:v>46695.00</x:v>
      </x:c>
      <x:c r="K134" s="33">
        <x:f>SUM(F134:J134)</x:f>
        <x:v>467681.00</x:v>
      </x:c>
      <x:c r="L134" s="31"/>
      <x:c r="M134" s="31"/>
      <x:c r="N134" s="31"/>
      <x:c r="O134" s="31"/>
      <x:c r="P134" s="31"/>
      <x:c r="Q134" s="31"/>
      <x:c r="R134" s="19"/>
      <x:c r="S134" s="37"/>
    </x:row>
    <x:row r="135" s="20" customFormat="1">
      <x:c r="A135" s="20">
        <x:v>237</x:v>
      </x:c>
      <x:c r="B135" s="7"/>
      <x:c r="C135" s="8"/>
      <x:c r="D135" s="21"/>
      <x:c r="E135" s="24" t="s">
        <x:v>151</x:v>
      </x:c>
      <x:c r="F135" s="31">
        <x:v>0.00</x:v>
      </x:c>
      <x:c r="G135" s="31">
        <x:v>0.00</x:v>
      </x:c>
      <x:c r="H135" s="31">
        <x:v>0.00</x:v>
      </x:c>
      <x:c r="I135" s="31">
        <x:v>0.00</x:v>
      </x:c>
      <x:c r="J135" s="31">
        <x:v>0.00</x:v>
      </x:c>
      <x:c r="K135" s="33">
        <x:f>SUM(F135:J135)</x:f>
        <x:v>0.00</x:v>
      </x:c>
      <x:c r="L135" s="31"/>
      <x:c r="M135" s="31"/>
      <x:c r="N135" s="31"/>
      <x:c r="O135" s="31"/>
      <x:c r="P135" s="31"/>
      <x:c r="Q135" s="31"/>
      <x:c r="R135" s="19"/>
      <x:c r="S135" s="37"/>
    </x:row>
    <x:row r="136" s="20" customFormat="1">
      <x:c r="A136" s="20">
        <x:v>256</x:v>
      </x:c>
      <x:c r="B136" s="7"/>
      <x:c r="C136" s="8"/>
      <x:c r="D136" s="21"/>
      <x:c r="E136" s="24" t="s">
        <x:v>152</x:v>
      </x:c>
      <x:c r="F136" s="31">
        <x:v>352382957.00</x:v>
      </x:c>
      <x:c r="G136" s="31">
        <x:v>0.00</x:v>
      </x:c>
      <x:c r="H136" s="31">
        <x:v>7225783.00</x:v>
      </x:c>
      <x:c r="I136" s="31">
        <x:v>9299773.00</x:v>
      </x:c>
      <x:c r="J136" s="31">
        <x:v>40919086.00</x:v>
      </x:c>
      <x:c r="K136" s="33">
        <x:f>SUM(F136:J136)</x:f>
        <x:v>409827599.00</x:v>
      </x:c>
      <x:c r="L136" s="31">
        <x:v>171102093.25</x:v>
      </x:c>
      <x:c r="M136" s="31"/>
      <x:c r="N136" s="31">
        <x:v>4230255.730443284994280592376701916896</x:v>
      </x:c>
      <x:c r="O136" s="31">
        <x:v>3924274.889489851407521099952815565177</x:v>
      </x:c>
      <x:c r="P136" s="31">
        <x:v>61479294.130066863598198307670412884101</x:v>
      </x:c>
      <x:c r="Q136" s="31">
        <x:f>N136+O136+P136</x:f>
        <x:v>69633824.75</x:v>
      </x:c>
      <x:c r="R136" s="19">
        <x:f>SUM(L136:P136)</x:f>
        <x:v>240735918.00</x:v>
      </x:c>
      <x:c r="S136" s="37">
        <x:f>IF(K136=0,0,R136/K136)</x:f>
        <x:v>0.587407774848272236</x:v>
      </x:c>
      <x:c r="U136" s="50"/>
    </x:row>
    <x:row r="137" s="20" customFormat="1">
      <x:c r="A137" s="20">
        <x:v>261</x:v>
      </x:c>
      <x:c r="B137" s="7"/>
      <x:c r="C137" s="8"/>
      <x:c r="D137" s="21"/>
      <x:c r="E137" s="24" t="s">
        <x:v>153</x:v>
      </x:c>
      <x:c r="F137" s="31">
        <x:v>0.00</x:v>
      </x:c>
      <x:c r="G137" s="31">
        <x:v>0.00</x:v>
      </x:c>
      <x:c r="H137" s="31">
        <x:v>0.00</x:v>
      </x:c>
      <x:c r="I137" s="31">
        <x:v>0.00</x:v>
      </x:c>
      <x:c r="J137" s="31">
        <x:v>0.00</x:v>
      </x:c>
      <x:c r="K137" s="33">
        <x:f>SUM(F137:J137)</x:f>
        <x:v>0.00</x:v>
      </x:c>
      <x:c r="L137" s="31"/>
      <x:c r="M137" s="31"/>
      <x:c r="N137" s="31"/>
      <x:c r="O137" s="31"/>
      <x:c r="P137" s="31"/>
      <x:c r="Q137" s="31"/>
      <x:c r="R137" s="19"/>
      <x:c r="S137" s="37"/>
    </x:row>
    <x:row r="138" s="20" customFormat="1">
      <x:c r="A138" s="20">
        <x:v>227</x:v>
      </x:c>
      <x:c r="B138" s="7"/>
      <x:c r="C138" s="8"/>
      <x:c r="D138" s="21"/>
      <x:c r="E138" s="24" t="s">
        <x:v>154</x:v>
      </x:c>
      <x:c r="F138" s="31">
        <x:v>108379092.00</x:v>
      </x:c>
      <x:c r="G138" s="31">
        <x:v>0.00</x:v>
      </x:c>
      <x:c r="H138" s="31">
        <x:v>2222366.00</x:v>
      </x:c>
      <x:c r="I138" s="31">
        <x:v>2860243.00</x:v>
      </x:c>
      <x:c r="J138" s="31">
        <x:v>12585096.00</x:v>
      </x:c>
      <x:c r="K138" s="33">
        <x:f>SUM(F138:J138)</x:f>
        <x:v>126046797.00</x:v>
      </x:c>
      <x:c r="L138" s="31">
        <x:v>-1743620.50</x:v>
      </x:c>
      <x:c r="M138" s="31"/>
      <x:c r="N138" s="31">
        <x:v>105924.967331962988337360050298848257</x:v>
      </x:c>
      <x:c r="O138" s="31">
        <x:v>98263.253088790580271948139115800215</x:v>
      </x:c>
      <x:c r="P138" s="31">
        <x:v>1539432.279579246431390691810583607906</x:v>
      </x:c>
      <x:c r="Q138" s="31">
        <x:f>N138+O138+P138</x:f>
        <x:v>1743620.50</x:v>
      </x:c>
      <x:c r="R138" s="19">
        <x:f>SUM(L138:P138)</x:f>
        <x:v>0.00</x:v>
      </x:c>
      <x:c r="S138" s="37">
        <x:f>IF(K138=0,0,R138/K138)</x:f>
        <x:v>0.000000000000000000</x:v>
      </x:c>
    </x:row>
    <x:row r="139" s="20" customFormat="1">
      <x:c r="A139" s="20">
        <x:v>226</x:v>
      </x:c>
      <x:c r="B139" s="7"/>
      <x:c r="C139" s="8"/>
      <x:c r="D139" s="21"/>
      <x:c r="E139" s="24" t="s">
        <x:v>155</x:v>
      </x:c>
      <x:c r="F139" s="31">
        <x:v>69301.00</x:v>
      </x:c>
      <x:c r="G139" s="31">
        <x:v>0.00</x:v>
      </x:c>
      <x:c r="H139" s="31">
        <x:v>1421.00</x:v>
      </x:c>
      <x:c r="I139" s="31">
        <x:v>1829.00</x:v>
      </x:c>
      <x:c r="J139" s="31">
        <x:v>8047.00</x:v>
      </x:c>
      <x:c r="K139" s="33">
        <x:f>SUM(F139:J139)</x:f>
        <x:v>80598.00</x:v>
      </x:c>
      <x:c r="L139" s="31"/>
      <x:c r="M139" s="31"/>
      <x:c r="N139" s="31"/>
      <x:c r="O139" s="31"/>
      <x:c r="P139" s="31"/>
      <x:c r="Q139" s="31"/>
      <x:c r="R139" s="19"/>
      <x:c r="S139" s="37"/>
    </x:row>
    <x:row r="140" s="20" customFormat="1">
      <x:c r="A140" s="20">
        <x:v>228</x:v>
      </x:c>
      <x:c r="B140" s="7"/>
      <x:c r="C140" s="8"/>
      <x:c r="D140" s="21"/>
      <x:c r="E140" s="24" t="s">
        <x:v>156</x:v>
      </x:c>
      <x:c r="F140" s="31">
        <x:v>371039.00</x:v>
      </x:c>
      <x:c r="G140" s="31">
        <x:v>0.00</x:v>
      </x:c>
      <x:c r="H140" s="31">
        <x:v>7608.00</x:v>
      </x:c>
      <x:c r="I140" s="31">
        <x:v>9792.00</x:v>
      </x:c>
      <x:c r="J140" s="31">
        <x:v>43085.00</x:v>
      </x:c>
      <x:c r="K140" s="33">
        <x:f>SUM(F140:J140)</x:f>
        <x:v>431524.00</x:v>
      </x:c>
      <x:c r="L140" s="31"/>
      <x:c r="M140" s="31"/>
      <x:c r="N140" s="31"/>
      <x:c r="O140" s="31"/>
      <x:c r="P140" s="31"/>
      <x:c r="Q140" s="31"/>
      <x:c r="R140" s="19"/>
      <x:c r="S140" s="37"/>
    </x:row>
    <x:row r="141" s="20" customFormat="1">
      <x:c r="A141" s="20">
        <x:v>260</x:v>
      </x:c>
      <x:c r="B141" s="7"/>
      <x:c r="C141" s="8"/>
      <x:c r="D141" s="21"/>
      <x:c r="E141" s="24" t="s">
        <x:v>157</x:v>
      </x:c>
      <x:c r="F141" s="31">
        <x:v>0.00</x:v>
      </x:c>
      <x:c r="G141" s="31">
        <x:v>0.00</x:v>
      </x:c>
      <x:c r="H141" s="31">
        <x:v>0.00</x:v>
      </x:c>
      <x:c r="I141" s="31">
        <x:v>0.00</x:v>
      </x:c>
      <x:c r="J141" s="31">
        <x:v>0.00</x:v>
      </x:c>
      <x:c r="K141" s="33">
        <x:f>SUM(F141:J141)</x:f>
        <x:v>0.00</x:v>
      </x:c>
      <x:c r="L141" s="31"/>
      <x:c r="M141" s="31"/>
      <x:c r="N141" s="31"/>
      <x:c r="O141" s="31"/>
      <x:c r="P141" s="31"/>
      <x:c r="Q141" s="31"/>
      <x:c r="R141" s="19"/>
      <x:c r="S141" s="37"/>
    </x:row>
    <x:row r="142" s="20" customFormat="1">
      <x:c r="A142" s="20">
        <x:v>238</x:v>
      </x:c>
      <x:c r="B142" s="7"/>
      <x:c r="C142" s="8"/>
      <x:c r="D142" s="21"/>
      <x:c r="E142" s="24" t="s">
        <x:v>158</x:v>
      </x:c>
      <x:c r="F142" s="31">
        <x:v>0.00</x:v>
      </x:c>
      <x:c r="G142" s="31">
        <x:v>0.00</x:v>
      </x:c>
      <x:c r="H142" s="31">
        <x:v>0.00</x:v>
      </x:c>
      <x:c r="I142" s="31">
        <x:v>0.00</x:v>
      </x:c>
      <x:c r="J142" s="31">
        <x:v>0.00</x:v>
      </x:c>
      <x:c r="K142" s="33">
        <x:f>SUM(F142:J142)</x:f>
        <x:v>0.00</x:v>
      </x:c>
      <x:c r="L142" s="31"/>
      <x:c r="M142" s="31"/>
      <x:c r="N142" s="31"/>
      <x:c r="O142" s="31"/>
      <x:c r="P142" s="31"/>
      <x:c r="Q142" s="31"/>
      <x:c r="R142" s="19"/>
      <x:c r="S142" s="37"/>
    </x:row>
    <x:row r="143" s="23" customFormat="1">
      <x:c r="B143" s="12">
        <x:v>22</x:v>
      </x:c>
      <x:c r="C143" s="8" t="s">
        <x:v>34</x:v>
      </x:c>
      <x:c r="D143" s="14"/>
      <x:c r="E143" s="15" t="s">
        <x:v>159</x:v>
      </x:c>
      <x:c r="F143" s="32">
        <x:f>SUM(F56:F142)</x:f>
        <x:v>7377909261.00</x:v>
      </x:c>
      <x:c r="G143" s="32">
        <x:f>SUM(G56:G142)</x:f>
        <x:v>0.00</x:v>
      </x:c>
      <x:c r="H143" s="32">
        <x:f>SUM(H56:H142)</x:f>
        <x:v>151287595.00</x:v>
      </x:c>
      <x:c r="I143" s="32">
        <x:f>SUM(I56:I142)</x:f>
        <x:v>194711118.00</x:v>
      </x:c>
      <x:c r="J143" s="32">
        <x:f>SUM(J56:J142)</x:f>
        <x:v>856730720.00</x:v>
      </x:c>
      <x:c r="K143" s="32">
        <x:f>SUM(K56:K142)</x:f>
        <x:v>8580638694.00</x:v>
      </x:c>
      <x:c r="L143" s="32">
        <x:f>SUM(L56:L142)</x:f>
        <x:v>3221447324.1400000588</x:v>
      </x:c>
      <x:c r="M143" s="32"/>
      <x:c r="N143" s="32">
        <x:f>SUM(N56:N142)</x:f>
        <x:v>93701641.395623047397720606341799105781</x:v>
      </x:c>
      <x:c r="O143" s="32">
        <x:f>SUM(O56:O142)</x:f>
        <x:v>86924058.937281834109910001380665425517</x:v>
      </x:c>
      <x:c r="P143" s="32">
        <x:f>SUM(P56:P142)</x:f>
        <x:v>1361787830.077095160392369392275993055128</x:v>
      </x:c>
      <x:c r="Q143" s="32">
        <x:f>SUM(Q56:Q142)</x:f>
        <x:v>1542413530.4100000419</x:v>
      </x:c>
      <x:c r="R143" s="16">
        <x:f>SUM(R56:R142)</x:f>
        <x:v>4763860854.5500001007</x:v>
      </x:c>
      <x:c r="S143" s="37">
        <x:f>IF(K143=0,0,R143/K143)</x:f>
        <x:v>0.555187209768093761</x:v>
      </x:c>
    </x:row>
    <x:row r="144" s="20" customFormat="1">
      <x:c r="B144" s="7"/>
      <x:c r="C144" s="8" t="s">
        <x:v>36</x:v>
      </x:c>
      <x:c r="D144" s="21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19"/>
      <x:c r="S144" s="19"/>
    </x:row>
    <x:row r="145" s="20" customFormat="1">
      <x:c r="B145" s="7"/>
      <x:c r="C145" s="8" t="s">
        <x:v>29</x:v>
      </x:c>
      <x:c r="D145" s="21"/>
      <x:c r="E145" s="22" t="s">
        <x:v>160</x:v>
      </x:c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19"/>
      <x:c r="S145" s="19"/>
    </x:row>
    <x:row r="146" s="20" customFormat="1">
      <x:c r="A146" s="20">
        <x:v>269</x:v>
      </x:c>
      <x:c r="B146" s="7"/>
      <x:c r="C146" s="8"/>
      <x:c r="D146" s="21"/>
      <x:c r="E146" s="24" t="s">
        <x:v>161</x:v>
      </x:c>
      <x:c r="F146" s="31">
        <x:v>0.00</x:v>
      </x:c>
      <x:c r="G146" s="31">
        <x:v>0.00</x:v>
      </x:c>
      <x:c r="H146" s="31">
        <x:v>0.00</x:v>
      </x:c>
      <x:c r="I146" s="31">
        <x:v>0.00</x:v>
      </x:c>
      <x:c r="J146" s="31">
        <x:v>0.00</x:v>
      </x:c>
      <x:c r="K146" s="33">
        <x:f>SUM(F146:J146)</x:f>
        <x:v>0.00</x:v>
      </x:c>
      <x:c r="L146" s="31"/>
      <x:c r="M146" s="31"/>
      <x:c r="N146" s="31"/>
      <x:c r="O146" s="31"/>
      <x:c r="P146" s="31"/>
      <x:c r="Q146" s="31"/>
      <x:c r="R146" s="19"/>
      <x:c r="S146" s="37"/>
    </x:row>
    <x:row r="147" s="20" customFormat="1">
      <x:c r="A147" s="20">
        <x:v>270</x:v>
      </x:c>
      <x:c r="B147" s="7"/>
      <x:c r="C147" s="8"/>
      <x:c r="D147" s="21"/>
      <x:c r="E147" s="24" t="s">
        <x:v>162</x:v>
      </x:c>
      <x:c r="F147" s="31">
        <x:v>0.00</x:v>
      </x:c>
      <x:c r="G147" s="31">
        <x:v>0.00</x:v>
      </x:c>
      <x:c r="H147" s="31">
        <x:v>0.00</x:v>
      </x:c>
      <x:c r="I147" s="31">
        <x:v>0.00</x:v>
      </x:c>
      <x:c r="J147" s="31">
        <x:v>0.00</x:v>
      </x:c>
      <x:c r="K147" s="33">
        <x:f>SUM(F147:J147)</x:f>
        <x:v>0.00</x:v>
      </x:c>
      <x:c r="L147" s="31"/>
      <x:c r="M147" s="31"/>
      <x:c r="N147" s="31"/>
      <x:c r="O147" s="31"/>
      <x:c r="P147" s="31"/>
      <x:c r="Q147" s="31"/>
      <x:c r="R147" s="19"/>
      <x:c r="S147" s="37"/>
    </x:row>
    <x:row r="148" s="20" customFormat="1">
      <x:c r="A148" s="20">
        <x:v>271</x:v>
      </x:c>
      <x:c r="B148" s="7"/>
      <x:c r="C148" s="8"/>
      <x:c r="D148" s="21"/>
      <x:c r="E148" s="24" t="s">
        <x:v>163</x:v>
      </x:c>
      <x:c r="F148" s="31">
        <x:v>0.00</x:v>
      </x:c>
      <x:c r="G148" s="31">
        <x:v>0.00</x:v>
      </x:c>
      <x:c r="H148" s="31">
        <x:v>0.00</x:v>
      </x:c>
      <x:c r="I148" s="31">
        <x:v>0.00</x:v>
      </x:c>
      <x:c r="J148" s="31">
        <x:v>0.00</x:v>
      </x:c>
      <x:c r="K148" s="33">
        <x:f>SUM(F148:J148)</x:f>
        <x:v>0.00</x:v>
      </x:c>
      <x:c r="L148" s="31"/>
      <x:c r="M148" s="31"/>
      <x:c r="N148" s="31"/>
      <x:c r="O148" s="31"/>
      <x:c r="P148" s="31"/>
      <x:c r="Q148" s="31"/>
      <x:c r="R148" s="19"/>
      <x:c r="S148" s="37"/>
    </x:row>
    <x:row r="149" s="20" customFormat="1">
      <x:c r="A149" s="20">
        <x:v>272</x:v>
      </x:c>
      <x:c r="B149" s="7"/>
      <x:c r="C149" s="8"/>
      <x:c r="D149" s="21"/>
      <x:c r="E149" s="24" t="s">
        <x:v>164</x:v>
      </x:c>
      <x:c r="F149" s="31">
        <x:v>220363974.00</x:v>
      </x:c>
      <x:c r="G149" s="31">
        <x:v>0.00</x:v>
      </x:c>
      <x:c r="H149" s="31">
        <x:v>4518670.00</x:v>
      </x:c>
      <x:c r="I149" s="31">
        <x:v>5815647.00</x:v>
      </x:c>
      <x:c r="J149" s="31">
        <x:v>25588901.00</x:v>
      </x:c>
      <x:c r="K149" s="33">
        <x:f>SUM(F149:J149)</x:f>
        <x:v>256287192.00</x:v>
      </x:c>
      <x:c r="L149" s="31">
        <x:v>138440155.53</x:v>
      </x:c>
      <x:c r="M149" s="31"/>
      <x:c r="N149" s="31">
        <x:v>3724625.745432312163662834554387588795</x:v>
      </x:c>
      <x:c r="O149" s="31">
        <x:v>3455217.891523498035348910185984045124</x:v>
      </x:c>
      <x:c r="P149" s="31">
        <x:v>54130855.513044188800988255259567055380</x:v>
      </x:c>
      <x:c r="Q149" s="31">
        <x:f>N149+O149+P149</x:f>
        <x:v>61310699.149999999</x:v>
      </x:c>
      <x:c r="R149" s="19">
        <x:f>SUM(L149:P149)</x:f>
        <x:v>199750854.679999999</x:v>
      </x:c>
      <x:c r="S149" s="37">
        <x:f>IF(K149=0,0,R149/K149)</x:f>
        <x:v>0.779402408373181594</x:v>
      </x:c>
    </x:row>
    <x:row r="150" s="20" customFormat="1">
      <x:c r="A150" s="20">
        <x:v>273</x:v>
      </x:c>
      <x:c r="B150" s="7"/>
      <x:c r="C150" s="8"/>
      <x:c r="D150" s="21"/>
      <x:c r="E150" s="24" t="s">
        <x:v>165</x:v>
      </x:c>
      <x:c r="F150" s="31">
        <x:v>0.00</x:v>
      </x:c>
      <x:c r="G150" s="31">
        <x:v>0.00</x:v>
      </x:c>
      <x:c r="H150" s="31">
        <x:v>0.00</x:v>
      </x:c>
      <x:c r="I150" s="31">
        <x:v>0.00</x:v>
      </x:c>
      <x:c r="J150" s="31">
        <x:v>0.00</x:v>
      </x:c>
      <x:c r="K150" s="33">
        <x:f>SUM(F150:J150)</x:f>
        <x:v>0.00</x:v>
      </x:c>
      <x:c r="L150" s="31"/>
      <x:c r="M150" s="31"/>
      <x:c r="N150" s="31"/>
      <x:c r="O150" s="31"/>
      <x:c r="P150" s="31"/>
      <x:c r="Q150" s="31"/>
      <x:c r="R150" s="19"/>
      <x:c r="S150" s="37"/>
    </x:row>
    <x:row r="151" s="20" customFormat="1">
      <x:c r="A151" s="20">
        <x:v>265</x:v>
      </x:c>
      <x:c r="B151" s="7"/>
      <x:c r="C151" s="8"/>
      <x:c r="D151" s="21"/>
      <x:c r="E151" s="24" t="s">
        <x:v>166</x:v>
      </x:c>
      <x:c r="F151" s="31">
        <x:v>148408.00</x:v>
      </x:c>
      <x:c r="G151" s="31">
        <x:v>0.00</x:v>
      </x:c>
      <x:c r="H151" s="31">
        <x:v>3043.00</x:v>
      </x:c>
      <x:c r="I151" s="31">
        <x:v>3917.00</x:v>
      </x:c>
      <x:c r="J151" s="31">
        <x:v>17233.00</x:v>
      </x:c>
      <x:c r="K151" s="33">
        <x:f>SUM(F151:J151)</x:f>
        <x:v>172601.00</x:v>
      </x:c>
      <x:c r="L151" s="31"/>
      <x:c r="M151" s="31"/>
      <x:c r="N151" s="31"/>
      <x:c r="O151" s="31"/>
      <x:c r="P151" s="31"/>
      <x:c r="Q151" s="31"/>
      <x:c r="R151" s="19"/>
      <x:c r="S151" s="37"/>
    </x:row>
    <x:row r="152" s="20" customFormat="1">
      <x:c r="A152" s="20">
        <x:v>266</x:v>
      </x:c>
      <x:c r="B152" s="7"/>
      <x:c r="C152" s="8"/>
      <x:c r="D152" s="21"/>
      <x:c r="E152" s="24" t="s">
        <x:v>167</x:v>
      </x:c>
      <x:c r="F152" s="31">
        <x:v>52518038.00</x:v>
      </x:c>
      <x:c r="G152" s="31">
        <x:v>0.00</x:v>
      </x:c>
      <x:c r="H152" s="31">
        <x:v>1076908.00</x:v>
      </x:c>
      <x:c r="I152" s="31">
        <x:v>1386009.00</x:v>
      </x:c>
      <x:c r="J152" s="31">
        <x:v>6098451.00</x:v>
      </x:c>
      <x:c r="K152" s="33">
        <x:f>SUM(F152:J152)</x:f>
        <x:v>61079406.00</x:v>
      </x:c>
      <x:c r="L152" s="31"/>
      <x:c r="M152" s="31"/>
      <x:c r="N152" s="31"/>
      <x:c r="O152" s="31"/>
      <x:c r="P152" s="31"/>
      <x:c r="Q152" s="31"/>
      <x:c r="R152" s="19"/>
      <x:c r="S152" s="37"/>
    </x:row>
    <x:row r="153" s="20" customFormat="1">
      <x:c r="A153" s="20">
        <x:v>267</x:v>
      </x:c>
      <x:c r="B153" s="7"/>
      <x:c r="C153" s="8"/>
      <x:c r="D153" s="21"/>
      <x:c r="E153" s="24" t="s">
        <x:v>168</x:v>
      </x:c>
      <x:c r="F153" s="31">
        <x:v>37374150.00</x:v>
      </x:c>
      <x:c r="G153" s="31">
        <x:v>0.00</x:v>
      </x:c>
      <x:c r="H153" s="31">
        <x:v>766375.00</x:v>
      </x:c>
      <x:c r="I153" s="31">
        <x:v>986345.00</x:v>
      </x:c>
      <x:c r="J153" s="31">
        <x:v>4339926.00</x:v>
      </x:c>
      <x:c r="K153" s="33">
        <x:f>SUM(F153:J153)</x:f>
        <x:v>43466796.00</x:v>
      </x:c>
      <x:c r="L153" s="31">
        <x:v>7150670.6100000003</x:v>
      </x:c>
      <x:c r="M153" s="31"/>
      <x:c r="N153" s="31">
        <x:v>195889.338397987651792124677754018288</x:v>
      </x:c>
      <x:c r="O153" s="31">
        <x:v>181720.364152417137109715735431609667</x:v>
      </x:c>
      <x:c r="P153" s="31">
        <x:v>2846905.487449595211098159586811147528</x:v>
      </x:c>
      <x:c r="Q153" s="31">
        <x:f>N153+O153+P153</x:f>
        <x:v>3224515.19</x:v>
      </x:c>
      <x:c r="R153" s="19">
        <x:f>SUM(L153:P153)</x:f>
        <x:v>10375185.8000000003</x:v>
      </x:c>
      <x:c r="S153" s="37">
        <x:f>IF(K153=0,0,R153/K153)</x:f>
        <x:v>0.238692214627459550</x:v>
      </x:c>
    </x:row>
    <x:row r="154" s="20" customFormat="1">
      <x:c r="A154" s="20">
        <x:v>268</x:v>
      </x:c>
      <x:c r="B154" s="7"/>
      <x:c r="C154" s="8"/>
      <x:c r="D154" s="21"/>
      <x:c r="E154" s="24" t="s">
        <x:v>169</x:v>
      </x:c>
      <x:c r="F154" s="31">
        <x:v>0.00</x:v>
      </x:c>
      <x:c r="G154" s="31">
        <x:v>0.00</x:v>
      </x:c>
      <x:c r="H154" s="31">
        <x:v>0.00</x:v>
      </x:c>
      <x:c r="I154" s="31">
        <x:v>0.00</x:v>
      </x:c>
      <x:c r="J154" s="31">
        <x:v>0.00</x:v>
      </x:c>
      <x:c r="K154" s="33">
        <x:f>SUM(F154:J154)</x:f>
        <x:v>0.00</x:v>
      </x:c>
      <x:c r="L154" s="31"/>
      <x:c r="M154" s="31"/>
      <x:c r="N154" s="31"/>
      <x:c r="O154" s="31"/>
      <x:c r="P154" s="31"/>
      <x:c r="Q154" s="31"/>
      <x:c r="R154" s="19"/>
      <x:c r="S154" s="37"/>
    </x:row>
    <x:row r="155" s="20" customFormat="1">
      <x:c r="A155" s="20">
        <x:v>274</x:v>
      </x:c>
      <x:c r="B155" s="7"/>
      <x:c r="C155" s="8"/>
      <x:c r="D155" s="21"/>
      <x:c r="E155" s="24" t="s">
        <x:v>170</x:v>
      </x:c>
      <x:c r="F155" s="31">
        <x:v>1704042949.00</x:v>
      </x:c>
      <x:c r="G155" s="31">
        <x:v>0.00</x:v>
      </x:c>
      <x:c r="H155" s="31">
        <x:v>34942224.00</x:v>
      </x:c>
      <x:c r="I155" s="31">
        <x:v>44971562.00</x:v>
      </x:c>
      <x:c r="J155" s="31">
        <x:v>197875292.00</x:v>
      </x:c>
      <x:c r="K155" s="33">
        <x:f>SUM(F155:J155)</x:f>
        <x:v>1981832027.00</x:v>
      </x:c>
      <x:c r="L155" s="31">
        <x:v>802014227.12</x:v>
      </x:c>
      <x:c r="M155" s="31"/>
      <x:c r="N155" s="31">
        <x:v>21329249.151105054795559605464018027837</x:v>
      </x:c>
      <x:c r="O155" s="31">
        <x:v>19786472.069049889259356607473328102010</x:v>
      </x:c>
      <x:c r="P155" s="31">
        <x:v>309982957.459845065945083787062302771472</x:v>
      </x:c>
      <x:c r="Q155" s="31">
        <x:f>N155+O155+P155</x:f>
        <x:v>351098678.68000001</x:v>
      </x:c>
      <x:c r="R155" s="19">
        <x:f>SUM(L155:P155)</x:f>
        <x:v>1153112905.80000001</x:v>
      </x:c>
      <x:c r="S155" s="37">
        <x:f>IF(K155=0,0,R155/K155)</x:f>
        <x:v>0.581841896835992554</x:v>
      </x:c>
    </x:row>
    <x:row r="156" s="20" customFormat="1">
      <x:c r="A156" s="20">
        <x:v>275</x:v>
      </x:c>
      <x:c r="B156" s="7"/>
      <x:c r="C156" s="8"/>
      <x:c r="D156" s="21"/>
      <x:c r="E156" s="24" t="s">
        <x:v>171</x:v>
      </x:c>
      <x:c r="F156" s="31">
        <x:v>55342736.00</x:v>
      </x:c>
      <x:c r="G156" s="31">
        <x:v>0.00</x:v>
      </x:c>
      <x:c r="H156" s="31">
        <x:v>1134830.00</x:v>
      </x:c>
      <x:c r="I156" s="31">
        <x:v>1460555.00</x:v>
      </x:c>
      <x:c r="J156" s="31">
        <x:v>6426458.00</x:v>
      </x:c>
      <x:c r="K156" s="33">
        <x:f>SUM(F156:J156)</x:f>
        <x:v>64364579.00</x:v>
      </x:c>
      <x:c r="L156" s="31">
        <x:v>28462088.739999998</x:v>
      </x:c>
      <x:c r="M156" s="31"/>
      <x:c r="N156" s="31">
        <x:v>754460.681258062729070788338757202923</x:v>
      </x:c>
      <x:c r="O156" s="31">
        <x:v>699889.390908802494185579454022152111</x:v>
      </x:c>
      <x:c r="P156" s="31">
        <x:v>10964753.217833133776743632207208225861</x:v>
      </x:c>
      <x:c r="Q156" s="31">
        <x:f>N156+O156+P156</x:f>
        <x:v>12419103.289999999</x:v>
      </x:c>
      <x:c r="R156" s="19">
        <x:f>SUM(L156:P156)</x:f>
        <x:v>40881192.029999997</x:v>
      </x:c>
      <x:c r="S156" s="37">
        <x:f>IF(K156=0,0,R156/K156)</x:f>
        <x:v>0.635150461094447568</x:v>
      </x:c>
    </x:row>
    <x:row r="157" s="20" customFormat="1">
      <x:c r="A157" s="20">
        <x:v>276</x:v>
      </x:c>
      <x:c r="B157" s="7"/>
      <x:c r="C157" s="8"/>
      <x:c r="D157" s="21"/>
      <x:c r="E157" s="24" t="s">
        <x:v>172</x:v>
      </x:c>
      <x:c r="F157" s="31">
        <x:v>312326836.00</x:v>
      </x:c>
      <x:c r="G157" s="31">
        <x:v>0.00</x:v>
      </x:c>
      <x:c r="H157" s="31">
        <x:v>6404413.00</x:v>
      </x:c>
      <x:c r="I157" s="31">
        <x:v>8242648.00</x:v>
      </x:c>
      <x:c r="J157" s="31">
        <x:v>36267727.00</x:v>
      </x:c>
      <x:c r="K157" s="33">
        <x:f>SUM(F157:J157)</x:f>
        <x:v>363241624.00</x:v>
      </x:c>
      <x:c r="L157" s="31">
        <x:v>153348943.11000001</x:v>
      </x:c>
      <x:c r="M157" s="31"/>
      <x:c r="N157" s="31">
        <x:v>4080378.195217987185365845572337715232</x:v>
      </x:c>
      <x:c r="O157" s="31">
        <x:v>3785238.224696625300715706246235693088</x:v>
      </x:c>
      <x:c r="P157" s="31">
        <x:v>59301088.920085391513918448181359424973</x:v>
      </x:c>
      <x:c r="Q157" s="31">
        <x:f>N157+O157+P157</x:f>
        <x:v>67166705.340000004</x:v>
      </x:c>
      <x:c r="R157" s="19">
        <x:f>SUM(L157:P157)</x:f>
        <x:v>220515648.450000014</x:v>
      </x:c>
      <x:c r="S157" s="37">
        <x:f>IF(K157=0,0,R157/K157)</x:f>
        <x:v>0.607077036000698020</x:v>
      </x:c>
    </x:row>
    <x:row r="158" s="20" customFormat="1">
      <x:c r="A158" s="20">
        <x:v>277</x:v>
      </x:c>
      <x:c r="B158" s="7"/>
      <x:c r="C158" s="8"/>
      <x:c r="D158" s="21"/>
      <x:c r="E158" s="24" t="s">
        <x:v>173</x:v>
      </x:c>
      <x:c r="F158" s="31">
        <x:v>0.00</x:v>
      </x:c>
      <x:c r="G158" s="31">
        <x:v>0.00</x:v>
      </x:c>
      <x:c r="H158" s="31">
        <x:v>0.00</x:v>
      </x:c>
      <x:c r="I158" s="31">
        <x:v>0.00</x:v>
      </x:c>
      <x:c r="J158" s="31">
        <x:v>0.00</x:v>
      </x:c>
      <x:c r="K158" s="33">
        <x:f>SUM(F158:J158)</x:f>
        <x:v>0.00</x:v>
      </x:c>
      <x:c r="L158" s="31"/>
      <x:c r="M158" s="31"/>
      <x:c r="N158" s="31"/>
      <x:c r="O158" s="31"/>
      <x:c r="P158" s="31"/>
      <x:c r="Q158" s="31"/>
      <x:c r="R158" s="19"/>
      <x:c r="S158" s="37"/>
    </x:row>
    <x:row r="159" s="20" customFormat="1">
      <x:c r="A159" s="20">
        <x:v>278</x:v>
      </x:c>
      <x:c r="B159" s="7"/>
      <x:c r="C159" s="8"/>
      <x:c r="D159" s="21"/>
      <x:c r="E159" s="24" t="s">
        <x:v>174</x:v>
      </x:c>
      <x:c r="F159" s="31">
        <x:v>0.00</x:v>
      </x:c>
      <x:c r="G159" s="31">
        <x:v>0.00</x:v>
      </x:c>
      <x:c r="H159" s="31">
        <x:v>0.00</x:v>
      </x:c>
      <x:c r="I159" s="31">
        <x:v>0.00</x:v>
      </x:c>
      <x:c r="J159" s="31">
        <x:v>0.00</x:v>
      </x:c>
      <x:c r="K159" s="33">
        <x:f>SUM(F159:J159)</x:f>
        <x:v>0.00</x:v>
      </x:c>
      <x:c r="L159" s="31"/>
      <x:c r="M159" s="31"/>
      <x:c r="N159" s="31"/>
      <x:c r="O159" s="31"/>
      <x:c r="P159" s="31"/>
      <x:c r="Q159" s="31"/>
      <x:c r="R159" s="19"/>
      <x:c r="S159" s="37"/>
    </x:row>
    <x:row r="160" s="20" customFormat="1">
      <x:c r="A160" s="20">
        <x:v>279</x:v>
      </x:c>
      <x:c r="B160" s="7"/>
      <x:c r="C160" s="8"/>
      <x:c r="D160" s="21"/>
      <x:c r="E160" s="24" t="s">
        <x:v>175</x:v>
      </x:c>
      <x:c r="F160" s="31">
        <x:v>0.00</x:v>
      </x:c>
      <x:c r="G160" s="31">
        <x:v>0.00</x:v>
      </x:c>
      <x:c r="H160" s="31">
        <x:v>0.00</x:v>
      </x:c>
      <x:c r="I160" s="31">
        <x:v>0.00</x:v>
      </x:c>
      <x:c r="J160" s="31">
        <x:v>0.00</x:v>
      </x:c>
      <x:c r="K160" s="33">
        <x:f>SUM(F160:J160)</x:f>
        <x:v>0.00</x:v>
      </x:c>
      <x:c r="L160" s="31"/>
      <x:c r="M160" s="31"/>
      <x:c r="N160" s="31"/>
      <x:c r="O160" s="31"/>
      <x:c r="P160" s="31"/>
      <x:c r="Q160" s="31"/>
      <x:c r="R160" s="19"/>
      <x:c r="S160" s="37"/>
    </x:row>
    <x:row r="161" s="23" customFormat="1">
      <x:c r="B161" s="12">
        <x:v>23</x:v>
      </x:c>
      <x:c r="C161" s="8" t="s">
        <x:v>34</x:v>
      </x:c>
      <x:c r="D161" s="14"/>
      <x:c r="E161" s="15" t="s">
        <x:v>176</x:v>
      </x:c>
      <x:c r="F161" s="32">
        <x:f>SUM(F146:F160)</x:f>
        <x:v>2382117091.00</x:v>
      </x:c>
      <x:c r="G161" s="32">
        <x:f>SUM(G146:G160)</x:f>
        <x:v>0.00</x:v>
      </x:c>
      <x:c r="H161" s="32">
        <x:f>SUM(H146:H160)</x:f>
        <x:v>48846463.00</x:v>
      </x:c>
      <x:c r="I161" s="32">
        <x:f>SUM(I146:I160)</x:f>
        <x:v>62866683.00</x:v>
      </x:c>
      <x:c r="J161" s="32">
        <x:f>SUM(J146:J160)</x:f>
        <x:v>276613988.00</x:v>
      </x:c>
      <x:c r="K161" s="32">
        <x:f>SUM(K146:K160)</x:f>
        <x:v>2770444225.00</x:v>
      </x:c>
      <x:c r="L161" s="32">
        <x:f>SUM(L146:L160)</x:f>
        <x:v>1129416085.1100000083</x:v>
      </x:c>
      <x:c r="M161" s="32"/>
      <x:c r="N161" s="32">
        <x:f>SUM(N146:N160)</x:f>
        <x:v>30084603.111411404525451198607254553075</x:v>
      </x:c>
      <x:c r="O161" s="32">
        <x:f>SUM(O146:O160)</x:f>
        <x:v>27908537.940331232226716519095001602000</x:v>
      </x:c>
      <x:c r="P161" s="32">
        <x:f>SUM(P146:P160)</x:f>
        <x:v>437226560.598257375247832282297248625214</x:v>
      </x:c>
      <x:c r="Q161" s="32">
        <x:f>SUM(Q146:Q160)</x:f>
        <x:v>495219701.650000012</x:v>
      </x:c>
      <x:c r="R161" s="16">
        <x:f>SUM(R146:R160)</x:f>
        <x:v>1624635786.7600000203</x:v>
      </x:c>
      <x:c r="S161" s="37">
        <x:f>IF(K161=0,0,R161/K161)</x:f>
        <x:v>0.586417070627003877</x:v>
      </x:c>
    </x:row>
    <x:row r="162" s="20" customFormat="1">
      <x:c r="B162" s="7"/>
      <x:c r="C162" s="8"/>
      <x:c r="D162" s="21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19"/>
      <x:c r="S162" s="19"/>
    </x:row>
    <x:row r="163" s="23" customFormat="1">
      <x:c r="B163" s="12"/>
      <x:c r="C163" s="8" t="s">
        <x:v>34</x:v>
      </x:c>
      <x:c r="D163" s="14"/>
      <x:c r="E163" s="15" t="s">
        <x:v>177</x:v>
      </x:c>
      <x:c r="F163" s="32">
        <x:f>SUM(F53,F143,F161)</x:f>
        <x:v>20058282908.00</x:v>
      </x:c>
      <x:c r="G163" s="32">
        <x:f>SUM(G53,G143,G161)</x:f>
        <x:v>0.00</x:v>
      </x:c>
      <x:c r="H163" s="32">
        <x:f>SUM(H53,H143,H161)</x:f>
        <x:v>411304786.00</x:v>
      </x:c>
      <x:c r="I163" s="32">
        <x:f>SUM(I53,I143,I161)</x:f>
        <x:v>529360084.00</x:v>
      </x:c>
      <x:c r="J163" s="32">
        <x:f>SUM(J53,J143,J161)</x:f>
        <x:v>2329189284.00</x:v>
      </x:c>
      <x:c r="K163" s="32">
        <x:f>SUM(K53,K143,K161)</x:f>
        <x:v>23328137062.00</x:v>
      </x:c>
      <x:c r="L163" s="32">
        <x:f>SUM(L53,L143,L161)</x:f>
        <x:v>8498095223.9000000351</x:v>
      </x:c>
      <x:c r="M163" s="32"/>
      <x:c r="N163" s="32">
        <x:f>SUM(N53,N143,N161)</x:f>
        <x:v>235299794.312087913768478199891052891564</x:v>
      </x:c>
      <x:c r="O163" s="32">
        <x:f>SUM(O53,O143,O161)</x:f>
        <x:v>218280201.756098850933586254786513091439</x:v>
      </x:c>
      <x:c r="P163" s="32">
        <x:f>SUM(P53,P143,P161)</x:f>
        <x:v>3419666844.051813354197935545318560770093</x:v>
      </x:c>
      <x:c r="Q163" s="32">
        <x:f>SUM(Q53,Q143,Q161)</x:f>
        <x:v>3873246840.1200001189</x:v>
      </x:c>
      <x:c r="R163" s="16">
        <x:f>SUM(R161,R143,R53)</x:f>
        <x:v>12371342064.0200001540</x:v>
      </x:c>
      <x:c r="S163" s="37">
        <x:f>IF(K163=0,0,R163/K163)</x:f>
        <x:v>0.530318474687466672</x:v>
      </x:c>
    </x:row>
    <x:row r="164" s="20" customFormat="1">
      <x:c r="B164" s="7"/>
      <x:c r="C164" s="8"/>
      <x:c r="D164" s="21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19"/>
      <x:c r="S164" s="19"/>
    </x:row>
    <x:row r="165" s="23" customFormat="1">
      <x:c r="A165" s="23">
        <x:v>0</x:v>
      </x:c>
      <x:c r="B165" s="12">
        <x:v>25</x:v>
      </x:c>
      <x:c r="C165" s="8" t="s">
        <x:v>27</x:v>
      </x:c>
      <x:c r="D165" s="14" t="s">
        <x:v>178</x:v>
      </x:c>
      <x:c r="E165" s="15"/>
      <x:c r="F165" s="15">
        <x:v>0.00</x:v>
      </x:c>
      <x:c r="G165" s="15">
        <x:v>0.00</x:v>
      </x:c>
      <x:c r="H165" s="15">
        <x:v>0.00</x:v>
      </x:c>
      <x:c r="I165" s="15">
        <x:v>0.00</x:v>
      </x:c>
      <x:c r="J165" s="15">
        <x:v>0.00</x:v>
      </x:c>
      <x:c r="K165" s="15">
        <x:v>0.00</x:v>
      </x:c>
      <x:c r="L165" s="15">
        <x:v>472962.70</x:v>
      </x:c>
      <x:c r="M165" s="15"/>
      <x:c r="N165" s="15">
        <x:v>13369481.472741605757503405897692611098</x:v>
      </x:c>
      <x:c r="O165" s="15">
        <x:v>12402446.512017811827610954953079173825</x:v>
      </x:c>
      <x:c r="P165" s="15">
        <x:v>194301795.495240572414885639149008141352</x:v>
      </x:c>
      <x:c r="Q165" s="15">
        <x:f>N165+O165+P165</x:f>
        <x:v>220073723.47999999</x:v>
      </x:c>
      <x:c r="R165" s="16">
        <x:f>SUM(L165:P165)</x:f>
        <x:v>220546686.17999999</x:v>
      </x:c>
      <x:c r="S165" s="16">
        <x:v>0.00</x:v>
      </x:c>
    </x:row>
    <x:row r="166" s="20" customFormat="1">
      <x:c r="B166" s="7"/>
      <x:c r="C166" s="8"/>
      <x:c r="D166" s="21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19"/>
      <x:c r="S166" s="19"/>
    </x:row>
    <x:row r="167" s="23" customFormat="1">
      <x:c r="B167" s="12"/>
      <x:c r="C167" s="8" t="s">
        <x:v>27</x:v>
      </x:c>
      <x:c r="D167" s="14" t="s">
        <x:v>179</x:v>
      </x:c>
      <x:c r="E167" s="15"/>
      <x:c r="F167" s="32">
        <x:f>F24+F26-F163+F165</x:f>
        <x:v>102064114312.00</x:v>
      </x:c>
      <x:c r="G167" s="32">
        <x:f>G24+G26-G163+G165</x:f>
        <x:v>607769512.00</x:v>
      </x:c>
      <x:c r="H167" s="32">
        <x:f>H24+H26-H163+H165</x:f>
        <x:v>5901809505.00</x:v>
      </x:c>
      <x:c r="I167" s="32">
        <x:f>I24+I26-I163+I165</x:f>
        <x:v>2465299641.00</x:v>
      </x:c>
      <x:c r="J167" s="32">
        <x:f>J24+J26-J163+J165</x:f>
        <x:v>153985010.00</x:v>
      </x:c>
      <x:c r="K167" s="32">
        <x:f>K24+K26-K163+K165</x:f>
        <x:v>111192977980.00</x:v>
      </x:c>
      <x:c r="L167" s="32">
        <x:f>L24+L26-L163+L165</x:f>
        <x:v>61191369355.3799990699</x:v>
      </x:c>
      <x:c r="M167" s="32">
        <x:f>M24+M26-M163+M165</x:f>
        <x:v>9161328934.11999990</x:v>
      </x:c>
      <x:c r="N167" s="32">
        <x:f>N24+N26-N163+N165</x:f>
        <x:v>1749329720.990653373309025206006639719534</x:v>
      </x:c>
      <x:c r="O167" s="32">
        <x:f>O24+O26-O163+O165</x:f>
        <x:v>3268068380.285918925793024700166566082386</x:v>
      </x:c>
      <x:c r="P167" s="32">
        <x:f>P24+P26-P163+P165</x:f>
        <x:v>14003998623.743431706416950093830447371259</x:v>
      </x:c>
      <x:c r="Q167" s="32">
        <x:f>Q24+Q26-Q163+Q165</x:f>
        <x:v>11885630426.060003675519</x:v>
      </x:c>
      <x:c r="R167" s="16">
        <x:f>R24+R26-R163+R165</x:f>
        <x:v>82238328715.560002645419</x:v>
      </x:c>
      <x:c r="S167" s="37">
        <x:f>IF(K167=0,0,R167/K167)</x:f>
        <x:v>0.739600019799379804</x:v>
      </x:c>
    </x:row>
    <x:row r="168" s="7" customFormat="1">
      <x:c r="C168" s="8"/>
      <x:c r="D168" s="25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7"/>
      <x:c r="S168"/>
    </x:row>
    <x:row r="169">
      <x:c r="F169"/>
      <x:c r="G169"/>
      <x:c r="H169"/>
      <x:c r="I169"/>
      <x:c r="J169"/>
      <x:c r="K169" s="48"/>
      <x:c r="L169"/>
      <x:c r="M169"/>
      <x:c r="N169"/>
      <x:c r="O169"/>
      <x:c r="P169"/>
      <x:c r="Q169"/>
      <x:c r="R169"/>
      <x:c r="S169"/>
    </x:row>
    <x:row r="170">
      <x:c r="F170"/>
      <x:c r="G170"/>
      <x:c r="H170"/>
      <x:c r="I170"/>
      <x:c r="J170" s="45"/>
      <x:c r="K170" s="66"/>
      <x:c r="L170"/>
      <x:c r="M170"/>
      <x:c r="N170"/>
      <x:c r="O170"/>
      <x:c r="P170"/>
      <x:c r="Q170" s="45"/>
      <x:c r="R170" s="66"/>
      <x:c r="S170" s="37"/>
    </x:row>
    <x:row r="171"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</x:row>
    <x:row r="172"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</x:row>
    <x:row r="173"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</x:row>
    <x:row r="174"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</x:row>
    <x:row r="175"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</x:row>
    <x:row r="176"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</x:row>
  </x:sheetData>
  <x:mergeCells>
    <x:mergeCell ref="D5:E7"/>
    <x:mergeCell ref="F5:K5"/>
    <x:mergeCell ref="L5:R5"/>
  </x:mergeCells>
  <x:conditionalFormatting sqref="A1:A1048576">
    <x:cfRule type="duplicateValues" dxfId="57" priority="14"/>
  </x:conditionalFormatting>
  <x:conditionalFormatting sqref="D8:R168">
    <x:cfRule type="expression" dxfId="56" priority="13">
      <x:formula>IF(MOD(ROW(),2)=0,TRUE,FALSE)</x:formula>
    </x:cfRule>
  </x:conditionalFormatting>
  <x:conditionalFormatting sqref="D9:S167">
    <x:cfRule type="expression" dxfId="55" priority="6">
      <x:formula>IF($C9="Y2",1,0)</x:formula>
    </x:cfRule>
    <x:cfRule type="expression" dxfId="54" priority="7">
      <x:formula>IF($C9="X2",1,0)</x:formula>
    </x:cfRule>
    <x:cfRule type="expression" dxfId="53" priority="8">
      <x:formula>IF($C9="X1",1,0)</x:formula>
    </x:cfRule>
  </x:conditionalFormatting>
  <x:conditionalFormatting sqref="S8:S167">
    <x:cfRule type="expression" dxfId="52" priority="9">
      <x:formula>IF(MOD(ROW(),2)=0,TRUE,FALSE)</x:formula>
    </x:cfRule>
  </x:conditionalFormatting>
  <x:conditionalFormatting sqref="S30:S53 S56:S143 S146:S163">
    <x:cfRule type="cellIs" dxfId="51" priority="5" operator="greaterThan">
      <x:formula>1</x:formula>
    </x:cfRule>
  </x:conditionalFormatting>
  <x:conditionalFormatting sqref="S170:S170">
    <x:cfRule type="expression" dxfId="50" priority="1">
      <x:formula>IF($C170="Y2",1,0)</x:formula>
    </x:cfRule>
    <x:cfRule type="expression" dxfId="49" priority="2">
      <x:formula>IF($C170="X2",1,0)</x:formula>
    </x:cfRule>
    <x:cfRule type="expression" dxfId="48" priority="3">
      <x:formula>IF($C170="X1",1,0)</x:formula>
    </x:cfRule>
    <x:cfRule type="expression" dxfId="47" priority="4">
      <x:formula>IF(MOD(ROW(),2)=0,TRUE,FALSE)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4D0CB"/>
  </x:sheetPr>
  <x:sheetViews>
    <x:sheetView showGridLines="0" workbookViewId="0">
      <x:pane xSplit="5" ySplit="7" topLeftCell="F8" activePane="bottomRight" state="frozen"/>
    </x:sheetView>
  </x:sheetViews>
  <x:sheetFormatPr defaultColWidth="8.85546875" defaultRowHeight="16.5"/>
  <x:cols>
    <x:col min="1" max="1" width="9" style="1" hidden="1" customWidth="1"/>
    <x:col min="2" max="2" width="3.85546875" style="1" hidden="1" customWidth="1"/>
    <x:col min="3" max="3" width="12" style="2" hidden="1" customWidth="1"/>
    <x:col min="4" max="4" width="4" style="1" customWidth="1"/>
    <x:col min="5" max="5" width="66.140625" style="1" customWidth="1"/>
    <x:col min="6" max="6" width="26.28515625" style="1" customWidth="1"/>
    <x:col min="7" max="7" width="22.28515625" style="1" customWidth="1"/>
    <x:col min="8" max="9" width="23.5703125" style="1" customWidth="1"/>
    <x:col min="10" max="12" width="26.28515625" style="1" customWidth="1"/>
    <x:col min="13" max="13" width="19.5703125" style="1" customWidth="1"/>
    <x:col min="14" max="14" width="22.28515625" style="1" customWidth="1"/>
    <x:col min="15" max="17" width="22.28515625" style="1" customWidth="1"/>
    <x:col min="18" max="18" width="27.5703125" style="3" customWidth="1"/>
    <x:col min="19" max="19" width="9.7109375" style="1" customWidth="1"/>
    <x:col min="20" max="16384" width="8.85546875" style="1" customWidth="0"/>
  </x:cols>
  <x:sheetData>
    <x:row r="1">
      <x:c r="D1" s="1" t="s">
        <x:v>0</x:v>
      </x:c>
    </x:row>
    <x:row r="2">
      <x:c r="D2" s="1" t="inlineStr">
        <x:is>
          <x:t>LABA RUGI RKA TAHUN 2026</x:t>
        </x:is>
      </x:c>
    </x:row>
    <x:row r="4" s="2" customFormat="1" ht="16.5" hidden="1" customHeight="1">
      <x:c r="R4" s="4"/>
    </x:row>
    <x:row r="5" s="5" customFormat="1" ht="33" customHeight="1">
      <x:c r="C5" s="6"/>
      <x:c r="D5" s="67" t="s">
        <x:v>2</x:v>
      </x:c>
      <x:c r="E5" s="67"/>
      <x:c r="F5" s="69" t="s">
        <x:v>184</x:v>
      </x:c>
      <x:c r="G5" s="70"/>
      <x:c r="H5" s="70"/>
      <x:c r="I5" s="70"/>
      <x:c r="J5" s="70"/>
      <x:c r="K5" s="71"/>
      <x:c r="L5" s="70" t="s">
        <x:v>185</x:v>
      </x:c>
      <x:c r="M5" s="70"/>
      <x:c r="N5" s="70"/>
      <x:c r="O5" s="70"/>
      <x:c r="P5" s="70"/>
      <x:c r="Q5" s="70"/>
      <x:c r="R5" s="72"/>
      <x:c r="S5" s="30" t="s">
        <x:v>5</x:v>
      </x:c>
    </x:row>
    <x:row r="6" s="5" customFormat="1">
      <x:c r="C6" s="6"/>
      <x:c r="D6" s="68"/>
      <x:c r="E6" s="68"/>
      <x:c r="F6" s="29" t="s">
        <x:v>6</x:v>
      </x:c>
      <x:c r="G6" s="29" t="s">
        <x:v>7</x:v>
      </x:c>
      <x:c r="H6" s="29" t="s">
        <x:v>8</x:v>
      </x:c>
      <x:c r="I6" s="29" t="s">
        <x:v>9</x:v>
      </x:c>
      <x:c r="J6" s="29" t="s">
        <x:v>10</x:v>
      </x:c>
      <x:c r="K6" s="29" t="s">
        <x:v>11</x:v>
      </x:c>
      <x:c r="L6" s="29" t="s">
        <x:v>6</x:v>
      </x:c>
      <x:c r="M6" s="29" t="s">
        <x:v>7</x:v>
      </x:c>
      <x:c r="N6" s="29" t="s">
        <x:v>8</x:v>
      </x:c>
      <x:c r="O6" s="29" t="s">
        <x:v>9</x:v>
      </x:c>
      <x:c r="P6" s="29" t="s">
        <x:v>10</x:v>
      </x:c>
      <x:c r="Q6" s="29" t="s">
        <x:v>12</x:v>
      </x:c>
      <x:c r="R6" s="29" t="s">
        <x:v>11</x:v>
      </x:c>
      <x:c r="S6" s="29" t="s">
        <x:v>5</x:v>
      </x:c>
    </x:row>
    <x:row r="7">
      <x:c r="D7" s="68"/>
      <x:c r="E7" s="68"/>
      <x:c r="F7" s="29" t="s">
        <x:v>13</x:v>
      </x:c>
      <x:c r="G7" s="29" t="s">
        <x:v>14</x:v>
      </x:c>
      <x:c r="H7" s="29" t="s">
        <x:v>15</x:v>
      </x:c>
      <x:c r="I7" s="29" t="s">
        <x:v>16</x:v>
      </x:c>
      <x:c r="J7" s="29" t="s">
        <x:v>17</x:v>
      </x:c>
      <x:c r="K7" s="29" t="s">
        <x:v>18</x:v>
      </x:c>
      <x:c r="L7" s="29" t="s">
        <x:v>19</x:v>
      </x:c>
      <x:c r="M7" s="29" t="s">
        <x:v>20</x:v>
      </x:c>
      <x:c r="N7" s="29" t="s">
        <x:v>21</x:v>
      </x:c>
      <x:c r="O7" s="29" t="s">
        <x:v>22</x:v>
      </x:c>
      <x:c r="P7" s="29" t="s">
        <x:v>23</x:v>
      </x:c>
      <x:c r="Q7" s="29" t="s">
        <x:v>24</x:v>
      </x:c>
      <x:c r="R7" s="29" t="s">
        <x:v>25</x:v>
      </x:c>
      <x:c r="S7" s="29" t="s">
        <x:v>26</x:v>
      </x:c>
    </x:row>
    <x:row r="8" s="7" customFormat="1">
      <x:c r="C8" s="8"/>
      <x:c r="D8" s="9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1"/>
      <x:c r="S8" s="11"/>
    </x:row>
    <x:row r="9" s="12" customFormat="1">
      <x:c r="C9" s="13" t="s">
        <x:v>27</x:v>
      </x:c>
      <x:c r="D9" s="14" t="s">
        <x:v>28</x:v>
      </x:c>
      <x:c r="E9" s="15"/>
      <x:c r="F9" s="32">
        <x:v>5539589503431.00</x:v>
      </x:c>
      <x:c r="G9" s="32">
        <x:v>0.00</x:v>
      </x:c>
      <x:c r="H9" s="32">
        <x:v>729641601176.00</x:v>
      </x:c>
      <x:c r="I9" s="32">
        <x:v>544598977781.00</x:v>
      </x:c>
      <x:c r="J9" s="32">
        <x:v>1004253035090.00</x:v>
      </x:c>
      <x:c r="K9" s="32">
        <x:f>SUM(F9:J9)</x:f>
        <x:v>7818083117478.00</x:v>
      </x:c>
      <x:c r="L9" s="32"/>
      <x:c r="M9" s="32"/>
      <x:c r="N9" s="32"/>
      <x:c r="O9" s="32"/>
      <x:c r="P9" s="32"/>
      <x:c r="Q9" s="32"/>
      <x:c r="R9" s="16"/>
      <x:c r="S9" s="37"/>
    </x:row>
    <x:row r="10" s="7" customFormat="1">
      <x:c r="C10" s="8"/>
      <x:c r="D10" s="17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9"/>
      <x:c r="S10" s="19"/>
    </x:row>
    <x:row r="11" s="12" customFormat="1">
      <x:c r="C11" s="13" t="s">
        <x:v>29</x:v>
      </x:c>
      <x:c r="D11" s="14" t="s">
        <x:v>30</x:v>
      </x:c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6"/>
      <x:c r="S11" s="16"/>
    </x:row>
    <x:row r="12" s="20" customFormat="1">
      <x:c r="A12" s="20">
        <x:v>7</x:v>
      </x:c>
      <x:c r="B12" s="7">
        <x:v>8</x:v>
      </x:c>
      <x:c r="C12" s="8"/>
      <x:c r="D12" s="21"/>
      <x:c r="E12" s="22" t="s">
        <x:v>31</x:v>
      </x:c>
      <x:c r="F12" s="33">
        <x:v>200298991450.00</x:v>
      </x:c>
      <x:c r="G12" s="33">
        <x:v>0.00</x:v>
      </x:c>
      <x:c r="H12" s="33">
        <x:v>2377868599.00</x:v>
      </x:c>
      <x:c r="I12" s="33">
        <x:v>5286109986.00</x:v>
      </x:c>
      <x:c r="J12" s="33">
        <x:v>22927120245.00</x:v>
      </x:c>
      <x:c r="K12" s="33">
        <x:f>SUM(F12:J12)</x:f>
        <x:v>230890090280.00</x:v>
      </x:c>
      <x:c r="L12" s="33">
        <x:v>103465926406.67999496</x:v>
      </x:c>
      <x:c r="M12" s="33"/>
      <x:c r="N12" s="33">
        <x:v>174361720.4300000112</x:v>
      </x:c>
      <x:c r="O12" s="33">
        <x:v>1712364360.080000098</x:v>
      </x:c>
      <x:c r="P12" s="33">
        <x:v>39655769085.679996963</x:v>
      </x:c>
      <x:c r="Q12" s="33">
        <x:f>N12+O12+P12</x:f>
        <x:v>41542495166.1899970722</x:v>
      </x:c>
      <x:c r="R12" s="19">
        <x:f>SUM(L12:P12)</x:f>
        <x:v>145008421572.8699920322</x:v>
      </x:c>
      <x:c r="S12" s="37">
        <x:f>IF(K12=0,0,R12/K12)</x:f>
        <x:v>0.628040906376789658</x:v>
      </x:c>
    </x:row>
    <x:row r="13" s="20" customFormat="1">
      <x:c r="A13" s="20">
        <x:v>12</x:v>
      </x:c>
      <x:c r="B13" s="7">
        <x:v>10</x:v>
      </x:c>
      <x:c r="C13" s="8"/>
      <x:c r="D13" s="21"/>
      <x:c r="E13" s="22" t="s">
        <x:v>32</x:v>
      </x:c>
      <x:c r="F13" s="33">
        <x:v>0.00</x:v>
      </x:c>
      <x:c r="G13" s="33">
        <x:v>0.00</x:v>
      </x:c>
      <x:c r="H13" s="33">
        <x:v>0.00</x:v>
      </x:c>
      <x:c r="I13" s="33">
        <x:v>0.00</x:v>
      </x:c>
      <x:c r="J13" s="33">
        <x:v>0.00</x:v>
      </x:c>
      <x:c r="K13" s="33">
        <x:f>SUM(F13:J13)</x:f>
        <x:v>0.00</x:v>
      </x:c>
      <x:c r="L13" s="33"/>
      <x:c r="M13" s="33"/>
      <x:c r="N13" s="33"/>
      <x:c r="O13" s="33"/>
      <x:c r="P13" s="33"/>
      <x:c r="Q13" s="33"/>
      <x:c r="R13" s="19"/>
      <x:c r="S13" s="37"/>
    </x:row>
    <x:row r="14" s="20" customFormat="1">
      <x:c r="A14" s="20">
        <x:v>9</x:v>
      </x:c>
      <x:c r="B14" s="7">
        <x:v>9</x:v>
      </x:c>
      <x:c r="C14" s="8"/>
      <x:c r="D14" s="21"/>
      <x:c r="E14" s="22" t="s">
        <x:v>33</x:v>
      </x:c>
      <x:c r="F14" s="33">
        <x:v>18036138761.00</x:v>
      </x:c>
      <x:c r="G14" s="33">
        <x:v>0.00</x:v>
      </x:c>
      <x:c r="H14" s="33">
        <x:v>288716850.00</x:v>
      </x:c>
      <x:c r="I14" s="33">
        <x:v>788833201.00</x:v>
      </x:c>
      <x:c r="J14" s="33">
        <x:v>13671394317.00</x:v>
      </x:c>
      <x:c r="K14" s="33">
        <x:f>SUM(F14:J14)</x:f>
        <x:v>32785083129.00</x:v>
      </x:c>
      <x:c r="L14" s="33">
        <x:v>10807964835.869999501</x:v>
      </x:c>
      <x:c r="M14" s="33"/>
      <x:c r="N14" s="33">
        <x:v>24792020.65000000017</x:v>
      </x:c>
      <x:c r="O14" s="33">
        <x:v>147081323.4300000011</x:v>
      </x:c>
      <x:c r="P14" s="33">
        <x:v>5133823830.04999979795</x:v>
      </x:c>
      <x:c r="Q14" s="33">
        <x:f>N14+O14+P14</x:f>
        <x:v>5305697174.12999979922</x:v>
      </x:c>
      <x:c r="R14" s="19">
        <x:f>SUM(L14:P14)</x:f>
        <x:v>16113662009.99999930022</x:v>
      </x:c>
      <x:c r="S14" s="37">
        <x:f>IF(K14=0,0,R14/K14)</x:f>
        <x:v>0.491493706042998616</x:v>
      </x:c>
    </x:row>
    <x:row r="15" s="23" customFormat="1">
      <x:c r="B15" s="12"/>
      <x:c r="C15" s="13" t="s">
        <x:v>34</x:v>
      </x:c>
      <x:c r="D15" s="14"/>
      <x:c r="E15" s="15" t="s">
        <x:v>35</x:v>
      </x:c>
      <x:c r="F15" s="32">
        <x:f>F12-F13-F14</x:f>
        <x:v>182262852689.00</x:v>
      </x:c>
      <x:c r="G15" s="32">
        <x:f>G12-G13-G14</x:f>
        <x:v>0.00</x:v>
      </x:c>
      <x:c r="H15" s="32">
        <x:f>H12-H13-H14</x:f>
        <x:v>2089151749.00</x:v>
      </x:c>
      <x:c r="I15" s="32">
        <x:f>I12-I13-I14</x:f>
        <x:v>4497276785.00</x:v>
      </x:c>
      <x:c r="J15" s="32">
        <x:f>J12-J13-J14</x:f>
        <x:v>9255725928.00</x:v>
      </x:c>
      <x:c r="K15" s="32">
        <x:f>K12-K13-K14</x:f>
        <x:v>198105007151.00</x:v>
      </x:c>
      <x:c r="L15" s="32">
        <x:f>L12-L13-L14</x:f>
        <x:v>92657961570.809995459</x:v>
      </x:c>
      <x:c r="M15" s="32"/>
      <x:c r="N15" s="32">
        <x:f>N12-N13-N14</x:f>
        <x:v>149569699.78000001103</x:v>
      </x:c>
      <x:c r="O15" s="32">
        <x:f>O12-O13-O14</x:f>
        <x:v>1565283036.6500000969</x:v>
      </x:c>
      <x:c r="P15" s="32">
        <x:f>P12-P13-P14</x:f>
        <x:v>34521945255.62999716505</x:v>
      </x:c>
      <x:c r="Q15" s="32">
        <x:f>Q12-Q13-Q14</x:f>
        <x:v>36236797992.05999727298</x:v>
      </x:c>
      <x:c r="R15" s="16">
        <x:f>R12-R13-R14</x:f>
        <x:v>128894759562.86999273198</x:v>
      </x:c>
      <x:c r="S15" s="37">
        <x:f>IF(K15=0,0,R15/K15)</x:f>
        <x:v>0.650638575049360402</x:v>
      </x:c>
    </x:row>
    <x:row r="16" s="20" customFormat="1">
      <x:c r="B16" s="7"/>
      <x:c r="C16" s="8" t="s">
        <x:v>36</x:v>
      </x:c>
      <x:c r="D16" s="21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19"/>
      <x:c r="S16" s="19"/>
    </x:row>
    <x:row r="17" s="23" customFormat="1">
      <x:c r="B17" s="12"/>
      <x:c r="C17" s="13" t="s">
        <x:v>29</x:v>
      </x:c>
      <x:c r="D17" s="14" t="s">
        <x:v>37</x:v>
      </x:c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6"/>
      <x:c r="S17" s="16"/>
    </x:row>
    <x:row r="18" s="20" customFormat="1">
      <x:c r="A18" s="20">
        <x:v>22</x:v>
      </x:c>
      <x:c r="B18" s="7">
        <x:v>13</x:v>
      </x:c>
      <x:c r="C18" s="8"/>
      <x:c r="D18" s="21"/>
      <x:c r="E18" s="22" t="s">
        <x:v>38</x:v>
      </x:c>
      <x:c r="F18" s="33">
        <x:v>149669107251.00</x:v>
      </x:c>
      <x:c r="G18" s="33">
        <x:v>1889067548.00</x:v>
      </x:c>
      <x:c r="H18" s="33">
        <x:v>158460622.00</x:v>
      </x:c>
      <x:c r="I18" s="33">
        <x:v>500000000.00</x:v>
      </x:c>
      <x:c r="J18" s="33">
        <x:v>25924281317.00</x:v>
      </x:c>
      <x:c r="K18" s="33">
        <x:f>SUM(F18:J18)</x:f>
        <x:v>178140916738.00</x:v>
      </x:c>
      <x:c r="L18" s="33">
        <x:v>57450231118.67</x:v>
      </x:c>
      <x:c r="M18" s="33">
        <x:v>116546366.00</x:v>
      </x:c>
      <x:c r="N18" s="33"/>
      <x:c r="O18" s="33">
        <x:v>116203474.00</x:v>
      </x:c>
      <x:c r="P18" s="33">
        <x:v>25283505653.2299995</x:v>
      </x:c>
      <x:c r="Q18" s="33">
        <x:f>N18+O18+P18</x:f>
        <x:v>25399709127.2299995</x:v>
      </x:c>
      <x:c r="R18" s="19">
        <x:f>SUM(L18:P18)</x:f>
        <x:v>82966486611.8999995</x:v>
      </x:c>
      <x:c r="S18" s="37">
        <x:f>IF(K18=0,0,R18/K18)</x:f>
        <x:v>0.465735150189681626</x:v>
      </x:c>
    </x:row>
    <x:row r="19" s="20" customFormat="1">
      <x:c r="A19" s="20">
        <x:v>24</x:v>
      </x:c>
      <x:c r="B19" s="7">
        <x:v>14</x:v>
      </x:c>
      <x:c r="C19" s="8"/>
      <x:c r="D19" s="21"/>
      <x:c r="E19" s="22" t="s">
        <x:v>39</x:v>
      </x:c>
      <x:c r="F19" s="33">
        <x:v>1219679297.00</x:v>
      </x:c>
      <x:c r="G19" s="33">
        <x:v>-151546366.00</x:v>
      </x:c>
      <x:c r="H19" s="33">
        <x:v>17700891.00</x:v>
      </x:c>
      <x:c r="I19" s="33">
        <x:v>0.00</x:v>
      </x:c>
      <x:c r="J19" s="33">
        <x:v>3523812717.00</x:v>
      </x:c>
      <x:c r="K19" s="33">
        <x:f>SUM(F19:J19)</x:f>
        <x:v>4609646539.00</x:v>
      </x:c>
      <x:c r="L19" s="33">
        <x:v>8010275787.3599986</x:v>
      </x:c>
      <x:c r="M19" s="33">
        <x:v>-151546366.30000001</x:v>
      </x:c>
      <x:c r="N19" s="33">
        <x:v>0.00</x:v>
      </x:c>
      <x:c r="O19" s="33">
        <x:v>0.00</x:v>
      </x:c>
      <x:c r="P19" s="33">
        <x:v>0.00</x:v>
      </x:c>
      <x:c r="Q19" s="33">
        <x:v>9290123256.6599998</x:v>
      </x:c>
      <x:c r="R19" s="19">
        <x:f>SUM(L19:Q19)</x:f>
        <x:v>17148852677.71999839</x:v>
      </x:c>
      <x:c r="S19" s="37">
        <x:f>IF(K19=0,0,R19/K19)</x:f>
        <x:v>3.720209897360201567</x:v>
      </x:c>
    </x:row>
    <x:row r="20" s="20" customFormat="1">
      <x:c r="A20" s="20">
        <x:v>32</x:v>
      </x:c>
      <x:c r="B20" s="7">
        <x:v>15</x:v>
      </x:c>
      <x:c r="C20" s="8"/>
      <x:c r="D20" s="21"/>
      <x:c r="E20" s="22" t="s">
        <x:v>40</x:v>
      </x:c>
      <x:c r="F20" s="33">
        <x:v>43057773776.00</x:v>
      </x:c>
      <x:c r="G20" s="33">
        <x:v>4180457975.00</x:v>
      </x:c>
      <x:c r="H20" s="33">
        <x:v>30365867.00</x:v>
      </x:c>
      <x:c r="I20" s="33">
        <x:v>61962783.00</x:v>
      </x:c>
      <x:c r="J20" s="33">
        <x:v>19772876680.00</x:v>
      </x:c>
      <x:c r="K20" s="33">
        <x:f>SUM(F20:J20)</x:f>
        <x:v>67103437081.00</x:v>
      </x:c>
      <x:c r="L20" s="33">
        <x:v>14900422894.01000055</x:v>
      </x:c>
      <x:c r="M20" s="33">
        <x:v>918416596.69999999</x:v>
      </x:c>
      <x:c r="N20" s="33"/>
      <x:c r="O20" s="33">
        <x:v>22887365.98</x:v>
      </x:c>
      <x:c r="P20" s="33">
        <x:v>9502367489.010000189</x:v>
      </x:c>
      <x:c r="Q20" s="33">
        <x:v>8394187557.990000220</x:v>
      </x:c>
      <x:c r="R20" s="19">
        <x:v>24213027048.700000760</x:v>
      </x:c>
      <x:c r="S20" s="37">
        <x:f>IF(K20=0,0,R20/K20)</x:f>
        <x:v>0.360831398538835760</x:v>
      </x:c>
    </x:row>
    <x:row r="21" s="20" customFormat="1">
      <x:c r="A21" s="20">
        <x:v>37</x:v>
      </x:c>
      <x:c r="B21" s="7">
        <x:v>16</x:v>
      </x:c>
      <x:c r="C21" s="8"/>
      <x:c r="D21" s="21"/>
      <x:c r="E21" s="22" t="s">
        <x:v>41</x:v>
      </x:c>
      <x:c r="F21" s="33">
        <x:v>2846109985.00</x:v>
      </x:c>
      <x:c r="G21" s="33">
        <x:v>0.00</x:v>
      </x:c>
      <x:c r="H21" s="33">
        <x:v>50176077.00</x:v>
      </x:c>
      <x:c r="I21" s="33">
        <x:v>120569702.00</x:v>
      </x:c>
      <x:c r="J21" s="33">
        <x:v>2085992135.00</x:v>
      </x:c>
      <x:c r="K21" s="33">
        <x:f>SUM(F21:J21)</x:f>
        <x:v>5102847899.00</x:v>
      </x:c>
      <x:c r="L21" s="33">
        <x:v>1786518163.6200000007</x:v>
      </x:c>
      <x:c r="M21" s="33"/>
      <x:c r="N21" s="33">
        <x:v>3704016.99000000022</x:v>
      </x:c>
      <x:c r="O21" s="33">
        <x:v>4871412.9699999989991</x:v>
      </x:c>
      <x:c r="P21" s="33">
        <x:v>754422528.5399999713</x:v>
      </x:c>
      <x:c r="Q21" s="33">
        <x:f>N21+O21+P21</x:f>
        <x:v>762997958.4999999705191</x:v>
      </x:c>
      <x:c r="R21" s="19">
        <x:f>SUM(L21:P21)</x:f>
        <x:v>2549516122.1199999712191</x:v>
      </x:c>
      <x:c r="S21" s="37">
        <x:f>IF(K21=0,0,R21/K21)</x:f>
        <x:v>0.499626124976138539</x:v>
      </x:c>
    </x:row>
    <x:row r="22" s="23" customFormat="1">
      <x:c r="B22" s="12"/>
      <x:c r="C22" s="13" t="s">
        <x:v>34</x:v>
      </x:c>
      <x:c r="D22" s="14"/>
      <x:c r="E22" s="15" t="s">
        <x:v>42</x:v>
      </x:c>
      <x:c r="F22" s="32">
        <x:f>F18+F19-F20-F21</x:f>
        <x:v>104984902787.00</x:v>
      </x:c>
      <x:c r="G22" s="32">
        <x:f>G18+G19-G20-G21</x:f>
        <x:v>-2442936793.00</x:v>
      </x:c>
      <x:c r="H22" s="32">
        <x:f>H18+H19-H20-H21</x:f>
        <x:v>95619569.00</x:v>
      </x:c>
      <x:c r="I22" s="32">
        <x:f>I18+I19-I20-I21</x:f>
        <x:v>317467515.00</x:v>
      </x:c>
      <x:c r="J22" s="32">
        <x:f>J18+J19-J20-J21</x:f>
        <x:v>7589225219.00</x:v>
      </x:c>
      <x:c r="K22" s="32">
        <x:f>K18+K19-K20-K21</x:f>
        <x:v>110544278297.00</x:v>
      </x:c>
      <x:c r="L22" s="32">
        <x:f>L18+L19-L20-L21</x:f>
        <x:v>48773565848.3999980493</x:v>
      </x:c>
      <x:c r="M22" s="32">
        <x:f>M18+M19-M20-M21</x:f>
        <x:v>-953416597.00000000</x:v>
      </x:c>
      <x:c r="N22" s="32">
        <x:f>N18+N19-N20-N21</x:f>
        <x:v>-3704016.99000000022</x:v>
      </x:c>
      <x:c r="O22" s="32">
        <x:f>O18+O19-O20-O21</x:f>
        <x:v>88444695.0500000010009</x:v>
      </x:c>
      <x:c r="P22" s="32">
        <x:f>P18+P19-P20-P21</x:f>
        <x:v>15026715635.6799993397</x:v>
      </x:c>
      <x:c r="Q22" s="32">
        <x:f>Q18+Q19-Q20-Q21</x:f>
        <x:v>25532646867.3999991094809</x:v>
      </x:c>
      <x:c r="R22" s="16">
        <x:f>R18+R19-R20-R21</x:f>
        <x:v>73352796118.7999971587809</x:v>
      </x:c>
      <x:c r="S22" s="37">
        <x:f>IF(K22=0,0,R22/K22)</x:f>
        <x:v>0.663560314914921092</x:v>
      </x:c>
    </x:row>
    <x:row r="23" s="20" customFormat="1">
      <x:c r="B23" s="7"/>
      <x:c r="C23" s="8"/>
      <x:c r="D23" s="21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19"/>
      <x:c r="S23" s="19"/>
    </x:row>
    <x:row r="24" s="23" customFormat="1">
      <x:c r="B24" s="12"/>
      <x:c r="C24" s="13" t="s">
        <x:v>27</x:v>
      </x:c>
      <x:c r="D24" s="14" t="s">
        <x:v>43</x:v>
      </x:c>
      <x:c r="E24" s="15"/>
      <x:c r="F24" s="32">
        <x:f>F15-F22</x:f>
        <x:v>77277949902.00</x:v>
      </x:c>
      <x:c r="G24" s="32">
        <x:f>G15-G22</x:f>
        <x:v>2442936793.00</x:v>
      </x:c>
      <x:c r="H24" s="32">
        <x:f>H15-H22</x:f>
        <x:v>1993532180.00</x:v>
      </x:c>
      <x:c r="I24" s="32">
        <x:f>I15-I22</x:f>
        <x:v>4179809270.00</x:v>
      </x:c>
      <x:c r="J24" s="32">
        <x:f>J15-J22</x:f>
        <x:v>1666500709.00</x:v>
      </x:c>
      <x:c r="K24" s="32">
        <x:f>K15-K22</x:f>
        <x:v>87560728854.00</x:v>
      </x:c>
      <x:c r="L24" s="32">
        <x:f>L15-L22</x:f>
        <x:v>43884395722.4099974097</x:v>
      </x:c>
      <x:c r="M24" s="32">
        <x:f>M15-M22</x:f>
        <x:v>953416597.00000000</x:v>
      </x:c>
      <x:c r="N24" s="32">
        <x:f>N15-N22</x:f>
        <x:v>153273716.77000001125</x:v>
      </x:c>
      <x:c r="O24" s="32">
        <x:f>O15-O22</x:f>
        <x:v>1476838341.6000000958991</x:v>
      </x:c>
      <x:c r="P24" s="32">
        <x:f>P15-P22</x:f>
        <x:v>19495229619.94999782535</x:v>
      </x:c>
      <x:c r="Q24" s="32">
        <x:f>Q15-Q22</x:f>
        <x:v>10704151124.6599981634991</x:v>
      </x:c>
      <x:c r="R24" s="16">
        <x:f>R15-R22</x:f>
        <x:v>55541963444.0699955731991</x:v>
      </x:c>
      <x:c r="S24" s="37">
        <x:f>IF(K24=0,0,R24/K24)</x:f>
        <x:v>0.634325046981751972</x:v>
      </x:c>
    </x:row>
    <x:row r="25" s="20" customFormat="1">
      <x:c r="B25" s="7"/>
      <x:c r="C25" s="8"/>
      <x:c r="D25" s="21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19"/>
      <x:c r="S25" s="19"/>
    </x:row>
    <x:row r="26" s="23" customFormat="1">
      <x:c r="B26" s="12">
        <x:v>19</x:v>
      </x:c>
      <x:c r="C26" s="13" t="s">
        <x:v>27</x:v>
      </x:c>
      <x:c r="D26" s="14" t="s">
        <x:v>44</x:v>
      </x:c>
      <x:c r="E26" s="15"/>
      <x:c r="F26" s="15">
        <x:v>0.00</x:v>
      </x:c>
      <x:c r="G26" s="15">
        <x:v>0.00</x:v>
      </x:c>
      <x:c r="H26" s="15">
        <x:v>0.00</x:v>
      </x:c>
      <x:c r="I26" s="15">
        <x:v>0.00</x:v>
      </x:c>
      <x:c r="J26" s="15">
        <x:v>0.00</x:v>
      </x:c>
      <x:c r="K26" s="15">
        <x:v>0.00</x:v>
      </x:c>
      <x:c r="L26" s="15"/>
      <x:c r="M26" s="15"/>
      <x:c r="N26" s="15"/>
      <x:c r="O26" s="15"/>
      <x:c r="P26" s="15"/>
      <x:c r="Q26" s="15"/>
      <x:c r="R26" s="19"/>
      <x:c r="S26" s="19"/>
    </x:row>
    <x:row r="27" s="20" customFormat="1">
      <x:c r="B27" s="7"/>
      <x:c r="C27" s="8"/>
      <x:c r="D27" s="21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19"/>
      <x:c r="S27" s="19"/>
    </x:row>
    <x:row r="28" s="23" customFormat="1">
      <x:c r="B28" s="12"/>
      <x:c r="C28" s="13" t="s">
        <x:v>27</x:v>
      </x:c>
      <x:c r="D28" s="14" t="s">
        <x:v>45</x:v>
      </x:c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6"/>
      <x:c r="S28" s="16"/>
    </x:row>
    <x:row r="29" s="23" customFormat="1">
      <x:c r="B29" s="12"/>
      <x:c r="C29" s="13" t="s">
        <x:v>29</x:v>
      </x:c>
      <x:c r="D29" s="14"/>
      <x:c r="E29" s="15" t="s">
        <x:v>46</x:v>
      </x:c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6"/>
      <x:c r="S29" s="16"/>
    </x:row>
    <x:row r="30" s="20" customFormat="1">
      <x:c r="A30" s="20">
        <x:v>94</x:v>
      </x:c>
      <x:c r="B30" s="7"/>
      <x:c r="C30" s="8"/>
      <x:c r="D30" s="21"/>
      <x:c r="E30" s="24" t="s">
        <x:v>47</x:v>
      </x:c>
      <x:c r="F30" s="31">
        <x:v>969596418.00</x:v>
      </x:c>
      <x:c r="G30" s="31">
        <x:v>0.00</x:v>
      </x:c>
      <x:c r="H30" s="31">
        <x:v>19882043.00</x:v>
      </x:c>
      <x:c r="I30" s="31">
        <x:v>25588713.00</x:v>
      </x:c>
      <x:c r="J30" s="31">
        <x:v>112590574.00</x:v>
      </x:c>
      <x:c r="K30" s="33">
        <x:f>SUM(F30:J30)</x:f>
        <x:v>1127657748.00</x:v>
      </x:c>
      <x:c r="L30" s="31">
        <x:v>516810778.18000001</x:v>
      </x:c>
      <x:c r="M30" s="31"/>
      <x:c r="N30" s="31">
        <x:v>952514.539725529510023622688476016855</x:v>
      </x:c>
      <x:c r="O30" s="31">
        <x:v>9354415.328442524400524635413527166536</x:v>
      </x:c>
      <x:c r="P30" s="31">
        <x:v>216634112.951831936089451741897542934522</x:v>
      </x:c>
      <x:c r="Q30" s="31">
        <x:f>N30+O30+P30</x:f>
        <x:v>226941042.81999999</x:v>
      </x:c>
      <x:c r="R30" s="19">
        <x:f>SUM(L30:P30)</x:f>
        <x:v>743751821.00000000</x:v>
      </x:c>
      <x:c r="S30" s="37">
        <x:f>IF(K30=0,0,R30/K30)</x:f>
        <x:v>0.659554569920801892</x:v>
      </x:c>
    </x:row>
    <x:row r="31" s="20" customFormat="1">
      <x:c r="A31" s="20">
        <x:v>95</x:v>
      </x:c>
      <x:c r="B31" s="7"/>
      <x:c r="C31" s="8"/>
      <x:c r="D31" s="21"/>
      <x:c r="E31" s="24" t="s">
        <x:v>48</x:v>
      </x:c>
      <x:c r="F31" s="31">
        <x:v>35417988.00</x:v>
      </x:c>
      <x:c r="G31" s="31">
        <x:v>0.00</x:v>
      </x:c>
      <x:c r="H31" s="31">
        <x:v>726263.00</x:v>
      </x:c>
      <x:c r="I31" s="31">
        <x:v>934720.00</x:v>
      </x:c>
      <x:c r="J31" s="31">
        <x:v>4112775.00</x:v>
      </x:c>
      <x:c r="K31" s="33">
        <x:f>SUM(F31:J31)</x:f>
        <x:v>41191746.00</x:v>
      </x:c>
      <x:c r="L31" s="31">
        <x:v>13555184.060000001</x:v>
      </x:c>
      <x:c r="M31" s="31"/>
      <x:c r="N31" s="31">
        <x:v>25541.937133284329796054558011619995</x:v>
      </x:c>
      <x:c r="O31" s="31">
        <x:v>250841.197979569687786895518602754298</x:v>
      </x:c>
      <x:c r="P31" s="31">
        <x:v>5809102.814887146182417049923373454733</x:v>
      </x:c>
      <x:c r="Q31" s="31">
        <x:f>N31+O31+P31</x:f>
        <x:v>6085485.9500000002</x:v>
      </x:c>
      <x:c r="R31" s="19">
        <x:f>SUM(L31:P31)</x:f>
        <x:v>19640670.0100000012</x:v>
      </x:c>
      <x:c r="S31" s="37">
        <x:f>IF(K31=0,0,R31/K31)</x:f>
        <x:v>0.476810815691085325</x:v>
      </x:c>
    </x:row>
    <x:row r="32" s="20" customFormat="1">
      <x:c r="A32" s="20">
        <x:v>96</x:v>
      </x:c>
      <x:c r="B32" s="7"/>
      <x:c r="C32" s="8"/>
      <x:c r="D32" s="21"/>
      <x:c r="E32" s="24" t="s">
        <x:v>49</x:v>
      </x:c>
      <x:c r="F32" s="31">
        <x:v>180463352.00</x:v>
      </x:c>
      <x:c r="G32" s="31">
        <x:v>0.00</x:v>
      </x:c>
      <x:c r="H32" s="31">
        <x:v>3700488.00</x:v>
      </x:c>
      <x:c r="I32" s="31">
        <x:v>4762626.00</x:v>
      </x:c>
      <x:c r="J32" s="31">
        <x:v>20955598.00</x:v>
      </x:c>
      <x:c r="K32" s="33">
        <x:f>SUM(F32:J32)</x:f>
        <x:v>209882064.00</x:v>
      </x:c>
      <x:c r="L32" s="31">
        <x:v>7643750.00</x:v>
      </x:c>
      <x:c r="M32" s="31"/>
      <x:c r="N32" s="31">
        <x:v>11988.222228488320572383604898968750</x:v>
      </x:c>
      <x:c r="O32" s="31">
        <x:v>117733.436181731041083848544365287500</x:v>
      </x:c>
      <x:c r="P32" s="31">
        <x:v>2726528.341589780638343767850730031250</x:v>
      </x:c>
      <x:c r="Q32" s="31">
        <x:f>N32+O32+P32</x:f>
        <x:v>2856250.00</x:v>
      </x:c>
      <x:c r="R32" s="19">
        <x:f>SUM(L32:P32)</x:f>
        <x:v>10500000.00</x:v>
      </x:c>
      <x:c r="S32" s="37">
        <x:f>IF(K32=0,0,R32/K32)</x:f>
        <x:v>0.050028095778589255</x:v>
      </x:c>
    </x:row>
    <x:row r="33" s="20" customFormat="1">
      <x:c r="A33" s="20">
        <x:v>97</x:v>
      </x:c>
      <x:c r="B33" s="7"/>
      <x:c r="C33" s="8"/>
      <x:c r="D33" s="21"/>
      <x:c r="E33" s="24" t="s">
        <x:v>50</x:v>
      </x:c>
      <x:c r="F33" s="31">
        <x:v>8268054.00</x:v>
      </x:c>
      <x:c r="G33" s="31">
        <x:v>0.00</x:v>
      </x:c>
      <x:c r="H33" s="31">
        <x:v>169540.00</x:v>
      </x:c>
      <x:c r="I33" s="31">
        <x:v>218203.00</x:v>
      </x:c>
      <x:c r="J33" s="31">
        <x:v>960095.00</x:v>
      </x:c>
      <x:c r="K33" s="33">
        <x:f>SUM(F33:J33)</x:f>
        <x:v>9615892.00</x:v>
      </x:c>
      <x:c r="L33" s="31"/>
      <x:c r="M33" s="31"/>
      <x:c r="N33" s="31"/>
      <x:c r="O33" s="31"/>
      <x:c r="P33" s="31"/>
      <x:c r="Q33" s="31"/>
      <x:c r="R33" s="19"/>
      <x:c r="S33" s="37"/>
    </x:row>
    <x:row r="34" s="20" customFormat="1">
      <x:c r="A34" s="20">
        <x:v>100</x:v>
      </x:c>
      <x:c r="B34" s="7"/>
      <x:c r="C34" s="8"/>
      <x:c r="D34" s="21"/>
      <x:c r="E34" s="24" t="s">
        <x:v>51</x:v>
      </x:c>
      <x:c r="F34" s="31">
        <x:v>131045331.00</x:v>
      </x:c>
      <x:c r="G34" s="31">
        <x:v>0.00</x:v>
      </x:c>
      <x:c r="H34" s="31">
        <x:v>2687148.00</x:v>
      </x:c>
      <x:c r="I34" s="31">
        <x:v>3458430.00</x:v>
      </x:c>
      <x:c r="J34" s="31">
        <x:v>15217124.00</x:v>
      </x:c>
      <x:c r="K34" s="33">
        <x:f>SUM(F34:J34)</x:f>
        <x:v>152408033.00</x:v>
      </x:c>
      <x:c r="L34" s="31"/>
      <x:c r="M34" s="31"/>
      <x:c r="N34" s="31"/>
      <x:c r="O34" s="31"/>
      <x:c r="P34" s="31"/>
      <x:c r="Q34" s="31"/>
      <x:c r="R34" s="19"/>
      <x:c r="S34" s="37"/>
    </x:row>
    <x:row r="35" s="20" customFormat="1">
      <x:c r="A35" s="20">
        <x:v>101</x:v>
      </x:c>
      <x:c r="B35" s="7"/>
      <x:c r="C35" s="8"/>
      <x:c r="D35" s="21"/>
      <x:c r="E35" s="24" t="s">
        <x:v>52</x:v>
      </x:c>
      <x:c r="F35" s="31">
        <x:v>1395994313.00</x:v>
      </x:c>
      <x:c r="G35" s="31">
        <x:v>0.00</x:v>
      </x:c>
      <x:c r="H35" s="31">
        <x:v>28625538.00</x:v>
      </x:c>
      <x:c r="I35" s="31">
        <x:v>36841820.00</x:v>
      </x:c>
      <x:c r="J35" s="31">
        <x:v>162104354.00</x:v>
      </x:c>
      <x:c r="K35" s="33">
        <x:f>SUM(F35:J35)</x:f>
        <x:v>1623566025.00</x:v>
      </x:c>
      <x:c r="L35" s="31">
        <x:v>673125239.26999998</x:v>
      </x:c>
      <x:c r="M35" s="31"/>
      <x:c r="N35" s="31">
        <x:v>1240655.347416744571140467930973323602</x:v>
      </x:c>
      <x:c r="O35" s="31">
        <x:v>12184176.634756229353633518412629939145</x:v>
      </x:c>
      <x:c r="P35" s="31">
        <x:v>282167105.547826996075226013655805553376</x:v>
      </x:c>
      <x:c r="Q35" s="31">
        <x:f>N35+O35+P35</x:f>
        <x:v>295591937.52999997</x:v>
      </x:c>
      <x:c r="R35" s="19">
        <x:f>SUM(L35:P35)</x:f>
        <x:v>968717176.79999995</x:v>
      </x:c>
      <x:c r="S35" s="37">
        <x:f>IF(K35=0,0,R35/K35)</x:f>
        <x:v>0.596660167731706476</x:v>
      </x:c>
    </x:row>
    <x:row r="36" s="20" customFormat="1">
      <x:c r="A36" s="20">
        <x:v>102</x:v>
      </x:c>
      <x:c r="B36" s="7"/>
      <x:c r="C36" s="8"/>
      <x:c r="D36" s="21"/>
      <x:c r="E36" s="24" t="s">
        <x:v>53</x:v>
      </x:c>
      <x:c r="F36" s="31">
        <x:v>0.00</x:v>
      </x:c>
      <x:c r="G36" s="31">
        <x:v>0.00</x:v>
      </x:c>
      <x:c r="H36" s="31">
        <x:v>0.00</x:v>
      </x:c>
      <x:c r="I36" s="31">
        <x:v>0.00</x:v>
      </x:c>
      <x:c r="J36" s="31">
        <x:v>0.00</x:v>
      </x:c>
      <x:c r="K36" s="33">
        <x:f>SUM(F36:J36)</x:f>
        <x:v>0.00</x:v>
      </x:c>
      <x:c r="L36" s="31"/>
      <x:c r="M36" s="31"/>
      <x:c r="N36" s="31"/>
      <x:c r="O36" s="31"/>
      <x:c r="P36" s="31"/>
      <x:c r="Q36" s="31"/>
      <x:c r="R36" s="19"/>
      <x:c r="S36" s="37"/>
    </x:row>
    <x:row r="37" s="20" customFormat="1">
      <x:c r="A37" s="20">
        <x:v>103</x:v>
      </x:c>
      <x:c r="B37" s="7"/>
      <x:c r="C37" s="8"/>
      <x:c r="D37" s="21"/>
      <x:c r="E37" s="24" t="s">
        <x:v>54</x:v>
      </x:c>
      <x:c r="F37" s="31">
        <x:v>0.00</x:v>
      </x:c>
      <x:c r="G37" s="31">
        <x:v>0.00</x:v>
      </x:c>
      <x:c r="H37" s="31">
        <x:v>0.00</x:v>
      </x:c>
      <x:c r="I37" s="31">
        <x:v>0.00</x:v>
      </x:c>
      <x:c r="J37" s="31">
        <x:v>0.00</x:v>
      </x:c>
      <x:c r="K37" s="33">
        <x:f>SUM(F37:J37)</x:f>
        <x:v>0.00</x:v>
      </x:c>
      <x:c r="L37" s="31"/>
      <x:c r="M37" s="31"/>
      <x:c r="N37" s="31"/>
      <x:c r="O37" s="31"/>
      <x:c r="P37" s="31"/>
      <x:c r="Q37" s="31"/>
      <x:c r="R37" s="19"/>
      <x:c r="S37" s="37"/>
    </x:row>
    <x:row r="38" s="20" customFormat="1">
      <x:c r="A38" s="20">
        <x:v>104</x:v>
      </x:c>
      <x:c r="B38" s="7"/>
      <x:c r="C38" s="8"/>
      <x:c r="D38" s="21"/>
      <x:c r="E38" s="24" t="s">
        <x:v>55</x:v>
      </x:c>
      <x:c r="F38" s="31">
        <x:v>198153866.00</x:v>
      </x:c>
      <x:c r="G38" s="31">
        <x:v>0.00</x:v>
      </x:c>
      <x:c r="H38" s="31">
        <x:v>4063241.00</x:v>
      </x:c>
      <x:c r="I38" s="31">
        <x:v>5229498.00</x:v>
      </x:c>
      <x:c r="J38" s="31">
        <x:v>23009839.00</x:v>
      </x:c>
      <x:c r="K38" s="33">
        <x:f>SUM(F38:J38)</x:f>
        <x:v>230456444.00</x:v>
      </x:c>
      <x:c r="L38" s="31"/>
      <x:c r="M38" s="31"/>
      <x:c r="N38" s="31"/>
      <x:c r="O38" s="31"/>
      <x:c r="P38" s="31"/>
      <x:c r="Q38" s="31"/>
      <x:c r="R38" s="19"/>
      <x:c r="S38" s="37"/>
    </x:row>
    <x:row r="39" s="20" customFormat="1">
      <x:c r="A39" s="20">
        <x:v>105</x:v>
      </x:c>
      <x:c r="B39" s="7"/>
      <x:c r="C39" s="8"/>
      <x:c r="D39" s="21"/>
      <x:c r="E39" s="24" t="s">
        <x:v>56</x:v>
      </x:c>
      <x:c r="F39" s="31">
        <x:v>50291541.00</x:v>
      </x:c>
      <x:c r="G39" s="31">
        <x:v>0.00</x:v>
      </x:c>
      <x:c r="H39" s="31">
        <x:v>1031252.00</x:v>
      </x:c>
      <x:c r="I39" s="31">
        <x:v>1327249.00</x:v>
      </x:c>
      <x:c r="J39" s="31">
        <x:v>5839908.00</x:v>
      </x:c>
      <x:c r="K39" s="33">
        <x:f>SUM(F39:J39)</x:f>
        <x:v>58489950.00</x:v>
      </x:c>
      <x:c r="L39" s="31"/>
      <x:c r="M39" s="31"/>
      <x:c r="N39" s="31"/>
      <x:c r="O39" s="31"/>
      <x:c r="P39" s="31"/>
      <x:c r="Q39" s="31"/>
      <x:c r="R39" s="19"/>
      <x:c r="S39" s="37"/>
    </x:row>
    <x:row r="40" s="20" customFormat="1">
      <x:c r="A40" s="20">
        <x:v>106</x:v>
      </x:c>
      <x:c r="B40" s="7"/>
      <x:c r="C40" s="8"/>
      <x:c r="D40" s="21"/>
      <x:c r="E40" s="24" t="s">
        <x:v>57</x:v>
      </x:c>
      <x:c r="F40" s="31">
        <x:v>71343529.00</x:v>
      </x:c>
      <x:c r="G40" s="31">
        <x:v>0.00</x:v>
      </x:c>
      <x:c r="H40" s="31">
        <x:v>1462934.00</x:v>
      </x:c>
      <x:c r="I40" s="31">
        <x:v>1882834.00</x:v>
      </x:c>
      <x:c r="J40" s="31">
        <x:v>8284487.00</x:v>
      </x:c>
      <x:c r="K40" s="33">
        <x:f>SUM(F40:J40)</x:f>
        <x:v>82973784.00</x:v>
      </x:c>
      <x:c r="L40" s="31"/>
      <x:c r="M40" s="31"/>
      <x:c r="N40" s="31"/>
      <x:c r="O40" s="31"/>
      <x:c r="P40" s="31"/>
      <x:c r="Q40" s="31"/>
      <x:c r="R40" s="19"/>
      <x:c r="S40" s="37"/>
    </x:row>
    <x:row r="41" s="20" customFormat="1">
      <x:c r="A41" s="20">
        <x:v>107</x:v>
      </x:c>
      <x:c r="B41" s="7"/>
      <x:c r="C41" s="8"/>
      <x:c r="D41" s="21"/>
      <x:c r="E41" s="24" t="s">
        <x:v>58</x:v>
      </x:c>
      <x:c r="F41" s="31">
        <x:v>10354282.00</x:v>
      </x:c>
      <x:c r="G41" s="31">
        <x:v>0.00</x:v>
      </x:c>
      <x:c r="H41" s="31">
        <x:v>212320.00</x:v>
      </x:c>
      <x:c r="I41" s="31">
        <x:v>273261.00</x:v>
      </x:c>
      <x:c r="J41" s="31">
        <x:v>1202350.00</x:v>
      </x:c>
      <x:c r="K41" s="33">
        <x:f>SUM(F41:J41)</x:f>
        <x:v>12042213.00</x:v>
      </x:c>
      <x:c r="L41" s="31"/>
      <x:c r="M41" s="31"/>
      <x:c r="N41" s="31"/>
      <x:c r="O41" s="31"/>
      <x:c r="P41" s="31"/>
      <x:c r="Q41" s="31"/>
      <x:c r="R41" s="19"/>
      <x:c r="S41" s="37"/>
    </x:row>
    <x:row r="42" s="20" customFormat="1">
      <x:c r="A42" s="20">
        <x:v>108</x:v>
      </x:c>
      <x:c r="B42" s="7"/>
      <x:c r="C42" s="8"/>
      <x:c r="D42" s="21"/>
      <x:c r="E42" s="24" t="s">
        <x:v>59</x:v>
      </x:c>
      <x:c r="F42" s="31">
        <x:v>23991629.00</x:v>
      </x:c>
      <x:c r="G42" s="31">
        <x:v>0.00</x:v>
      </x:c>
      <x:c r="H42" s="31">
        <x:v>491960.00</x:v>
      </x:c>
      <x:c r="I42" s="31">
        <x:v>633165.00</x:v>
      </x:c>
      <x:c r="J42" s="31">
        <x:v>2785934.00</x:v>
      </x:c>
      <x:c r="K42" s="33">
        <x:f>SUM(F42:J42)</x:f>
        <x:v>27902688.00</x:v>
      </x:c>
      <x:c r="L42" s="31"/>
      <x:c r="M42" s="31"/>
      <x:c r="N42" s="31"/>
      <x:c r="O42" s="31"/>
      <x:c r="P42" s="31"/>
      <x:c r="Q42" s="31"/>
      <x:c r="R42" s="19"/>
      <x:c r="S42" s="37"/>
    </x:row>
    <x:row r="43" s="20" customFormat="1">
      <x:c r="A43" s="20">
        <x:v>109</x:v>
      </x:c>
      <x:c r="B43" s="7"/>
      <x:c r="C43" s="8"/>
      <x:c r="D43" s="21"/>
      <x:c r="E43" s="24" t="s">
        <x:v>60</x:v>
      </x:c>
      <x:c r="F43" s="31">
        <x:v>290834566.00</x:v>
      </x:c>
      <x:c r="G43" s="31">
        <x:v>0.00</x:v>
      </x:c>
      <x:c r="H43" s="31">
        <x:v>5963703.00</x:v>
      </x:c>
      <x:c r="I43" s="31">
        <x:v>7675443.00</x:v>
      </x:c>
      <x:c r="J43" s="31">
        <x:v>33772021.00</x:v>
      </x:c>
      <x:c r="K43" s="33">
        <x:f>SUM(F43:J43)</x:f>
        <x:v>338245733.00</x:v>
      </x:c>
      <x:c r="L43" s="31">
        <x:v>203316284.50</x:v>
      </x:c>
      <x:c r="M43" s="31"/>
      <x:c r="N43" s="31">
        <x:v>390301.468430609887845347294152995742</x:v>
      </x:c>
      <x:c r="O43" s="31">
        <x:v>3833056.490720849317119403807049440155</x:v>
      </x:c>
      <x:c r="P43" s="31">
        <x:v>88767791.850848542795035248898611581802</x:v>
      </x:c>
      <x:c r="Q43" s="31">
        <x:f>N43+O43+P43</x:f>
        <x:v>92991149.810000002</x:v>
      </x:c>
      <x:c r="R43" s="19">
        <x:f>SUM(L43:P43)</x:f>
        <x:v>296307434.310000002</x:v>
      </x:c>
      <x:c r="S43" s="37">
        <x:f>IF(K43=0,0,R43/K43)</x:f>
        <x:v>0.876012334825226019</x:v>
      </x:c>
    </x:row>
    <x:row r="44" s="20" customFormat="1">
      <x:c r="A44" s="20">
        <x:v>110</x:v>
      </x:c>
      <x:c r="B44" s="7"/>
      <x:c r="C44" s="8"/>
      <x:c r="D44" s="21"/>
      <x:c r="E44" s="24" t="s">
        <x:v>61</x:v>
      </x:c>
      <x:c r="F44" s="31">
        <x:v>1123262216.00</x:v>
      </x:c>
      <x:c r="G44" s="31">
        <x:v>0.00</x:v>
      </x:c>
      <x:c r="H44" s="31">
        <x:v>23033034.00</x:v>
      </x:c>
      <x:c r="I44" s="31">
        <x:v>29644121.00</x:v>
      </x:c>
      <x:c r="J44" s="31">
        <x:v>130434411.00</x:v>
      </x:c>
      <x:c r="K44" s="33">
        <x:f>SUM(F44:J44)</x:f>
        <x:v>1306373782.00</x:v>
      </x:c>
      <x:c r="L44" s="31">
        <x:v>151293034.78</x:v>
      </x:c>
      <x:c r="M44" s="31"/>
      <x:c r="N44" s="31">
        <x:v>289626.993508424954377262325021429924</x:v>
      </x:c>
      <x:c r="O44" s="31">
        <x:v>2844356.778413719438530854611595854747</x:v>
      </x:c>
      <x:c r="P44" s="31">
        <x:v>65871001.658077862607091883063244705357</x:v>
      </x:c>
      <x:c r="Q44" s="31">
        <x:f>N44+O44+P44</x:f>
        <x:v>69004985.430000007</x:v>
      </x:c>
      <x:c r="R44" s="19">
        <x:f>SUM(L44:P44)</x:f>
        <x:v>220298020.210000007</x:v>
      </x:c>
      <x:c r="S44" s="37">
        <x:f>IF(K44=0,0,R44/K44)</x:f>
        <x:v>0.168633222164588731</x:v>
      </x:c>
    </x:row>
    <x:row r="45" s="20" customFormat="1">
      <x:c r="A45" s="20">
        <x:v>111</x:v>
      </x:c>
      <x:c r="B45" s="7"/>
      <x:c r="C45" s="8"/>
      <x:c r="D45" s="21"/>
      <x:c r="E45" s="24" t="s">
        <x:v>62</x:v>
      </x:c>
      <x:c r="F45" s="31">
        <x:v>34442168.00</x:v>
      </x:c>
      <x:c r="G45" s="31">
        <x:v>0.00</x:v>
      </x:c>
      <x:c r="H45" s="31">
        <x:v>706253.00</x:v>
      </x:c>
      <x:c r="I45" s="31">
        <x:v>908967.00</x:v>
      </x:c>
      <x:c r="J45" s="31">
        <x:v>3999461.00</x:v>
      </x:c>
      <x:c r="K45" s="33">
        <x:f>SUM(F45:J45)</x:f>
        <x:v>40056849.00</x:v>
      </x:c>
      <x:c r="L45" s="31">
        <x:v>25634999.800000001</x:v>
      </x:c>
      <x:c r="M45" s="31"/>
      <x:c r="N45" s="31">
        <x:v>47001.525423285333598159859041569829</x:v>
      </x:c>
      <x:c r="O45" s="31">
        <x:v>461590.633573377622094140553665271196</x:v>
      </x:c>
      <x:c r="P45" s="31">
        <x:v>10689741.041003336044307699587270762307</x:v>
      </x:c>
      <x:c r="Q45" s="31">
        <x:f>N45+O45+P45</x:f>
        <x:v>11198333.199999999</x:v>
      </x:c>
      <x:c r="R45" s="19">
        <x:f>SUM(L45:P45)</x:f>
        <x:v>36833333.000000000</x:v>
      </x:c>
      <x:c r="S45" s="37">
        <x:f>IF(K45=0,0,R45/K45)</x:f>
        <x:v>0.919526470991265438</x:v>
      </x:c>
    </x:row>
    <x:row r="46" s="20" customFormat="1">
      <x:c r="A46" s="20">
        <x:v>112</x:v>
      </x:c>
      <x:c r="B46" s="7"/>
      <x:c r="C46" s="8"/>
      <x:c r="D46" s="21"/>
      <x:c r="E46" s="24" t="s">
        <x:v>63</x:v>
      </x:c>
      <x:c r="F46" s="31">
        <x:v>707805475.00</x:v>
      </x:c>
      <x:c r="G46" s="31">
        <x:v>0.00</x:v>
      </x:c>
      <x:c r="H46" s="31">
        <x:v>14513893.00</x:v>
      </x:c>
      <x:c r="I46" s="31">
        <x:v>18679762.00</x:v>
      </x:c>
      <x:c r="J46" s="31">
        <x:v>82191129.00</x:v>
      </x:c>
      <x:c r="K46" s="33">
        <x:f>SUM(F46:J46)</x:f>
        <x:v>823190259.00</x:v>
      </x:c>
      <x:c r="L46" s="31">
        <x:v>316284723.10000002</x:v>
      </x:c>
      <x:c r="M46" s="31"/>
      <x:c r="N46" s="31">
        <x:v>583613.351787687098068353566962149796</x:v>
      </x:c>
      <x:c r="O46" s="31">
        <x:v>5731525.825757572416883428009957852263</x:v>
      </x:c>
      <x:c r="P46" s="31">
        <x:v>132733470.722454750485048218422801900720</x:v>
      </x:c>
      <x:c r="Q46" s="31">
        <x:f>N46+O46+P46</x:f>
        <x:v>139048609.90000001</x:v>
      </x:c>
      <x:c r="R46" s="19">
        <x:f>SUM(L46:P46)</x:f>
        <x:v>455333333.00000003</x:v>
      </x:c>
      <x:c r="S46" s="37">
        <x:f>IF(K46=0,0,R46/K46)</x:f>
        <x:v>0.553132557172302533</x:v>
      </x:c>
    </x:row>
    <x:row r="47" s="20" customFormat="1">
      <x:c r="A47" s="20">
        <x:v>113</x:v>
      </x:c>
      <x:c r="B47" s="7"/>
      <x:c r="C47" s="8"/>
      <x:c r="D47" s="21"/>
      <x:c r="E47" s="24" t="s">
        <x:v>64</x:v>
      </x:c>
      <x:c r="F47" s="31">
        <x:v>16470226.00</x:v>
      </x:c>
      <x:c r="G47" s="31">
        <x:v>0.00</x:v>
      </x:c>
      <x:c r="H47" s="31">
        <x:v>337730.00</x:v>
      </x:c>
      <x:c r="I47" s="31">
        <x:v>434667.00</x:v>
      </x:c>
      <x:c r="J47" s="31">
        <x:v>1912540.00</x:v>
      </x:c>
      <x:c r="K47" s="33">
        <x:f>SUM(F47:J47)</x:f>
        <x:v>19155163.00</x:v>
      </x:c>
      <x:c r="L47" s="31"/>
      <x:c r="M47" s="31"/>
      <x:c r="N47" s="31"/>
      <x:c r="O47" s="31"/>
      <x:c r="P47" s="31"/>
      <x:c r="Q47" s="31"/>
      <x:c r="R47" s="19"/>
      <x:c r="S47" s="37"/>
    </x:row>
    <x:row r="48" s="20" customFormat="1">
      <x:c r="A48" s="20">
        <x:v>114</x:v>
      </x:c>
      <x:c r="B48" s="7"/>
      <x:c r="C48" s="8"/>
      <x:c r="D48" s="21"/>
      <x:c r="E48" s="24" t="s">
        <x:v>65</x:v>
      </x:c>
      <x:c r="F48" s="31">
        <x:v>158022669.00</x:v>
      </x:c>
      <x:c r="G48" s="31">
        <x:v>0.00</x:v>
      </x:c>
      <x:c r="H48" s="31">
        <x:v>3240331.00</x:v>
      </x:c>
      <x:c r="I48" s="31">
        <x:v>4170391.00</x:v>
      </x:c>
      <x:c r="J48" s="31">
        <x:v>18349762.00</x:v>
      </x:c>
      <x:c r="K48" s="33">
        <x:f>SUM(F48:J48)</x:f>
        <x:v>183783153.00</x:v>
      </x:c>
      <x:c r="L48" s="31"/>
      <x:c r="M48" s="31"/>
      <x:c r="N48" s="31"/>
      <x:c r="O48" s="31"/>
      <x:c r="P48" s="31"/>
      <x:c r="Q48" s="31"/>
      <x:c r="R48" s="19"/>
      <x:c r="S48" s="37"/>
    </x:row>
    <x:row r="49" s="20" customFormat="1">
      <x:c r="A49" s="20">
        <x:v>115</x:v>
      </x:c>
      <x:c r="B49" s="7"/>
      <x:c r="C49" s="8"/>
      <x:c r="D49" s="21"/>
      <x:c r="E49" s="24" t="s">
        <x:v>66</x:v>
      </x:c>
      <x:c r="F49" s="31">
        <x:v>180733558.00</x:v>
      </x:c>
      <x:c r="G49" s="31">
        <x:v>0.00</x:v>
      </x:c>
      <x:c r="H49" s="31">
        <x:v>3706029.00</x:v>
      </x:c>
      <x:c r="I49" s="31">
        <x:v>4769757.00</x:v>
      </x:c>
      <x:c r="J49" s="31">
        <x:v>20986974.00</x:v>
      </x:c>
      <x:c r="K49" s="33">
        <x:f>SUM(F49:J49)</x:f>
        <x:v>210196318.00</x:v>
      </x:c>
      <x:c r="L49" s="31">
        <x:v>109229857.80</x:v>
      </x:c>
      <x:c r="M49" s="31"/>
      <x:c r="N49" s="31">
        <x:v>196252.778883101206241528114233543689</x:v>
      </x:c>
      <x:c r="O49" s="31">
        <x:v>1927351.159975494236972583249326300190</x:v>
      </x:c>
      <x:c r="P49" s="31">
        <x:v>44634538.261141407556785888636346639835</x:v>
      </x:c>
      <x:c r="Q49" s="31">
        <x:f>N49+O49+P49</x:f>
        <x:v>46758142.200000003</x:v>
      </x:c>
      <x:c r="R49" s="19">
        <x:f>SUM(L49:P49)</x:f>
        <x:v>155988000.000000003</x:v>
      </x:c>
      <x:c r="S49" s="37">
        <x:f>IF(K49=0,0,R49/K49)</x:f>
        <x:v>0.742106243744954671</x:v>
      </x:c>
    </x:row>
    <x:row r="50" s="20" customFormat="1">
      <x:c r="A50" s="20">
        <x:v>124</x:v>
      </x:c>
      <x:c r="B50" s="7"/>
      <x:c r="C50" s="8"/>
      <x:c r="D50" s="21"/>
      <x:c r="E50" s="24" t="s">
        <x:v>67</x:v>
      </x:c>
      <x:c r="F50" s="31">
        <x:v>32127921.00</x:v>
      </x:c>
      <x:c r="G50" s="31">
        <x:v>0.00</x:v>
      </x:c>
      <x:c r="H50" s="31">
        <x:v>658799.00</x:v>
      </x:c>
      <x:c r="I50" s="31">
        <x:v>847891.00</x:v>
      </x:c>
      <x:c r="J50" s="31">
        <x:v>3730729.00</x:v>
      </x:c>
      <x:c r="K50" s="33">
        <x:f>SUM(F50:J50)</x:f>
        <x:v>37365340.00</x:v>
      </x:c>
      <x:c r="L50" s="31"/>
      <x:c r="M50" s="31"/>
      <x:c r="N50" s="31"/>
      <x:c r="O50" s="31"/>
      <x:c r="P50" s="31"/>
      <x:c r="Q50" s="31"/>
      <x:c r="R50" s="19"/>
      <x:c r="S50" s="37"/>
    </x:row>
    <x:row r="51" s="20" customFormat="1">
      <x:c r="A51" s="20">
        <x:v>143</x:v>
      </x:c>
      <x:c r="B51" s="7"/>
      <x:c r="C51" s="8"/>
      <x:c r="D51" s="21"/>
      <x:c r="E51" s="24" t="s">
        <x:v>68</x:v>
      </x:c>
      <x:c r="F51" s="31">
        <x:v>0.00</x:v>
      </x:c>
      <x:c r="G51" s="31">
        <x:v>0.00</x:v>
      </x:c>
      <x:c r="H51" s="31">
        <x:v>0.00</x:v>
      </x:c>
      <x:c r="I51" s="31">
        <x:v>0.00</x:v>
      </x:c>
      <x:c r="J51" s="31">
        <x:v>0.00</x:v>
      </x:c>
      <x:c r="K51" s="33">
        <x:f>SUM(F51:J51)</x:f>
        <x:v>0.00</x:v>
      </x:c>
      <x:c r="L51" s="31"/>
      <x:c r="M51" s="31"/>
      <x:c r="N51" s="31"/>
      <x:c r="O51" s="31"/>
      <x:c r="P51" s="31"/>
      <x:c r="Q51" s="31"/>
      <x:c r="R51" s="19"/>
      <x:c r="S51" s="37"/>
    </x:row>
    <x:row r="52" s="20" customFormat="1">
      <x:c r="A52" s="20">
        <x:v>0</x:v>
      </x:c>
      <x:c r="B52" s="7"/>
      <x:c r="C52" s="8"/>
      <x:c r="D52" s="21"/>
      <x:c r="E52" s="24" t="s">
        <x:v>69</x:v>
      </x:c>
      <x:c r="F52" s="31">
        <x:v>91501256.00</x:v>
      </x:c>
      <x:c r="G52" s="31">
        <x:v>0.00</x:v>
      </x:c>
      <x:c r="H52" s="31">
        <x:v>1876277.00</x:v>
      </x:c>
      <x:c r="I52" s="31">
        <x:v>2414818.00</x:v>
      </x:c>
      <x:c r="J52" s="31">
        <x:v>10625224.00</x:v>
      </x:c>
      <x:c r="K52" s="33">
        <x:f>SUM(F52:J52)</x:f>
        <x:v>106417575.00</x:v>
      </x:c>
      <x:c r="L52" s="31">
        <x:v>58436602.100000001</x:v>
      </x:c>
      <x:c r="M52" s="31"/>
      <x:c r="N52" s="31">
        <x:v>108588.558933241263944592014499194928</x:v>
      </x:c>
      <x:c r="O52" s="31">
        <x:v>1066422.020677288421915371125879363775</x:v>
      </x:c>
      <x:c r="P52" s="31">
        <x:v>24696721.320389469314140036859569697832</x:v>
      </x:c>
      <x:c r="Q52" s="31">
        <x:f>N52+O52+P52</x:f>
        <x:v>25871731.899999999</x:v>
      </x:c>
      <x:c r="R52" s="19">
        <x:f>SUM(L52:P52)</x:f>
        <x:v>84308334.000000000</x:v>
      </x:c>
      <x:c r="S52" s="37">
        <x:f>IF(K52=0,0,R52/K52)</x:f>
        <x:v>0.792240698963493577</x:v>
      </x:c>
    </x:row>
    <x:row r="53" s="23" customFormat="1">
      <x:c r="B53" s="12">
        <x:v>21</x:v>
      </x:c>
      <x:c r="C53" s="8" t="s">
        <x:v>34</x:v>
      </x:c>
      <x:c r="D53" s="14"/>
      <x:c r="E53" s="15" t="s">
        <x:v>70</x:v>
      </x:c>
      <x:c r="F53" s="32">
        <x:f>SUM(F30:F52)</x:f>
        <x:v>5710120358.00</x:v>
      </x:c>
      <x:c r="G53" s="32">
        <x:f>SUM(G30:G52)</x:f>
        <x:v>0.00</x:v>
      </x:c>
      <x:c r="H53" s="32">
        <x:f>SUM(H30:H52)</x:f>
        <x:v>117088776.00</x:v>
      </x:c>
      <x:c r="I53" s="32">
        <x:f>SUM(I30:I52)</x:f>
        <x:v>150696336.00</x:v>
      </x:c>
      <x:c r="J53" s="32">
        <x:f>SUM(J30:J52)</x:f>
        <x:v>663065289.00</x:v>
      </x:c>
      <x:c r="K53" s="32">
        <x:f>SUM(K30:K52)</x:f>
        <x:v>6640970759.00</x:v>
      </x:c>
      <x:c r="L53" s="32">
        <x:f>SUM(L30:L52)</x:f>
        <x:v>2075330453.590000013</x:v>
      </x:c>
      <x:c r="M53" s="32"/>
      <x:c r="N53" s="32">
        <x:f>SUM(N30:N52)</x:f>
        <x:v>3846084.723470396475607771956270813110</x:v>
      </x:c>
      <x:c r="O53" s="32">
        <x:f>SUM(O30:O52)</x:f>
        <x:v>37771469.506478355936544679246599229805</x:v>
      </x:c>
      <x:c r="P53" s="32">
        <x:f>SUM(P30:P52)</x:f>
        <x:v>874730114.510051227787847548795297261734</x:v>
      </x:c>
      <x:c r="Q53" s="32">
        <x:f>SUM(Q30:Q52)</x:f>
        <x:v>916347668.7399999802</x:v>
      </x:c>
      <x:c r="R53" s="16">
        <x:f>SUM(R30:R52)</x:f>
        <x:v>2991678122.3299999932</x:v>
      </x:c>
      <x:c r="S53" s="37">
        <x:f>IF(K53=0,0,R53/K53)</x:f>
        <x:v>0.450488073340122350</x:v>
      </x:c>
    </x:row>
    <x:row r="54" s="20" customFormat="1">
      <x:c r="B54" s="7"/>
      <x:c r="C54" s="8" t="s">
        <x:v>36</x:v>
      </x:c>
      <x:c r="D54" s="21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19"/>
      <x:c r="S54" s="19"/>
    </x:row>
    <x:row r="55" s="20" customFormat="1">
      <x:c r="B55" s="7"/>
      <x:c r="C55" s="8" t="s">
        <x:v>29</x:v>
      </x:c>
      <x:c r="D55" s="21"/>
      <x:c r="E55" s="22" t="s">
        <x:v>71</x:v>
      </x:c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19"/>
      <x:c r="S55" s="19"/>
    </x:row>
    <x:row r="56" s="20" customFormat="1">
      <x:c r="A56" s="20">
        <x:v>169</x:v>
      </x:c>
      <x:c r="B56" s="7"/>
      <x:c r="C56" s="8"/>
      <x:c r="D56" s="21"/>
      <x:c r="E56" s="24" t="s">
        <x:v>72</x:v>
      </x:c>
      <x:c r="F56" s="31">
        <x:v>0.00</x:v>
      </x:c>
      <x:c r="G56" s="31">
        <x:v>0.00</x:v>
      </x:c>
      <x:c r="H56" s="31">
        <x:v>0.00</x:v>
      </x:c>
      <x:c r="I56" s="31">
        <x:v>0.00</x:v>
      </x:c>
      <x:c r="J56" s="31">
        <x:v>0.00</x:v>
      </x:c>
      <x:c r="K56" s="33">
        <x:f>SUM(F56:J56)</x:f>
        <x:v>0.00</x:v>
      </x:c>
      <x:c r="L56" s="31"/>
      <x:c r="M56" s="31"/>
      <x:c r="N56" s="31"/>
      <x:c r="O56" s="31"/>
      <x:c r="P56" s="31"/>
      <x:c r="Q56" s="31"/>
      <x:c r="R56" s="19"/>
      <x:c r="S56" s="37"/>
    </x:row>
    <x:row r="57" s="20" customFormat="1">
      <x:c r="A57" s="20">
        <x:v>171</x:v>
      </x:c>
      <x:c r="B57" s="7"/>
      <x:c r="C57" s="8"/>
      <x:c r="D57" s="21"/>
      <x:c r="E57" s="24" t="s">
        <x:v>73</x:v>
      </x:c>
      <x:c r="F57" s="31">
        <x:v>0.00</x:v>
      </x:c>
      <x:c r="G57" s="31">
        <x:v>0.00</x:v>
      </x:c>
      <x:c r="H57" s="31">
        <x:v>0.00</x:v>
      </x:c>
      <x:c r="I57" s="31">
        <x:v>0.00</x:v>
      </x:c>
      <x:c r="J57" s="31">
        <x:v>0.00</x:v>
      </x:c>
      <x:c r="K57" s="33">
        <x:f>SUM(F57:J57)</x:f>
        <x:v>0.00</x:v>
      </x:c>
      <x:c r="L57" s="31"/>
      <x:c r="M57" s="31"/>
      <x:c r="N57" s="31"/>
      <x:c r="O57" s="31"/>
      <x:c r="P57" s="31"/>
      <x:c r="Q57" s="31"/>
      <x:c r="R57" s="19"/>
      <x:c r="S57" s="37"/>
    </x:row>
    <x:row r="58" s="20" customFormat="1">
      <x:c r="A58" s="20">
        <x:v>175</x:v>
      </x:c>
      <x:c r="B58" s="7"/>
      <x:c r="C58" s="8"/>
      <x:c r="D58" s="21"/>
      <x:c r="E58" s="24" t="s">
        <x:v>74</x:v>
      </x:c>
      <x:c r="F58" s="31">
        <x:v>0.00</x:v>
      </x:c>
      <x:c r="G58" s="31">
        <x:v>0.00</x:v>
      </x:c>
      <x:c r="H58" s="31">
        <x:v>0.00</x:v>
      </x:c>
      <x:c r="I58" s="31">
        <x:v>0.00</x:v>
      </x:c>
      <x:c r="J58" s="31">
        <x:v>0.00</x:v>
      </x:c>
      <x:c r="K58" s="33">
        <x:f>SUM(F58:J58)</x:f>
        <x:v>0.00</x:v>
      </x:c>
      <x:c r="L58" s="31"/>
      <x:c r="M58" s="31"/>
      <x:c r="N58" s="31"/>
      <x:c r="O58" s="31"/>
      <x:c r="P58" s="31"/>
      <x:c r="Q58" s="31"/>
      <x:c r="R58" s="19"/>
      <x:c r="S58" s="37"/>
    </x:row>
    <x:row r="59" s="20" customFormat="1">
      <x:c r="A59" s="20">
        <x:v>176</x:v>
      </x:c>
      <x:c r="B59" s="7"/>
      <x:c r="C59" s="8"/>
      <x:c r="D59" s="21"/>
      <x:c r="E59" s="24" t="s">
        <x:v>75</x:v>
      </x:c>
      <x:c r="F59" s="31">
        <x:v>0.00</x:v>
      </x:c>
      <x:c r="G59" s="31">
        <x:v>0.00</x:v>
      </x:c>
      <x:c r="H59" s="31">
        <x:v>0.00</x:v>
      </x:c>
      <x:c r="I59" s="31">
        <x:v>0.00</x:v>
      </x:c>
      <x:c r="J59" s="31">
        <x:v>0.00</x:v>
      </x:c>
      <x:c r="K59" s="33">
        <x:f>SUM(F59:J59)</x:f>
        <x:v>0.00</x:v>
      </x:c>
      <x:c r="L59" s="31"/>
      <x:c r="M59" s="31"/>
      <x:c r="N59" s="31"/>
      <x:c r="O59" s="31"/>
      <x:c r="P59" s="31"/>
      <x:c r="Q59" s="31"/>
      <x:c r="R59" s="19"/>
      <x:c r="S59" s="37"/>
    </x:row>
    <x:row r="60" s="20" customFormat="1">
      <x:c r="A60" s="20">
        <x:v>177</x:v>
      </x:c>
      <x:c r="B60" s="7"/>
      <x:c r="C60" s="8"/>
      <x:c r="D60" s="21"/>
      <x:c r="E60" s="24" t="s">
        <x:v>76</x:v>
      </x:c>
      <x:c r="F60" s="31">
        <x:v>0.00</x:v>
      </x:c>
      <x:c r="G60" s="31">
        <x:v>0.00</x:v>
      </x:c>
      <x:c r="H60" s="31">
        <x:v>0.00</x:v>
      </x:c>
      <x:c r="I60" s="31">
        <x:v>0.00</x:v>
      </x:c>
      <x:c r="J60" s="31">
        <x:v>0.00</x:v>
      </x:c>
      <x:c r="K60" s="33">
        <x:f>SUM(F60:J60)</x:f>
        <x:v>0.00</x:v>
      </x:c>
      <x:c r="L60" s="31"/>
      <x:c r="M60" s="31"/>
      <x:c r="N60" s="31"/>
      <x:c r="O60" s="31"/>
      <x:c r="P60" s="31"/>
      <x:c r="Q60" s="31"/>
      <x:c r="R60" s="19"/>
      <x:c r="S60" s="37"/>
    </x:row>
    <x:row r="61" s="20" customFormat="1">
      <x:c r="A61" s="20">
        <x:v>179</x:v>
      </x:c>
      <x:c r="B61" s="7"/>
      <x:c r="C61" s="8"/>
      <x:c r="D61" s="21"/>
      <x:c r="E61" s="24" t="s">
        <x:v>77</x:v>
      </x:c>
      <x:c r="F61" s="31">
        <x:v>107469017.00</x:v>
      </x:c>
      <x:c r="G61" s="31">
        <x:v>0.00</x:v>
      </x:c>
      <x:c r="H61" s="31">
        <x:v>2203704.00</x:v>
      </x:c>
      <x:c r="I61" s="31">
        <x:v>2836225.00</x:v>
      </x:c>
      <x:c r="J61" s="31">
        <x:v>12479417.00</x:v>
      </x:c>
      <x:c r="K61" s="33">
        <x:f>SUM(F61:J61)</x:f>
        <x:v>124988363.00</x:v>
      </x:c>
      <x:c r="L61" s="31">
        <x:v>60100254.039999999</x:v>
      </x:c>
      <x:c r="M61" s="31"/>
      <x:c r="N61" s="31">
        <x:v>109931.449934133411289144426125306959</x:v>
      </x:c>
      <x:c r="O61" s="31">
        <x:v>1079610.228982006584879226590303930449</x:v>
      </x:c>
      <x:c r="P61" s="31">
        <x:v>25002140.281083861003831628983518379226</x:v>
      </x:c>
      <x:c r="Q61" s="31">
        <x:f>N61+O61+P61</x:f>
        <x:v>26191681.960000001</x:v>
      </x:c>
      <x:c r="R61" s="19">
        <x:f>SUM(L61:P61)</x:f>
        <x:v>86291936.000000000</x:v>
      </x:c>
      <x:c r="S61" s="37">
        <x:f>IF(K61=0,0,R61/K61)</x:f>
        <x:v>0.690399761456192525</x:v>
      </x:c>
    </x:row>
    <x:row r="62" s="20" customFormat="1">
      <x:c r="A62" s="20">
        <x:v>180</x:v>
      </x:c>
      <x:c r="B62" s="7"/>
      <x:c r="C62" s="8"/>
      <x:c r="D62" s="21"/>
      <x:c r="E62" s="24" t="s">
        <x:v>78</x:v>
      </x:c>
      <x:c r="F62" s="31">
        <x:v>8352161.00</x:v>
      </x:c>
      <x:c r="G62" s="31">
        <x:v>0.00</x:v>
      </x:c>
      <x:c r="H62" s="31">
        <x:v>171265.00</x:v>
      </x:c>
      <x:c r="I62" s="31">
        <x:v>220423.00</x:v>
      </x:c>
      <x:c r="J62" s="31">
        <x:v>969862.00</x:v>
      </x:c>
      <x:c r="K62" s="33">
        <x:f>SUM(F62:J62)</x:f>
        <x:v>9713711.00</x:v>
      </x:c>
      <x:c r="L62" s="31">
        <x:v>6133513.5499999998</x:v>
      </x:c>
      <x:c r="M62" s="31"/>
      <x:c r="N62" s="31">
        <x:v>11519.129440936542597518791368883449</x:v>
      </x:c>
      <x:c r="O62" s="31">
        <x:v>113126.589168560378047795411418032523</x:v>
      </x:c>
      <x:c r="P62" s="31">
        <x:v>2619840.731390503079354685797207595054</x:v>
      </x:c>
      <x:c r="Q62" s="31">
        <x:f>N62+O62+P62</x:f>
        <x:v>2744486.45</x:v>
      </x:c>
      <x:c r="R62" s="19">
        <x:f>SUM(L62:P62)</x:f>
        <x:v>8877999.9999999998</x:v>
      </x:c>
      <x:c r="S62" s="37">
        <x:f>IF(K62=0,0,R62/K62)</x:f>
        <x:v>0.913965836537652787</x:v>
      </x:c>
    </x:row>
    <x:row r="63" s="20" customFormat="1">
      <x:c r="A63" s="20">
        <x:v>181</x:v>
      </x:c>
      <x:c r="B63" s="7"/>
      <x:c r="C63" s="8"/>
      <x:c r="D63" s="21"/>
      <x:c r="E63" s="24" t="s">
        <x:v>79</x:v>
      </x:c>
      <x:c r="F63" s="31">
        <x:v>621272226.00</x:v>
      </x:c>
      <x:c r="G63" s="31">
        <x:v>0.00</x:v>
      </x:c>
      <x:c r="H63" s="31">
        <x:v>12739487.00</x:v>
      </x:c>
      <x:c r="I63" s="31">
        <x:v>16396055.00</x:v>
      </x:c>
      <x:c r="J63" s="31">
        <x:v>72142796.00</x:v>
      </x:c>
      <x:c r="K63" s="33">
        <x:f>SUM(F63:J63)</x:f>
        <x:v>722550564.00</x:v>
      </x:c>
      <x:c r="L63" s="31">
        <x:v>299763074.85000002</x:v>
      </x:c>
      <x:c r="M63" s="31"/>
      <x:c r="N63" s="31">
        <x:v>566099.577391986314241469871616563223</x:v>
      </x:c>
      <x:c r="O63" s="31">
        <x:v>5559527.275779284265675821555480264131</x:v>
      </x:c>
      <x:c r="P63" s="31">
        <x:v>128750244.406828719420082708572633420902</x:v>
      </x:c>
      <x:c r="Q63" s="31">
        <x:f>N63+O63+P63</x:f>
        <x:v>134875871.25999999</x:v>
      </x:c>
      <x:c r="R63" s="19">
        <x:f>SUM(L63:P63)</x:f>
        <x:v>434638946.11000001</x:v>
      </x:c>
      <x:c r="S63" s="37">
        <x:f>IF(K63=0,0,R63/K63)</x:f>
        <x:v>0.601534297757464638</x:v>
      </x:c>
    </x:row>
    <x:row r="64" s="20" customFormat="1">
      <x:c r="A64" s="20">
        <x:v>134</x:v>
      </x:c>
      <x:c r="B64" s="7"/>
      <x:c r="C64" s="8"/>
      <x:c r="D64" s="21"/>
      <x:c r="E64" s="24" t="s">
        <x:v>80</x:v>
      </x:c>
      <x:c r="F64" s="31">
        <x:v>0.00</x:v>
      </x:c>
      <x:c r="G64" s="31">
        <x:v>0.00</x:v>
      </x:c>
      <x:c r="H64" s="31">
        <x:v>0.00</x:v>
      </x:c>
      <x:c r="I64" s="31">
        <x:v>0.00</x:v>
      </x:c>
      <x:c r="J64" s="31">
        <x:v>0.00</x:v>
      </x:c>
      <x:c r="K64" s="33">
        <x:f>SUM(F64:J64)</x:f>
        <x:v>0.00</x:v>
      </x:c>
      <x:c r="L64" s="31"/>
      <x:c r="M64" s="31"/>
      <x:c r="N64" s="31"/>
      <x:c r="O64" s="31"/>
      <x:c r="P64" s="31"/>
      <x:c r="Q64" s="31"/>
      <x:c r="R64" s="19"/>
      <x:c r="S64" s="37"/>
    </x:row>
    <x:row r="65" s="20" customFormat="1">
      <x:c r="A65" s="20">
        <x:v>132</x:v>
      </x:c>
      <x:c r="B65" s="7"/>
      <x:c r="C65" s="8"/>
      <x:c r="D65" s="21"/>
      <x:c r="E65" s="24" t="s">
        <x:v>81</x:v>
      </x:c>
      <x:c r="F65" s="31">
        <x:v>0.00</x:v>
      </x:c>
      <x:c r="G65" s="31">
        <x:v>0.00</x:v>
      </x:c>
      <x:c r="H65" s="31">
        <x:v>0.00</x:v>
      </x:c>
      <x:c r="I65" s="31">
        <x:v>0.00</x:v>
      </x:c>
      <x:c r="J65" s="31">
        <x:v>0.00</x:v>
      </x:c>
      <x:c r="K65" s="33">
        <x:f>SUM(F65:J65)</x:f>
        <x:v>0.00</x:v>
      </x:c>
      <x:c r="L65" s="31"/>
      <x:c r="M65" s="31"/>
      <x:c r="N65" s="31"/>
      <x:c r="O65" s="31"/>
      <x:c r="P65" s="31"/>
      <x:c r="Q65" s="31"/>
      <x:c r="R65" s="19"/>
      <x:c r="S65" s="37"/>
    </x:row>
    <x:row r="66" s="20" customFormat="1">
      <x:c r="A66" s="20">
        <x:v>133</x:v>
      </x:c>
      <x:c r="B66" s="7"/>
      <x:c r="C66" s="8"/>
      <x:c r="D66" s="21"/>
      <x:c r="E66" s="24" t="s">
        <x:v>82</x:v>
      </x:c>
      <x:c r="F66" s="31">
        <x:v>0.00</x:v>
      </x:c>
      <x:c r="G66" s="31">
        <x:v>0.00</x:v>
      </x:c>
      <x:c r="H66" s="31">
        <x:v>0.00</x:v>
      </x:c>
      <x:c r="I66" s="31">
        <x:v>0.00</x:v>
      </x:c>
      <x:c r="J66" s="31">
        <x:v>0.00</x:v>
      </x:c>
      <x:c r="K66" s="33">
        <x:f>SUM(F66:J66)</x:f>
        <x:v>0.00</x:v>
      </x:c>
      <x:c r="L66" s="31"/>
      <x:c r="M66" s="31"/>
      <x:c r="N66" s="31"/>
      <x:c r="O66" s="31"/>
      <x:c r="P66" s="31"/>
      <x:c r="Q66" s="31"/>
      <x:c r="R66" s="19"/>
      <x:c r="S66" s="37"/>
    </x:row>
    <x:row r="67" s="20" customFormat="1">
      <x:c r="A67" s="20">
        <x:v>182</x:v>
      </x:c>
      <x:c r="B67" s="7"/>
      <x:c r="C67" s="8"/>
      <x:c r="D67" s="21"/>
      <x:c r="E67" s="24" t="s">
        <x:v>83</x:v>
      </x:c>
      <x:c r="F67" s="31">
        <x:v>0.00</x:v>
      </x:c>
      <x:c r="G67" s="31">
        <x:v>0.00</x:v>
      </x:c>
      <x:c r="H67" s="31">
        <x:v>0.00</x:v>
      </x:c>
      <x:c r="I67" s="31">
        <x:v>0.00</x:v>
      </x:c>
      <x:c r="J67" s="31">
        <x:v>0.00</x:v>
      </x:c>
      <x:c r="K67" s="33">
        <x:f>SUM(F67:J67)</x:f>
        <x:v>0.00</x:v>
      </x:c>
      <x:c r="L67" s="31"/>
      <x:c r="M67" s="31"/>
      <x:c r="N67" s="31"/>
      <x:c r="O67" s="31"/>
      <x:c r="P67" s="31"/>
      <x:c r="Q67" s="31"/>
      <x:c r="R67" s="19"/>
      <x:c r="S67" s="37"/>
    </x:row>
    <x:row r="68" s="20" customFormat="1">
      <x:c r="A68" s="20">
        <x:v>137</x:v>
      </x:c>
      <x:c r="B68" s="7"/>
      <x:c r="C68" s="8"/>
      <x:c r="D68" s="21"/>
      <x:c r="E68" s="24" t="s">
        <x:v>84</x:v>
      </x:c>
      <x:c r="F68" s="31">
        <x:v>0.00</x:v>
      </x:c>
      <x:c r="G68" s="31">
        <x:v>0.00</x:v>
      </x:c>
      <x:c r="H68" s="31">
        <x:v>0.00</x:v>
      </x:c>
      <x:c r="I68" s="31">
        <x:v>0.00</x:v>
      </x:c>
      <x:c r="J68" s="31">
        <x:v>0.00</x:v>
      </x:c>
      <x:c r="K68" s="33">
        <x:f>SUM(F68:J68)</x:f>
        <x:v>0.00</x:v>
      </x:c>
      <x:c r="L68" s="31"/>
      <x:c r="M68" s="31"/>
      <x:c r="N68" s="31"/>
      <x:c r="O68" s="31"/>
      <x:c r="P68" s="31"/>
      <x:c r="Q68" s="31"/>
      <x:c r="R68" s="19"/>
      <x:c r="S68" s="37"/>
    </x:row>
    <x:row r="69" s="20" customFormat="1">
      <x:c r="A69" s="20">
        <x:v>129</x:v>
      </x:c>
      <x:c r="B69" s="7"/>
      <x:c r="C69" s="8"/>
      <x:c r="D69" s="21"/>
      <x:c r="E69" s="24" t="s">
        <x:v>85</x:v>
      </x:c>
      <x:c r="F69" s="31">
        <x:v>0.00</x:v>
      </x:c>
      <x:c r="G69" s="31">
        <x:v>0.00</x:v>
      </x:c>
      <x:c r="H69" s="31">
        <x:v>0.00</x:v>
      </x:c>
      <x:c r="I69" s="31">
        <x:v>0.00</x:v>
      </x:c>
      <x:c r="J69" s="31">
        <x:v>0.00</x:v>
      </x:c>
      <x:c r="K69" s="33">
        <x:f>SUM(F69:J69)</x:f>
        <x:v>0.00</x:v>
      </x:c>
      <x:c r="L69" s="31"/>
      <x:c r="M69" s="31"/>
      <x:c r="N69" s="31"/>
      <x:c r="O69" s="31"/>
      <x:c r="P69" s="31"/>
      <x:c r="Q69" s="31"/>
      <x:c r="R69" s="19"/>
      <x:c r="S69" s="37"/>
    </x:row>
    <x:row r="70" s="20" customFormat="1">
      <x:c r="A70" s="20">
        <x:v>5</x:v>
      </x:c>
      <x:c r="B70" s="7"/>
      <x:c r="C70" s="8"/>
      <x:c r="D70" s="21"/>
      <x:c r="E70" s="24" t="s">
        <x:v>86</x:v>
      </x:c>
      <x:c r="F70" s="31">
        <x:v>0.00</x:v>
      </x:c>
      <x:c r="G70" s="31">
        <x:v>0.00</x:v>
      </x:c>
      <x:c r="H70" s="31">
        <x:v>0.00</x:v>
      </x:c>
      <x:c r="I70" s="31">
        <x:v>0.00</x:v>
      </x:c>
      <x:c r="J70" s="31">
        <x:v>0.00</x:v>
      </x:c>
      <x:c r="K70" s="33">
        <x:f>SUM(F70:J70)</x:f>
        <x:v>0.00</x:v>
      </x:c>
      <x:c r="L70" s="31"/>
      <x:c r="M70" s="31"/>
      <x:c r="N70" s="31"/>
      <x:c r="O70" s="31"/>
      <x:c r="P70" s="31"/>
      <x:c r="Q70" s="31"/>
      <x:c r="R70" s="19"/>
      <x:c r="S70" s="37"/>
    </x:row>
    <x:row r="71" s="20" customFormat="1">
      <x:c r="A71" s="20">
        <x:v>183</x:v>
      </x:c>
      <x:c r="B71" s="7"/>
      <x:c r="C71" s="8"/>
      <x:c r="D71" s="21"/>
      <x:c r="E71" s="24" t="s">
        <x:v>87</x:v>
      </x:c>
      <x:c r="F71" s="31">
        <x:v>88305142.00</x:v>
      </x:c>
      <x:c r="G71" s="31">
        <x:v>0.00</x:v>
      </x:c>
      <x:c r="H71" s="31">
        <x:v>1810740.00</x:v>
      </x:c>
      <x:c r="I71" s="31">
        <x:v>2330470.00</x:v>
      </x:c>
      <x:c r="J71" s="31">
        <x:v>10254088.00</x:v>
      </x:c>
      <x:c r="K71" s="33">
        <x:f>SUM(F71:J71)</x:f>
        <x:v>102700440.00</x:v>
      </x:c>
      <x:c r="L71" s="31">
        <x:v>15641546.27</x:v>
      </x:c>
      <x:c r="M71" s="31"/>
      <x:c r="N71" s="31">
        <x:v>30672.538982315461373141753900490285</x:v>
      </x:c>
      <x:c r="O71" s="31">
        <x:v>301227.600054378914475531693276453854</x:v>
      </x:c>
      <x:c r="P71" s="31">
        <x:v>6975975.690963305724151326552808440109</x:v>
      </x:c>
      <x:c r="Q71" s="31">
        <x:f>N71+O71+P71</x:f>
        <x:v>7307875.8300000001</x:v>
      </x:c>
      <x:c r="R71" s="19">
        <x:f>SUM(L71:P71)</x:f>
        <x:v>22949422.1000000001</x:v>
      </x:c>
      <x:c r="S71" s="37">
        <x:f>IF(K71=0,0,R71/K71)</x:f>
        <x:v>0.223459822567459302</x:v>
      </x:c>
    </x:row>
    <x:row r="72" s="20" customFormat="1">
      <x:c r="A72" s="20">
        <x:v>184</x:v>
      </x:c>
      <x:c r="B72" s="7"/>
      <x:c r="C72" s="8"/>
      <x:c r="D72" s="21"/>
      <x:c r="E72" s="24" t="s">
        <x:v>88</x:v>
      </x:c>
      <x:c r="F72" s="31">
        <x:v>8323041.00</x:v>
      </x:c>
      <x:c r="G72" s="31">
        <x:v>0.00</x:v>
      </x:c>
      <x:c r="H72" s="31">
        <x:v>170668.00</x:v>
      </x:c>
      <x:c r="I72" s="31">
        <x:v>219654.00</x:v>
      </x:c>
      <x:c r="J72" s="31">
        <x:v>966480.00</x:v>
      </x:c>
      <x:c r="K72" s="33">
        <x:f>SUM(F72:J72)</x:f>
        <x:v>9679843.00</x:v>
      </x:c>
      <x:c r="L72" s="31">
        <x:v>10771451.01</x:v>
      </x:c>
      <x:c r="M72" s="31"/>
      <x:c r="N72" s="31">
        <x:v>23996.876333012023641855210975172071</x:v>
      </x:c>
      <x:c r="O72" s="31">
        <x:v>235667.528885124516631547592090467513</x:v>
      </x:c>
      <x:c r="P72" s="31">
        <x:v>5457703.584781863659726597196922925678</x:v>
      </x:c>
      <x:c r="Q72" s="31">
        <x:f>N72+O72+P72</x:f>
        <x:v>5717367.9900000002</x:v>
      </x:c>
      <x:c r="R72" s="19">
        <x:f>SUM(L72:P72)</x:f>
        <x:v>16488819.0000000002</x:v>
      </x:c>
      <x:c r="S72" s="37">
        <x:f>IF(K72=0,0,R72/K72)</x:f>
        <x:v>1.703418020312932782</x:v>
      </x:c>
    </x:row>
    <x:row r="73" s="20" customFormat="1">
      <x:c r="A73" s="20">
        <x:v>185</x:v>
      </x:c>
      <x:c r="B73" s="7"/>
      <x:c r="C73" s="8"/>
      <x:c r="D73" s="21"/>
      <x:c r="E73" s="24" t="s">
        <x:v>89</x:v>
      </x:c>
      <x:c r="F73" s="31">
        <x:v>46865884.00</x:v>
      </x:c>
      <x:c r="G73" s="31">
        <x:v>0.00</x:v>
      </x:c>
      <x:c r="H73" s="31">
        <x:v>961008.00</x:v>
      </x:c>
      <x:c r="I73" s="31">
        <x:v>1236842.00</x:v>
      </x:c>
      <x:c r="J73" s="31">
        <x:v>5442117.00</x:v>
      </x:c>
      <x:c r="K73" s="33">
        <x:f>SUM(F73:J73)</x:f>
        <x:v>54505851.00</x:v>
      </x:c>
      <x:c r="L73" s="31">
        <x:v>29259120.00</x:v>
      </x:c>
      <x:c r="M73" s="31"/>
      <x:c r="N73" s="31">
        <x:v>53685.745973891182439523852684506400</x:v>
      </x:c>
      <x:c r="O73" s="31">
        <x:v>527234.749825183348368867105173240640</x:v>
      </x:c>
      <x:c r="P73" s="31">
        <x:v>12209959.504200925469191609042116671200</x:v>
      </x:c>
      <x:c r="Q73" s="31">
        <x:f>N73+O73+P73</x:f>
        <x:v>12790880.00</x:v>
      </x:c>
      <x:c r="R73" s="19">
        <x:f>SUM(L73:P73)</x:f>
        <x:v>42050000.00</x:v>
      </x:c>
      <x:c r="S73" s="37">
        <x:f>IF(K73=0,0,R73/K73)</x:f>
        <x:v>0.771476808975975808</x:v>
      </x:c>
    </x:row>
    <x:row r="74" s="20" customFormat="1">
      <x:c r="A74" s="20">
        <x:v>186</x:v>
      </x:c>
      <x:c r="B74" s="7"/>
      <x:c r="C74" s="8"/>
      <x:c r="D74" s="21"/>
      <x:c r="E74" s="24" t="s">
        <x:v>90</x:v>
      </x:c>
      <x:c r="F74" s="31">
        <x:v>0.00</x:v>
      </x:c>
      <x:c r="G74" s="31">
        <x:v>0.00</x:v>
      </x:c>
      <x:c r="H74" s="31">
        <x:v>0.00</x:v>
      </x:c>
      <x:c r="I74" s="31">
        <x:v>0.00</x:v>
      </x:c>
      <x:c r="J74" s="31">
        <x:v>0.00</x:v>
      </x:c>
      <x:c r="K74" s="33">
        <x:f>SUM(F74:J74)</x:f>
        <x:v>0.00</x:v>
      </x:c>
      <x:c r="L74" s="31"/>
      <x:c r="M74" s="31"/>
      <x:c r="N74" s="31"/>
      <x:c r="O74" s="31"/>
      <x:c r="P74" s="31"/>
      <x:c r="Q74" s="31"/>
      <x:c r="R74" s="19"/>
      <x:c r="S74" s="37"/>
    </x:row>
    <x:row r="75" s="20" customFormat="1">
      <x:c r="A75" s="20">
        <x:v>187</x:v>
      </x:c>
      <x:c r="B75" s="7"/>
      <x:c r="C75" s="8"/>
      <x:c r="D75" s="21"/>
      <x:c r="E75" s="24" t="s">
        <x:v>91</x:v>
      </x:c>
      <x:c r="F75" s="31">
        <x:v>0.00</x:v>
      </x:c>
      <x:c r="G75" s="31">
        <x:v>0.00</x:v>
      </x:c>
      <x:c r="H75" s="31">
        <x:v>0.00</x:v>
      </x:c>
      <x:c r="I75" s="31">
        <x:v>0.00</x:v>
      </x:c>
      <x:c r="J75" s="31">
        <x:v>0.00</x:v>
      </x:c>
      <x:c r="K75" s="33">
        <x:f>SUM(F75:J75)</x:f>
        <x:v>0.00</x:v>
      </x:c>
      <x:c r="L75" s="31"/>
      <x:c r="M75" s="31"/>
      <x:c r="N75" s="31"/>
      <x:c r="O75" s="31"/>
      <x:c r="P75" s="31"/>
      <x:c r="Q75" s="31"/>
      <x:c r="R75" s="19"/>
      <x:c r="S75" s="37"/>
    </x:row>
    <x:row r="76" s="20" customFormat="1">
      <x:c r="A76" s="20">
        <x:v>188</x:v>
      </x:c>
      <x:c r="B76" s="7"/>
      <x:c r="C76" s="8"/>
      <x:c r="D76" s="21"/>
      <x:c r="E76" s="24" t="s">
        <x:v>92</x:v>
      </x:c>
      <x:c r="F76" s="31">
        <x:v>0.00</x:v>
      </x:c>
      <x:c r="G76" s="31">
        <x:v>0.00</x:v>
      </x:c>
      <x:c r="H76" s="31">
        <x:v>0.00</x:v>
      </x:c>
      <x:c r="I76" s="31">
        <x:v>0.00</x:v>
      </x:c>
      <x:c r="J76" s="31">
        <x:v>0.00</x:v>
      </x:c>
      <x:c r="K76" s="33">
        <x:f>SUM(F76:J76)</x:f>
        <x:v>0.00</x:v>
      </x:c>
      <x:c r="L76" s="31"/>
      <x:c r="M76" s="31"/>
      <x:c r="N76" s="31"/>
      <x:c r="O76" s="31"/>
      <x:c r="P76" s="31"/>
      <x:c r="Q76" s="31"/>
      <x:c r="R76" s="19"/>
      <x:c r="S76" s="37"/>
    </x:row>
    <x:row r="77" s="20" customFormat="1">
      <x:c r="A77" s="20">
        <x:v>189</x:v>
      </x:c>
      <x:c r="B77" s="7"/>
      <x:c r="C77" s="8"/>
      <x:c r="D77" s="21"/>
      <x:c r="E77" s="24" t="s">
        <x:v>93</x:v>
      </x:c>
      <x:c r="F77" s="31">
        <x:v>118293537.00</x:v>
      </x:c>
      <x:c r="G77" s="31">
        <x:v>0.00</x:v>
      </x:c>
      <x:c r="H77" s="31">
        <x:v>2425666.00</x:v>
      </x:c>
      <x:c r="I77" s="31">
        <x:v>3121896.00</x:v>
      </x:c>
      <x:c r="J77" s="31">
        <x:v>13736372.00</x:v>
      </x:c>
      <x:c r="K77" s="33">
        <x:f>SUM(F77:J77)</x:f>
        <x:v>137577471.00</x:v>
      </x:c>
      <x:c r="L77" s="31">
        <x:v>50709462.020000003</x:v>
      </x:c>
      <x:c r="M77" s="31"/>
      <x:c r="N77" s="31">
        <x:v>95002.832232766374765717374857046371</x:v>
      </x:c>
      <x:c r="O77" s="31">
        <x:v>932999.878762716047573688242712788830</x:v>
      </x:c>
      <x:c r="P77" s="31">
        <x:v>21606866.279004515577660594382384895059</x:v>
      </x:c>
      <x:c r="Q77" s="31">
        <x:f>N77+O77+P77</x:f>
        <x:v>22634868.989999998</x:v>
      </x:c>
      <x:c r="R77" s="19">
        <x:f>SUM(L77:P77)</x:f>
        <x:v>73344331.010000001</x:v>
      </x:c>
      <x:c r="S77" s="37">
        <x:f>IF(K77=0,0,R77/K77)</x:f>
        <x:v>0.533112947031858152</x:v>
      </x:c>
    </x:row>
    <x:row r="78" s="20" customFormat="1">
      <x:c r="A78" s="20">
        <x:v>190</x:v>
      </x:c>
      <x:c r="B78" s="7"/>
      <x:c r="C78" s="8"/>
      <x:c r="D78" s="21"/>
      <x:c r="E78" s="24" t="s">
        <x:v>94</x:v>
      </x:c>
      <x:c r="F78" s="31">
        <x:v>35066687.00</x:v>
      </x:c>
      <x:c r="G78" s="31">
        <x:v>0.00</x:v>
      </x:c>
      <x:c r="H78" s="31">
        <x:v>719059.00</x:v>
      </x:c>
      <x:c r="I78" s="31">
        <x:v>925448.00</x:v>
      </x:c>
      <x:c r="J78" s="31">
        <x:v>4071981.00</x:v>
      </x:c>
      <x:c r="K78" s="33">
        <x:f>SUM(F78:J78)</x:f>
        <x:v>40783175.00</x:v>
      </x:c>
      <x:c r="L78" s="31">
        <x:v>13548185.439999999</x:v>
      </x:c>
      <x:c r="M78" s="31"/>
      <x:c r="N78" s="31">
        <x:v>29615.177739790898321506094118669273</x:v>
      </x:c>
      <x:c r="O78" s="31">
        <x:v>290843.510570954407060470807639881106</x:v>
      </x:c>
      <x:c r="P78" s="31">
        <x:v>6735495.881689254994618023098227337711</x:v>
      </x:c>
      <x:c r="Q78" s="31">
        <x:f>N78+O78+P78</x:f>
        <x:v>7055954.5700000003</x:v>
      </x:c>
      <x:c r="R78" s="19">
        <x:f>SUM(L78:P78)</x:f>
        <x:v>20604140.0099999993</x:v>
      </x:c>
      <x:c r="S78" s="37">
        <x:f>IF(K78=0,0,R78/K78)</x:f>
        <x:v>0.505211769559383233</x:v>
      </x:c>
    </x:row>
    <x:row r="79" s="20" customFormat="1">
      <x:c r="A79" s="20">
        <x:v>192</x:v>
      </x:c>
      <x:c r="B79" s="7"/>
      <x:c r="C79" s="8"/>
      <x:c r="D79" s="21"/>
      <x:c r="E79" s="24" t="s">
        <x:v>95</x:v>
      </x:c>
      <x:c r="F79" s="31">
        <x:v>4205571.00</x:v>
      </x:c>
      <x:c r="G79" s="31">
        <x:v>0.00</x:v>
      </x:c>
      <x:c r="H79" s="31">
        <x:v>86237.00</x:v>
      </x:c>
      <x:c r="I79" s="31">
        <x:v>110990.00</x:v>
      </x:c>
      <x:c r="J79" s="31">
        <x:v>488355.00</x:v>
      </x:c>
      <x:c r="K79" s="33">
        <x:f>SUM(F79:J79)</x:f>
        <x:v>4891153.00</x:v>
      </x:c>
      <x:c r="L79" s="31">
        <x:v>2650348.14</x:v>
      </x:c>
      <x:c r="M79" s="31"/>
      <x:c r="N79" s="31">
        <x:v>4884.906901752503146446819769109174</x:v>
      </x:c>
      <x:c r="O79" s="31">
        <x:v>47973.491315875979868142487645393605</x:v>
      </x:c>
      <x:c r="P79" s="31">
        <x:v>1110993.511782371416985410692583169516</x:v>
      </x:c>
      <x:c r="Q79" s="31">
        <x:f>N79+O79+P79</x:f>
        <x:v>1163851.9099999999</x:v>
      </x:c>
      <x:c r="R79" s="19">
        <x:f>SUM(L79:P79)</x:f>
        <x:v>3814200.0499999999</x:v>
      </x:c>
      <x:c r="S79" s="37">
        <x:f>IF(K79=0,0,R79/K79)</x:f>
        <x:v>0.779816139466502049</x:v>
      </x:c>
    </x:row>
    <x:row r="80" s="20" customFormat="1">
      <x:c r="A80" s="20">
        <x:v>193</x:v>
      </x:c>
      <x:c r="B80" s="7"/>
      <x:c r="C80" s="8"/>
      <x:c r="D80" s="21"/>
      <x:c r="E80" s="24" t="s">
        <x:v>96</x:v>
      </x:c>
      <x:c r="F80" s="31">
        <x:v>29140536.00</x:v>
      </x:c>
      <x:c r="G80" s="31">
        <x:v>0.00</x:v>
      </x:c>
      <x:c r="H80" s="31">
        <x:v>597541.00</x:v>
      </x:c>
      <x:c r="I80" s="31">
        <x:v>769051.00</x:v>
      </x:c>
      <x:c r="J80" s="31">
        <x:v>3383830.00</x:v>
      </x:c>
      <x:c r="K80" s="33">
        <x:f>SUM(F80:J80)</x:f>
        <x:v>33890958.00</x:v>
      </x:c>
      <x:c r="L80" s="31">
        <x:v>17484619.77</x:v>
      </x:c>
      <x:c r="M80" s="31"/>
      <x:c r="N80" s="31">
        <x:v>33171.056159778956489845518268108997</x:v>
      </x:c>
      <x:c r="O80" s="31">
        <x:v>325764.934035628422516481855585121341</x:v>
      </x:c>
      <x:c r="P80" s="31">
        <x:v>7544223.239804593020993672626130963343</x:v>
      </x:c>
      <x:c r="Q80" s="31">
        <x:f>N80+O80+P80</x:f>
        <x:v>7903159.2300000004</x:v>
      </x:c>
      <x:c r="R80" s="19">
        <x:f>SUM(L80:P80)</x:f>
        <x:v>25387779.0000000004</x:v>
      </x:c>
      <x:c r="S80" s="37">
        <x:f>IF(K80=0,0,R80/K80)</x:f>
        <x:v>0.749101840083717916</x:v>
      </x:c>
    </x:row>
    <x:row r="81" s="20" customFormat="1">
      <x:c r="A81" s="20">
        <x:v>204</x:v>
      </x:c>
      <x:c r="B81" s="7"/>
      <x:c r="C81" s="8"/>
      <x:c r="D81" s="21"/>
      <x:c r="E81" s="24" t="s">
        <x:v>97</x:v>
      </x:c>
      <x:c r="F81" s="31">
        <x:v>159167930.00</x:v>
      </x:c>
      <x:c r="G81" s="31">
        <x:v>0.00</x:v>
      </x:c>
      <x:c r="H81" s="31">
        <x:v>3263815.00</x:v>
      </x:c>
      <x:c r="I81" s="31">
        <x:v>4200616.00</x:v>
      </x:c>
      <x:c r="J81" s="31">
        <x:v>18482750.00</x:v>
      </x:c>
      <x:c r="K81" s="33">
        <x:f>SUM(F81:J81)</x:f>
        <x:v>185115111.00</x:v>
      </x:c>
      <x:c r="L81" s="31">
        <x:v>57355950.890000001</x:v>
      </x:c>
      <x:c r="M81" s="31"/>
      <x:c r="N81" s="31">
        <x:v>102886.363223292256631128999768320725</x:v>
      </x:c>
      <x:c r="O81" s="31">
        <x:v>1010422.133294680579122558553957131425</x:v>
      </x:c>
      <x:c r="P81" s="31">
        <x:v>23399848.613482026164246312446225521534</x:v>
      </x:c>
      <x:c r="Q81" s="31">
        <x:f>N81+O81+P81</x:f>
        <x:v>24513157.109999999</x:v>
      </x:c>
      <x:c r="R81" s="19">
        <x:f>SUM(L81:P81)</x:f>
        <x:v>81869108.000000000</x:v>
      </x:c>
      <x:c r="S81" s="37">
        <x:f>IF(K81=0,0,R81/K81)</x:f>
        <x:v>0.442260534851744220</x:v>
      </x:c>
    </x:row>
    <x:row r="82" s="20" customFormat="1">
      <x:c r="A82" s="20">
        <x:v>194</x:v>
      </x:c>
      <x:c r="B82" s="7"/>
      <x:c r="C82" s="8"/>
      <x:c r="D82" s="21"/>
      <x:c r="E82" s="24" t="s">
        <x:v>98</x:v>
      </x:c>
      <x:c r="F82" s="31">
        <x:v>0.00</x:v>
      </x:c>
      <x:c r="G82" s="31">
        <x:v>0.00</x:v>
      </x:c>
      <x:c r="H82" s="31">
        <x:v>0.00</x:v>
      </x:c>
      <x:c r="I82" s="31">
        <x:v>0.00</x:v>
      </x:c>
      <x:c r="J82" s="31">
        <x:v>0.00</x:v>
      </x:c>
      <x:c r="K82" s="33">
        <x:f>SUM(F82:J82)</x:f>
        <x:v>0.00</x:v>
      </x:c>
      <x:c r="L82" s="31"/>
      <x:c r="M82" s="31"/>
      <x:c r="N82" s="31"/>
      <x:c r="O82" s="31"/>
      <x:c r="P82" s="31"/>
      <x:c r="Q82" s="31"/>
      <x:c r="R82" s="19"/>
      <x:c r="S82" s="37"/>
    </x:row>
    <x:row r="83" s="20" customFormat="1">
      <x:c r="A83" s="20">
        <x:v>195</x:v>
      </x:c>
      <x:c r="B83" s="7"/>
      <x:c r="C83" s="8"/>
      <x:c r="D83" s="21"/>
      <x:c r="E83" s="24" t="s">
        <x:v>99</x:v>
      </x:c>
      <x:c r="F83" s="31">
        <x:v>0.00</x:v>
      </x:c>
      <x:c r="G83" s="31">
        <x:v>0.00</x:v>
      </x:c>
      <x:c r="H83" s="31">
        <x:v>0.00</x:v>
      </x:c>
      <x:c r="I83" s="31">
        <x:v>0.00</x:v>
      </x:c>
      <x:c r="J83" s="31">
        <x:v>0.00</x:v>
      </x:c>
      <x:c r="K83" s="33">
        <x:f>SUM(F83:J83)</x:f>
        <x:v>0.00</x:v>
      </x:c>
      <x:c r="L83" s="31"/>
      <x:c r="M83" s="31"/>
      <x:c r="N83" s="31"/>
      <x:c r="O83" s="31"/>
      <x:c r="P83" s="31"/>
      <x:c r="Q83" s="31"/>
      <x:c r="R83" s="19"/>
      <x:c r="S83" s="37"/>
    </x:row>
    <x:row r="84" s="20" customFormat="1">
      <x:c r="A84" s="20">
        <x:v>196</x:v>
      </x:c>
      <x:c r="B84" s="7"/>
      <x:c r="C84" s="8"/>
      <x:c r="D84" s="21"/>
      <x:c r="E84" s="24" t="s">
        <x:v>100</x:v>
      </x:c>
      <x:c r="F84" s="31">
        <x:v>0.00</x:v>
      </x:c>
      <x:c r="G84" s="31">
        <x:v>0.00</x:v>
      </x:c>
      <x:c r="H84" s="31">
        <x:v>0.00</x:v>
      </x:c>
      <x:c r="I84" s="31">
        <x:v>0.00</x:v>
      </x:c>
      <x:c r="J84" s="31">
        <x:v>0.00</x:v>
      </x:c>
      <x:c r="K84" s="33">
        <x:f>SUM(F84:J84)</x:f>
        <x:v>0.00</x:v>
      </x:c>
      <x:c r="L84" s="31"/>
      <x:c r="M84" s="31"/>
      <x:c r="N84" s="31"/>
      <x:c r="O84" s="31"/>
      <x:c r="P84" s="31"/>
      <x:c r="Q84" s="31"/>
      <x:c r="R84" s="19"/>
      <x:c r="S84" s="37"/>
    </x:row>
    <x:row r="85" s="20" customFormat="1">
      <x:c r="A85" s="20">
        <x:v>197</x:v>
      </x:c>
      <x:c r="B85" s="7"/>
      <x:c r="C85" s="8"/>
      <x:c r="D85" s="21"/>
      <x:c r="E85" s="24" t="s">
        <x:v>101</x:v>
      </x:c>
      <x:c r="F85" s="31">
        <x:v>0.00</x:v>
      </x:c>
      <x:c r="G85" s="31">
        <x:v>0.00</x:v>
      </x:c>
      <x:c r="H85" s="31">
        <x:v>0.00</x:v>
      </x:c>
      <x:c r="I85" s="31">
        <x:v>0.00</x:v>
      </x:c>
      <x:c r="J85" s="31">
        <x:v>0.00</x:v>
      </x:c>
      <x:c r="K85" s="33">
        <x:f>SUM(F85:J85)</x:f>
        <x:v>0.00</x:v>
      </x:c>
      <x:c r="L85" s="31"/>
      <x:c r="M85" s="31"/>
      <x:c r="N85" s="31"/>
      <x:c r="O85" s="31"/>
      <x:c r="P85" s="31"/>
      <x:c r="Q85" s="31"/>
      <x:c r="R85" s="19"/>
      <x:c r="S85" s="37"/>
    </x:row>
    <x:row r="86" s="20" customFormat="1">
      <x:c r="A86" s="20">
        <x:v>198</x:v>
      </x:c>
      <x:c r="B86" s="7"/>
      <x:c r="C86" s="8"/>
      <x:c r="D86" s="21"/>
      <x:c r="E86" s="24" t="s">
        <x:v>102</x:v>
      </x:c>
      <x:c r="F86" s="31">
        <x:v>0.00</x:v>
      </x:c>
      <x:c r="G86" s="31">
        <x:v>0.00</x:v>
      </x:c>
      <x:c r="H86" s="31">
        <x:v>0.00</x:v>
      </x:c>
      <x:c r="I86" s="31">
        <x:v>0.00</x:v>
      </x:c>
      <x:c r="J86" s="31">
        <x:v>0.00</x:v>
      </x:c>
      <x:c r="K86" s="33">
        <x:f>SUM(F86:J86)</x:f>
        <x:v>0.00</x:v>
      </x:c>
      <x:c r="L86" s="31"/>
      <x:c r="M86" s="31"/>
      <x:c r="N86" s="31"/>
      <x:c r="O86" s="31"/>
      <x:c r="P86" s="31"/>
      <x:c r="Q86" s="31"/>
      <x:c r="R86" s="19"/>
      <x:c r="S86" s="37"/>
    </x:row>
    <x:row r="87" s="28" customFormat="1">
      <x:c r="A87" s="28">
        <x:v>202</x:v>
      </x:c>
      <x:c r="B87" s="7"/>
      <x:c r="C87" s="8"/>
      <x:c r="D87" s="59"/>
      <x:c r="E87" s="60" t="s">
        <x:v>103</x:v>
      </x:c>
      <x:c r="F87" s="61">
        <x:v>122159756.00</x:v>
      </x:c>
      <x:c r="G87" s="61">
        <x:v>0.00</x:v>
      </x:c>
      <x:c r="H87" s="61">
        <x:v>2504945.00</x:v>
      </x:c>
      <x:c r="I87" s="61">
        <x:v>3223930.00</x:v>
      </x:c>
      <x:c r="J87" s="61">
        <x:v>14185322.00</x:v>
      </x:c>
      <x:c r="K87" s="64">
        <x:f>SUM(F87:J87)</x:f>
        <x:v>142073953.00</x:v>
      </x:c>
      <x:c r="L87" s="61">
        <x:v>88405701.430000007</x:v>
      </x:c>
      <x:c r="M87" s="61"/>
      <x:c r="N87" s="61">
        <x:v>198373.561522039792301287623117271417</x:v>
      </x:c>
      <x:c r="O87" s="61">
        <x:v>1948178.854250584761687054391136505915</x:v>
      </x:c>
      <x:c r="P87" s="61">
        <x:v>45116876.164227373446011657985651695810</x:v>
      </x:c>
      <x:c r="Q87" s="61">
        <x:f>N87+O87+P87</x:f>
        <x:v>47263428.579999998</x:v>
      </x:c>
      <x:c r="R87" s="62">
        <x:f>SUM(L87:P87)</x:f>
        <x:v>135669130.010000005</x:v>
      </x:c>
      <x:c r="S87" s="65">
        <x:f>IF(K87=0,0,R87/K87)</x:f>
        <x:v>0.954919090693562985</x:v>
      </x:c>
    </x:row>
    <x:row r="88" s="20" customFormat="1">
      <x:c r="A88" s="20">
        <x:v>203</x:v>
      </x:c>
      <x:c r="B88" s="7"/>
      <x:c r="C88" s="8"/>
      <x:c r="D88" s="21"/>
      <x:c r="E88" s="24" t="s">
        <x:v>104</x:v>
      </x:c>
      <x:c r="F88" s="31">
        <x:v>1981045.00</x:v>
      </x:c>
      <x:c r="G88" s="31">
        <x:v>0.00</x:v>
      </x:c>
      <x:c r="H88" s="31">
        <x:v>40622.00</x:v>
      </x:c>
      <x:c r="I88" s="31">
        <x:v>52282.00</x:v>
      </x:c>
      <x:c r="J88" s="31">
        <x:v>230041.00</x:v>
      </x:c>
      <x:c r="K88" s="33">
        <x:f>SUM(F88:J88)</x:f>
        <x:v>2303990.00</x:v>
      </x:c>
      <x:c r="L88" s="31"/>
      <x:c r="M88" s="31"/>
      <x:c r="N88" s="31"/>
      <x:c r="O88" s="31"/>
      <x:c r="P88" s="31"/>
      <x:c r="Q88" s="31"/>
      <x:c r="R88" s="19"/>
      <x:c r="S88" s="37"/>
    </x:row>
    <x:row r="89" s="20" customFormat="1">
      <x:c r="A89" s="20">
        <x:v>205</x:v>
      </x:c>
      <x:c r="B89" s="7"/>
      <x:c r="C89" s="8"/>
      <x:c r="D89" s="21"/>
      <x:c r="E89" s="24" t="s">
        <x:v>105</x:v>
      </x:c>
      <x:c r="F89" s="31">
        <x:v>79031537.00</x:v>
      </x:c>
      <x:c r="G89" s="31">
        <x:v>0.00</x:v>
      </x:c>
      <x:c r="H89" s="31">
        <x:v>1620580.00</x:v>
      </x:c>
      <x:c r="I89" s="31">
        <x:v>2085729.00</x:v>
      </x:c>
      <x:c r="J89" s="31">
        <x:v>9177227.00</x:v>
      </x:c>
      <x:c r="K89" s="33">
        <x:f>SUM(F89:J89)</x:f>
        <x:v>91915073.00</x:v>
      </x:c>
      <x:c r="L89" s="31">
        <x:v>29871883.370000001</x:v>
      </x:c>
      <x:c r="M89" s="31"/>
      <x:c r="N89" s="31">
        <x:v>63691.109446340708298957012826185503</x:v>
      </x:c>
      <x:c r="O89" s="31">
        <x:v>625495.008886730387145114365384588086</x:v>
      </x:c>
      <x:c r="P89" s="31">
        <x:v>14485518.511666929904555928621758877000</x:v>
      </x:c>
      <x:c r="Q89" s="31">
        <x:f>N89+O89+P89</x:f>
        <x:v>15174704.630000001</x:v>
      </x:c>
      <x:c r="R89" s="19">
        <x:f>SUM(L89:P89)</x:f>
        <x:v>45046588.000000002</x:v>
      </x:c>
      <x:c r="S89" s="37">
        <x:f>IF(K89=0,0,R89/K89)</x:f>
        <x:v>0.490089237050380213</x:v>
      </x:c>
    </x:row>
    <x:row r="90" s="20" customFormat="1">
      <x:c r="A90" s="20">
        <x:v>206</x:v>
      </x:c>
      <x:c r="B90" s="7"/>
      <x:c r="C90" s="8"/>
      <x:c r="D90" s="21"/>
      <x:c r="E90" s="24" t="s">
        <x:v>106</x:v>
      </x:c>
      <x:c r="F90" s="31">
        <x:v>0.00</x:v>
      </x:c>
      <x:c r="G90" s="31">
        <x:v>0.00</x:v>
      </x:c>
      <x:c r="H90" s="31">
        <x:v>0.00</x:v>
      </x:c>
      <x:c r="I90" s="31">
        <x:v>0.00</x:v>
      </x:c>
      <x:c r="J90" s="31">
        <x:v>0.00</x:v>
      </x:c>
      <x:c r="K90" s="33">
        <x:f>SUM(F90:J90)</x:f>
        <x:v>0.00</x:v>
      </x:c>
      <x:c r="L90" s="31"/>
      <x:c r="M90" s="31"/>
      <x:c r="N90" s="31"/>
      <x:c r="O90" s="31"/>
      <x:c r="P90" s="31"/>
      <x:c r="Q90" s="31"/>
      <x:c r="R90" s="19"/>
      <x:c r="S90" s="37"/>
    </x:row>
    <x:row r="91" s="20" customFormat="1">
      <x:c r="A91" s="20">
        <x:v>244</x:v>
      </x:c>
      <x:c r="B91" s="7"/>
      <x:c r="C91" s="8"/>
      <x:c r="D91" s="21"/>
      <x:c r="E91" s="24" t="s">
        <x:v>107</x:v>
      </x:c>
      <x:c r="F91" s="31">
        <x:v>8813446.00</x:v>
      </x:c>
      <x:c r="G91" s="31">
        <x:v>0.00</x:v>
      </x:c>
      <x:c r="H91" s="31">
        <x:v>180724.00</x:v>
      </x:c>
      <x:c r="I91" s="31">
        <x:v>232597.00</x:v>
      </x:c>
      <x:c r="J91" s="31">
        <x:v>1023427.00</x:v>
      </x:c>
      <x:c r="K91" s="33">
        <x:f>SUM(F91:J91)</x:f>
        <x:v>10250194.00</x:v>
      </x:c>
      <x:c r="L91" s="31">
        <x:v>3348964.20</x:v>
      </x:c>
      <x:c r="M91" s="31"/>
      <x:c r="N91" s="31">
        <x:v>7668.415296211445625425413560952749</x:v>
      </x:c>
      <x:c r="O91" s="31">
        <x:v>75309.655233623778741868566243595112</x:v>
      </x:c>
      <x:c r="P91" s="31">
        <x:v>1744057.729470164775632706020191798067</x:v>
      </x:c>
      <x:c r="Q91" s="31">
        <x:f>N91+O91+P91</x:f>
        <x:v>1827035.80</x:v>
      </x:c>
      <x:c r="R91" s="19">
        <x:f>SUM(L91:P91)</x:f>
        <x:v>5176000.00</x:v>
      </x:c>
      <x:c r="S91" s="37">
        <x:f>IF(K91=0,0,R91/K91)</x:f>
        <x:v>0.504966052349838451</x:v>
      </x:c>
    </x:row>
    <x:row r="92" s="20" customFormat="1">
      <x:c r="A92" s="20">
        <x:v>213</x:v>
      </x:c>
      <x:c r="B92" s="7"/>
      <x:c r="C92" s="8"/>
      <x:c r="D92" s="21"/>
      <x:c r="E92" s="24" t="s">
        <x:v>108</x:v>
      </x:c>
      <x:c r="F92" s="31">
        <x:v>0.00</x:v>
      </x:c>
      <x:c r="G92" s="31">
        <x:v>0.00</x:v>
      </x:c>
      <x:c r="H92" s="31">
        <x:v>0.00</x:v>
      </x:c>
      <x:c r="I92" s="31">
        <x:v>0.00</x:v>
      </x:c>
      <x:c r="J92" s="31">
        <x:v>0.00</x:v>
      </x:c>
      <x:c r="K92" s="33">
        <x:f>SUM(F92:J92)</x:f>
        <x:v>0.00</x:v>
      </x:c>
      <x:c r="L92" s="31"/>
      <x:c r="M92" s="31"/>
      <x:c r="N92" s="31"/>
      <x:c r="O92" s="31"/>
      <x:c r="P92" s="31"/>
      <x:c r="Q92" s="31"/>
      <x:c r="R92" s="19"/>
      <x:c r="S92" s="37"/>
    </x:row>
    <x:row r="93" s="20" customFormat="1">
      <x:c r="A93" s="20">
        <x:v>207</x:v>
      </x:c>
      <x:c r="B93" s="7"/>
      <x:c r="C93" s="8"/>
      <x:c r="D93" s="21"/>
      <x:c r="E93" s="24" t="s">
        <x:v>109</x:v>
      </x:c>
      <x:c r="F93" s="31">
        <x:v>0.00</x:v>
      </x:c>
      <x:c r="G93" s="31">
        <x:v>0.00</x:v>
      </x:c>
      <x:c r="H93" s="31">
        <x:v>0.00</x:v>
      </x:c>
      <x:c r="I93" s="31">
        <x:v>0.00</x:v>
      </x:c>
      <x:c r="J93" s="31">
        <x:v>0.00</x:v>
      </x:c>
      <x:c r="K93" s="33">
        <x:f>SUM(F93:J93)</x:f>
        <x:v>0.00</x:v>
      </x:c>
      <x:c r="L93" s="31"/>
      <x:c r="M93" s="31"/>
      <x:c r="N93" s="31"/>
      <x:c r="O93" s="31"/>
      <x:c r="P93" s="31"/>
      <x:c r="Q93" s="31"/>
      <x:c r="R93" s="19"/>
      <x:c r="S93" s="37"/>
    </x:row>
    <x:row r="94" s="20" customFormat="1">
      <x:c r="A94" s="20">
        <x:v>208</x:v>
      </x:c>
      <x:c r="B94" s="7"/>
      <x:c r="C94" s="8"/>
      <x:c r="D94" s="21"/>
      <x:c r="E94" s="24" t="s">
        <x:v>110</x:v>
      </x:c>
      <x:c r="F94" s="31">
        <x:v>0.00</x:v>
      </x:c>
      <x:c r="G94" s="31">
        <x:v>0.00</x:v>
      </x:c>
      <x:c r="H94" s="31">
        <x:v>0.00</x:v>
      </x:c>
      <x:c r="I94" s="31">
        <x:v>0.00</x:v>
      </x:c>
      <x:c r="J94" s="31">
        <x:v>0.00</x:v>
      </x:c>
      <x:c r="K94" s="33">
        <x:f>SUM(F94:J94)</x:f>
        <x:v>0.00</x:v>
      </x:c>
      <x:c r="L94" s="31"/>
      <x:c r="M94" s="31"/>
      <x:c r="N94" s="31"/>
      <x:c r="O94" s="31"/>
      <x:c r="P94" s="31"/>
      <x:c r="Q94" s="31"/>
      <x:c r="R94" s="19"/>
      <x:c r="S94" s="37"/>
    </x:row>
    <x:row r="95" s="20" customFormat="1">
      <x:c r="A95" s="20">
        <x:v>209</x:v>
      </x:c>
      <x:c r="B95" s="7"/>
      <x:c r="C95" s="8"/>
      <x:c r="D95" s="21"/>
      <x:c r="E95" s="24" t="s">
        <x:v>111</x:v>
      </x:c>
      <x:c r="F95" s="31">
        <x:v>0.00</x:v>
      </x:c>
      <x:c r="G95" s="31">
        <x:v>0.00</x:v>
      </x:c>
      <x:c r="H95" s="31">
        <x:v>0.00</x:v>
      </x:c>
      <x:c r="I95" s="31">
        <x:v>0.00</x:v>
      </x:c>
      <x:c r="J95" s="31">
        <x:v>0.00</x:v>
      </x:c>
      <x:c r="K95" s="33">
        <x:f>SUM(F95:J95)</x:f>
        <x:v>0.00</x:v>
      </x:c>
      <x:c r="L95" s="31"/>
      <x:c r="M95" s="31"/>
      <x:c r="N95" s="31"/>
      <x:c r="O95" s="31"/>
      <x:c r="P95" s="31"/>
      <x:c r="Q95" s="31"/>
      <x:c r="R95" s="19"/>
      <x:c r="S95" s="37"/>
    </x:row>
    <x:row r="96" s="20" customFormat="1">
      <x:c r="A96" s="20">
        <x:v>211</x:v>
      </x:c>
      <x:c r="B96" s="7"/>
      <x:c r="C96" s="8"/>
      <x:c r="D96" s="21"/>
      <x:c r="E96" s="24" t="s">
        <x:v>112</x:v>
      </x:c>
      <x:c r="F96" s="31">
        <x:v>5891173.00</x:v>
      </x:c>
      <x:c r="G96" s="31">
        <x:v>0.00</x:v>
      </x:c>
      <x:c r="H96" s="31">
        <x:v>120801.00</x:v>
      </x:c>
      <x:c r="I96" s="31">
        <x:v>155474.00</x:v>
      </x:c>
      <x:c r="J96" s="31">
        <x:v>684089.00</x:v>
      </x:c>
      <x:c r="K96" s="33">
        <x:f>SUM(F96:J96)</x:f>
        <x:v>6851537.00</x:v>
      </x:c>
      <x:c r="L96" s="31"/>
      <x:c r="M96" s="31"/>
      <x:c r="N96" s="31"/>
      <x:c r="O96" s="31"/>
      <x:c r="P96" s="31"/>
      <x:c r="Q96" s="31"/>
      <x:c r="R96" s="19"/>
      <x:c r="S96" s="37"/>
    </x:row>
    <x:row r="97" s="20" customFormat="1">
      <x:c r="A97" s="20">
        <x:v>212</x:v>
      </x:c>
      <x:c r="B97" s="7"/>
      <x:c r="C97" s="8"/>
      <x:c r="D97" s="21"/>
      <x:c r="E97" s="24" t="s">
        <x:v>113</x:v>
      </x:c>
      <x:c r="F97" s="31">
        <x:v>0.00</x:v>
      </x:c>
      <x:c r="G97" s="31">
        <x:v>0.00</x:v>
      </x:c>
      <x:c r="H97" s="31">
        <x:v>0.00</x:v>
      </x:c>
      <x:c r="I97" s="31">
        <x:v>0.00</x:v>
      </x:c>
      <x:c r="J97" s="31">
        <x:v>0.00</x:v>
      </x:c>
      <x:c r="K97" s="33">
        <x:f>SUM(F97:J97)</x:f>
        <x:v>0.00</x:v>
      </x:c>
      <x:c r="L97" s="31"/>
      <x:c r="M97" s="31"/>
      <x:c r="N97" s="31"/>
      <x:c r="O97" s="31"/>
      <x:c r="P97" s="31"/>
      <x:c r="Q97" s="31"/>
      <x:c r="R97" s="19"/>
      <x:c r="S97" s="37"/>
    </x:row>
    <x:row r="98" s="20" customFormat="1">
      <x:c r="A98" s="20">
        <x:v>214</x:v>
      </x:c>
      <x:c r="B98" s="7"/>
      <x:c r="C98" s="8"/>
      <x:c r="D98" s="21"/>
      <x:c r="E98" s="24" t="s">
        <x:v>114</x:v>
      </x:c>
      <x:c r="F98" s="31">
        <x:v>125008361.00</x:v>
      </x:c>
      <x:c r="G98" s="31">
        <x:v>0.00</x:v>
      </x:c>
      <x:c r="H98" s="31">
        <x:v>2563357.00</x:v>
      </x:c>
      <x:c r="I98" s="31">
        <x:v>3299108.00</x:v>
      </x:c>
      <x:c r="J98" s="31">
        <x:v>14516105.00</x:v>
      </x:c>
      <x:c r="K98" s="33">
        <x:f>SUM(F98:J98)</x:f>
        <x:v>145386931.00</x:v>
      </x:c>
      <x:c r="L98" s="31">
        <x:v>57384700.119999997</x:v>
      </x:c>
      <x:c r="M98" s="31"/>
      <x:c r="N98" s="31">
        <x:v>117993.134742058307498742413428146413</x:v>
      </x:c>
      <x:c r="O98" s="31">
        <x:v>1158782.089142855380387804794220145203</x:v>
      </x:c>
      <x:c r="P98" s="31">
        <x:v>26835640.836115085312113452792295483551</x:v>
      </x:c>
      <x:c r="Q98" s="31">
        <x:f>N98+O98+P98</x:f>
        <x:v>28112416.059999999</x:v>
      </x:c>
      <x:c r="R98" s="19">
        <x:f>SUM(L98:P98)</x:f>
        <x:v>85497116.179999996</x:v>
      </x:c>
      <x:c r="S98" s="37">
        <x:f>IF(K98=0,0,R98/K98)</x:f>
        <x:v>0.588066035866731350</x:v>
      </x:c>
    </x:row>
    <x:row r="99" s="20" customFormat="1">
      <x:c r="A99" s="20">
        <x:v>215</x:v>
      </x:c>
      <x:c r="B99" s="7"/>
      <x:c r="C99" s="8"/>
      <x:c r="D99" s="21"/>
      <x:c r="E99" s="24" t="s">
        <x:v>115</x:v>
      </x:c>
      <x:c r="F99" s="31">
        <x:v>0.00</x:v>
      </x:c>
      <x:c r="G99" s="31">
        <x:v>0.00</x:v>
      </x:c>
      <x:c r="H99" s="31">
        <x:v>0.00</x:v>
      </x:c>
      <x:c r="I99" s="31">
        <x:v>0.00</x:v>
      </x:c>
      <x:c r="J99" s="31">
        <x:v>0.00</x:v>
      </x:c>
      <x:c r="K99" s="33">
        <x:f>SUM(F99:J99)</x:f>
        <x:v>0.00</x:v>
      </x:c>
      <x:c r="L99" s="31">
        <x:v>6414012.6900000004</x:v>
      </x:c>
      <x:c r="M99" s="31"/>
      <x:c r="N99" s="31">
        <x:v>11521.021827722068559565695735077164</x:v>
      </x:c>
      <x:c r="O99" s="31">
        <x:v>113145.173842300861925079778960508838</x:v>
      </x:c>
      <x:c r="P99" s="31">
        <x:v>2620271.124329977069515354525298924121</x:v>
      </x:c>
      <x:c r="Q99" s="31">
        <x:f>N99+O99+P99</x:f>
        <x:v>2744937.32</x:v>
      </x:c>
      <x:c r="R99" s="19">
        <x:f>SUM(L99:P99)</x:f>
        <x:v>9158950.0100000004</x:v>
      </x:c>
      <x:c r="S99" s="37">
        <x:v>0.00</x:v>
      </x:c>
    </x:row>
    <x:row r="100" s="20" customFormat="1">
      <x:c r="A100" s="20">
        <x:v>216</x:v>
      </x:c>
      <x:c r="B100" s="7"/>
      <x:c r="C100" s="8"/>
      <x:c r="D100" s="21"/>
      <x:c r="E100" s="24" t="s">
        <x:v>116</x:v>
      </x:c>
      <x:c r="F100" s="31">
        <x:v>72196154.00</x:v>
      </x:c>
      <x:c r="G100" s="31">
        <x:v>0.00</x:v>
      </x:c>
      <x:c r="H100" s="31">
        <x:v>1480417.00</x:v>
      </x:c>
      <x:c r="I100" s="31">
        <x:v>1905336.00</x:v>
      </x:c>
      <x:c r="J100" s="31">
        <x:v>8383495.00</x:v>
      </x:c>
      <x:c r="K100" s="33">
        <x:f>SUM(F100:J100)</x:f>
        <x:v>83965402.00</x:v>
      </x:c>
      <x:c r="L100" s="31">
        <x:v>23336203.989999998</x:v>
      </x:c>
      <x:c r="M100" s="31"/>
      <x:c r="N100" s="31">
        <x:v>45823.109263757062996148330063495100</x:v>
      </x:c>
      <x:c r="O100" s="31">
        <x:v>450017.692976426675445635996193972006</x:v>
      </x:c>
      <x:c r="P100" s="31">
        <x:v>10421729.237759815261558215673720697753</x:v>
      </x:c>
      <x:c r="Q100" s="31">
        <x:f>N100+O100+P100</x:f>
        <x:v>10917570.039999999</x:v>
      </x:c>
      <x:c r="R100" s="19">
        <x:f>SUM(L100:P100)</x:f>
        <x:v>34253774.029999997</x:v>
      </x:c>
      <x:c r="S100" s="37">
        <x:f>IF(K100=0,0,R100/K100)</x:f>
        <x:v>0.407951051434256183</x:v>
      </x:c>
    </x:row>
    <x:row r="101" s="20" customFormat="1">
      <x:c r="A101" s="20">
        <x:v>210</x:v>
      </x:c>
      <x:c r="B101" s="7"/>
      <x:c r="C101" s="8"/>
      <x:c r="D101" s="21"/>
      <x:c r="E101" s="24" t="s">
        <x:v>117</x:v>
      </x:c>
      <x:c r="F101" s="31">
        <x:v>0.00</x:v>
      </x:c>
      <x:c r="G101" s="31">
        <x:v>0.00</x:v>
      </x:c>
      <x:c r="H101" s="31">
        <x:v>0.00</x:v>
      </x:c>
      <x:c r="I101" s="31">
        <x:v>0.00</x:v>
      </x:c>
      <x:c r="J101" s="31">
        <x:v>0.00</x:v>
      </x:c>
      <x:c r="K101" s="33">
        <x:f>SUM(F101:J101)</x:f>
        <x:v>0.00</x:v>
      </x:c>
      <x:c r="L101" s="31"/>
      <x:c r="M101" s="31"/>
      <x:c r="N101" s="31"/>
      <x:c r="O101" s="31"/>
      <x:c r="P101" s="31"/>
      <x:c r="Q101" s="31"/>
      <x:c r="R101" s="19"/>
      <x:c r="S101" s="37"/>
    </x:row>
    <x:row r="102" s="20" customFormat="1">
      <x:c r="A102" s="20">
        <x:v>217</x:v>
      </x:c>
      <x:c r="B102" s="7"/>
      <x:c r="C102" s="8"/>
      <x:c r="D102" s="21"/>
      <x:c r="E102" s="24" t="s">
        <x:v>118</x:v>
      </x:c>
      <x:c r="F102" s="31">
        <x:v>142178063.00</x:v>
      </x:c>
      <x:c r="G102" s="31">
        <x:v>0.00</x:v>
      </x:c>
      <x:c r="H102" s="31">
        <x:v>2915430.00</x:v>
      </x:c>
      <x:c r="I102" s="31">
        <x:v>3752235.00</x:v>
      </x:c>
      <x:c r="J102" s="31">
        <x:v>16509869.00</x:v>
      </x:c>
      <x:c r="K102" s="33">
        <x:f>SUM(F102:J102)</x:f>
        <x:v>165355597.00</x:v>
      </x:c>
      <x:c r="L102" s="31">
        <x:v>164925487.25</x:v>
      </x:c>
      <x:c r="M102" s="31"/>
      <x:c r="N102" s="31">
        <x:v>291776.908587169082580513903325532726</x:v>
      </x:c>
      <x:c r="O102" s="31">
        <x:v>2865470.575346676392579392506755187694</x:v>
      </x:c>
      <x:c r="P102" s="31">
        <x:v>66359965.266066154524840093589780245153</x:v>
      </x:c>
      <x:c r="Q102" s="31">
        <x:f>N102+O102+P102</x:f>
        <x:v>69517212.75</x:v>
      </x:c>
      <x:c r="R102" s="19">
        <x:f>SUM(L102:P102)</x:f>
        <x:v>234442700.00</x:v>
      </x:c>
      <x:c r="S102" s="37">
        <x:f>IF(K102=0,0,R102/K102)</x:f>
        <x:v>1.417809280444253725</x:v>
      </x:c>
    </x:row>
    <x:row r="103" s="20" customFormat="1">
      <x:c r="A103" s="20">
        <x:v>218</x:v>
      </x:c>
      <x:c r="B103" s="7"/>
      <x:c r="C103" s="8"/>
      <x:c r="D103" s="21"/>
      <x:c r="E103" s="24" t="s">
        <x:v>119</x:v>
      </x:c>
      <x:c r="F103" s="31">
        <x:v>21347979.00</x:v>
      </x:c>
      <x:c r="G103" s="31">
        <x:v>0.00</x:v>
      </x:c>
      <x:c r="H103" s="31">
        <x:v>437751.00</x:v>
      </x:c>
      <x:c r="I103" s="31">
        <x:v>563397.00</x:v>
      </x:c>
      <x:c r="J103" s="31">
        <x:v>2478951.00</x:v>
      </x:c>
      <x:c r="K103" s="33">
        <x:f>SUM(F103:J103)</x:f>
        <x:v>24828078.00</x:v>
      </x:c>
      <x:c r="L103" s="31"/>
      <x:c r="M103" s="31"/>
      <x:c r="N103" s="31"/>
      <x:c r="O103" s="31"/>
      <x:c r="P103" s="31"/>
      <x:c r="Q103" s="31"/>
      <x:c r="R103" s="19"/>
      <x:c r="S103" s="37"/>
    </x:row>
    <x:row r="104" s="20" customFormat="1">
      <x:c r="A104" s="20">
        <x:v>219</x:v>
      </x:c>
      <x:c r="B104" s="7"/>
      <x:c r="C104" s="8"/>
      <x:c r="D104" s="21"/>
      <x:c r="E104" s="24" t="s">
        <x:v>120</x:v>
      </x:c>
      <x:c r="F104" s="31">
        <x:v>0.00</x:v>
      </x:c>
      <x:c r="G104" s="31">
        <x:v>0.00</x:v>
      </x:c>
      <x:c r="H104" s="31">
        <x:v>0.00</x:v>
      </x:c>
      <x:c r="I104" s="31">
        <x:v>0.00</x:v>
      </x:c>
      <x:c r="J104" s="31">
        <x:v>0.00</x:v>
      </x:c>
      <x:c r="K104" s="33">
        <x:f>SUM(F104:J104)</x:f>
        <x:v>0.00</x:v>
      </x:c>
      <x:c r="L104" s="31"/>
      <x:c r="M104" s="31"/>
      <x:c r="N104" s="31"/>
      <x:c r="O104" s="31"/>
      <x:c r="P104" s="31"/>
      <x:c r="Q104" s="31"/>
      <x:c r="R104" s="19"/>
      <x:c r="S104" s="37"/>
    </x:row>
    <x:row r="105" s="20" customFormat="1">
      <x:c r="A105" s="20">
        <x:v>220</x:v>
      </x:c>
      <x:c r="B105" s="7"/>
      <x:c r="C105" s="8"/>
      <x:c r="D105" s="21"/>
      <x:c r="E105" s="24" t="s">
        <x:v>121</x:v>
      </x:c>
      <x:c r="F105" s="31">
        <x:v>0.00</x:v>
      </x:c>
      <x:c r="G105" s="31">
        <x:v>0.00</x:v>
      </x:c>
      <x:c r="H105" s="31">
        <x:v>0.00</x:v>
      </x:c>
      <x:c r="I105" s="31">
        <x:v>0.00</x:v>
      </x:c>
      <x:c r="J105" s="31">
        <x:v>0.00</x:v>
      </x:c>
      <x:c r="K105" s="33">
        <x:f>SUM(F105:J105)</x:f>
        <x:v>0.00</x:v>
      </x:c>
      <x:c r="L105" s="31"/>
      <x:c r="M105" s="31"/>
      <x:c r="N105" s="31"/>
      <x:c r="O105" s="31"/>
      <x:c r="P105" s="31"/>
      <x:c r="Q105" s="31"/>
      <x:c r="R105" s="19"/>
      <x:c r="S105" s="37"/>
    </x:row>
    <x:row r="106" s="20" customFormat="1">
      <x:c r="A106" s="20">
        <x:v>0</x:v>
      </x:c>
      <x:c r="B106" s="7"/>
      <x:c r="C106" s="8"/>
      <x:c r="D106" s="21"/>
      <x:c r="E106" s="24" t="s">
        <x:v>122</x:v>
      </x:c>
      <x:c r="F106" s="31">
        <x:v>0.00</x:v>
      </x:c>
      <x:c r="G106" s="31">
        <x:v>0.00</x:v>
      </x:c>
      <x:c r="H106" s="31">
        <x:v>0.00</x:v>
      </x:c>
      <x:c r="I106" s="31">
        <x:v>0.00</x:v>
      </x:c>
      <x:c r="J106" s="31">
        <x:v>0.00</x:v>
      </x:c>
      <x:c r="K106" s="33">
        <x:f>SUM(F106:J106)</x:f>
        <x:v>0.00</x:v>
      </x:c>
      <x:c r="L106" s="31"/>
      <x:c r="M106" s="31"/>
      <x:c r="N106" s="31"/>
      <x:c r="O106" s="31"/>
      <x:c r="P106" s="31"/>
      <x:c r="Q106" s="31"/>
      <x:c r="R106" s="19"/>
      <x:c r="S106" s="37"/>
    </x:row>
    <x:row r="107" s="20" customFormat="1">
      <x:c r="A107" s="20">
        <x:v>225</x:v>
      </x:c>
      <x:c r="B107" s="7"/>
      <x:c r="C107" s="8"/>
      <x:c r="D107" s="21"/>
      <x:c r="E107" s="24" t="s">
        <x:v>123</x:v>
      </x:c>
      <x:c r="F107" s="31">
        <x:v>0.00</x:v>
      </x:c>
      <x:c r="G107" s="31">
        <x:v>0.00</x:v>
      </x:c>
      <x:c r="H107" s="31">
        <x:v>0.00</x:v>
      </x:c>
      <x:c r="I107" s="31">
        <x:v>0.00</x:v>
      </x:c>
      <x:c r="J107" s="31">
        <x:v>0.00</x:v>
      </x:c>
      <x:c r="K107" s="33">
        <x:f>SUM(F107:J107)</x:f>
        <x:v>0.00</x:v>
      </x:c>
      <x:c r="L107" s="31"/>
      <x:c r="M107" s="31"/>
      <x:c r="N107" s="31"/>
      <x:c r="O107" s="31"/>
      <x:c r="P107" s="31"/>
      <x:c r="Q107" s="31"/>
      <x:c r="R107" s="19"/>
      <x:c r="S107" s="37"/>
    </x:row>
    <x:row r="108" s="20" customFormat="1">
      <x:c r="A108" s="20">
        <x:v>229</x:v>
      </x:c>
      <x:c r="B108" s="7"/>
      <x:c r="C108" s="8"/>
      <x:c r="D108" s="21"/>
      <x:c r="E108" s="24" t="s">
        <x:v>124</x:v>
      </x:c>
      <x:c r="F108" s="31">
        <x:v>0.00</x:v>
      </x:c>
      <x:c r="G108" s="31">
        <x:v>0.00</x:v>
      </x:c>
      <x:c r="H108" s="31">
        <x:v>0.00</x:v>
      </x:c>
      <x:c r="I108" s="31">
        <x:v>0.00</x:v>
      </x:c>
      <x:c r="J108" s="31">
        <x:v>0.00</x:v>
      </x:c>
      <x:c r="K108" s="33">
        <x:f>SUM(F108:J108)</x:f>
        <x:v>0.00</x:v>
      </x:c>
      <x:c r="L108" s="31"/>
      <x:c r="M108" s="31"/>
      <x:c r="N108" s="31"/>
      <x:c r="O108" s="31"/>
      <x:c r="P108" s="31"/>
      <x:c r="Q108" s="31"/>
      <x:c r="R108" s="19"/>
      <x:c r="S108" s="37"/>
    </x:row>
    <x:row r="109" s="20" customFormat="1">
      <x:c r="A109" s="20">
        <x:v>230</x:v>
      </x:c>
      <x:c r="B109" s="7"/>
      <x:c r="C109" s="8"/>
      <x:c r="D109" s="21"/>
      <x:c r="E109" s="24" t="s">
        <x:v>125</x:v>
      </x:c>
      <x:c r="F109" s="31">
        <x:v>0.00</x:v>
      </x:c>
      <x:c r="G109" s="31">
        <x:v>0.00</x:v>
      </x:c>
      <x:c r="H109" s="31">
        <x:v>0.00</x:v>
      </x:c>
      <x:c r="I109" s="31">
        <x:v>0.00</x:v>
      </x:c>
      <x:c r="J109" s="31">
        <x:v>0.00</x:v>
      </x:c>
      <x:c r="K109" s="33">
        <x:f>SUM(F109:J109)</x:f>
        <x:v>0.00</x:v>
      </x:c>
      <x:c r="L109" s="31"/>
      <x:c r="M109" s="31"/>
      <x:c r="N109" s="31"/>
      <x:c r="O109" s="31"/>
      <x:c r="P109" s="31"/>
      <x:c r="Q109" s="31"/>
      <x:c r="R109" s="19"/>
      <x:c r="S109" s="37"/>
    </x:row>
    <x:row r="110" s="20" customFormat="1">
      <x:c r="A110" s="20">
        <x:v>231</x:v>
      </x:c>
      <x:c r="B110" s="7"/>
      <x:c r="C110" s="8"/>
      <x:c r="D110" s="21"/>
      <x:c r="E110" s="24" t="s">
        <x:v>126</x:v>
      </x:c>
      <x:c r="F110" s="31">
        <x:v>37321435.00</x:v>
      </x:c>
      <x:c r="G110" s="31">
        <x:v>0.00</x:v>
      </x:c>
      <x:c r="H110" s="31">
        <x:v>765294.00</x:v>
      </x:c>
      <x:c r="I110" s="31">
        <x:v>984954.00</x:v>
      </x:c>
      <x:c r="J110" s="31">
        <x:v>4333805.00</x:v>
      </x:c>
      <x:c r="K110" s="33">
        <x:f>SUM(F110:J110)</x:f>
        <x:v>43405488.00</x:v>
      </x:c>
      <x:c r="L110" s="31">
        <x:v>8524285.6799999997</x:v>
      </x:c>
      <x:c r="M110" s="31"/>
      <x:c r="N110" s="31">
        <x:v>12288.935403460184846166214586266809</x:v>
      </x:c>
      <x:c r="O110" s="31">
        <x:v>120686.667671753231131437711854523240</x:v>
      </x:c>
      <x:c r="P110" s="31">
        <x:v>2794920.716924786584022396073553354156</x:v>
      </x:c>
      <x:c r="Q110" s="31">
        <x:f>N110+O110+P110</x:f>
        <x:v>2927896.32</x:v>
      </x:c>
      <x:c r="R110" s="19">
        <x:f>SUM(L110:P110)</x:f>
        <x:v>11452181.9999999997</x:v>
      </x:c>
      <x:c r="S110" s="37">
        <x:f>IF(K110=0,0,R110/K110)</x:f>
        <x:v>0.263841798069405410</x:v>
      </x:c>
    </x:row>
    <x:row r="111" s="20" customFormat="1">
      <x:c r="A111" s="20">
        <x:v>255</x:v>
      </x:c>
      <x:c r="B111" s="7"/>
      <x:c r="C111" s="8"/>
      <x:c r="D111" s="21"/>
      <x:c r="E111" s="24" t="s">
        <x:v>127</x:v>
      </x:c>
      <x:c r="F111" s="31">
        <x:v>366271168.00</x:v>
      </x:c>
      <x:c r="G111" s="31">
        <x:v>0.00</x:v>
      </x:c>
      <x:c r="H111" s="31">
        <x:v>7510567.00</x:v>
      </x:c>
      <x:c r="I111" s="31">
        <x:v>9666298.00</x:v>
      </x:c>
      <x:c r="J111" s="31">
        <x:v>42531800.00</x:v>
      </x:c>
      <x:c r="K111" s="33">
        <x:f>SUM(F111:J111)</x:f>
        <x:v>425979833.00</x:v>
      </x:c>
      <x:c r="L111" s="31">
        <x:v>193868384.71000001</x:v>
      </x:c>
      <x:c r="M111" s="31"/>
      <x:c r="N111" s="31">
        <x:v>465757.648892014996059658274571339911</x:v>
      </x:c>
      <x:c r="O111" s="31">
        <x:v>4574093.421597816326179867416787532982</x:v>
      </x:c>
      <x:c r="P111" s="31">
        <x:v>105929086.549510168677760474308419189231</x:v>
      </x:c>
      <x:c r="Q111" s="31">
        <x:f>N111+O111+P111</x:f>
        <x:v>110968937.62</x:v>
      </x:c>
      <x:c r="R111" s="19">
        <x:f>SUM(L111:P111)</x:f>
        <x:v>304837322.33000001</x:v>
      </x:c>
      <x:c r="S111" s="37">
        <x:f>IF(K111=0,0,R111/K111)</x:f>
        <x:v>0.715614446306428806</x:v>
      </x:c>
    </x:row>
    <x:row r="112" s="20" customFormat="1">
      <x:c r="A112" s="20">
        <x:v>200</x:v>
      </x:c>
      <x:c r="B112" s="7"/>
      <x:c r="C112" s="8"/>
      <x:c r="D112" s="21"/>
      <x:c r="E112" s="24" t="s">
        <x:v>128</x:v>
      </x:c>
      <x:c r="F112" s="31">
        <x:v>11748149.00</x:v>
      </x:c>
      <x:c r="G112" s="31">
        <x:v>0.00</x:v>
      </x:c>
      <x:c r="H112" s="31">
        <x:v>240902.00</x:v>
      </x:c>
      <x:c r="I112" s="31">
        <x:v>310047.00</x:v>
      </x:c>
      <x:c r="J112" s="31">
        <x:v>1364208.00</x:v>
      </x:c>
      <x:c r="K112" s="33">
        <x:f>SUM(F112:J112)</x:f>
        <x:v>13663306.00</x:v>
      </x:c>
      <x:c r="L112" s="31">
        <x:v>10256327.68</x:v>
      </x:c>
      <x:c r="M112" s="31"/>
      <x:c r="N112" s="31">
        <x:v>19254.368861162104322712856467682418</x:v>
      </x:c>
      <x:c r="O112" s="31">
        <x:v>189092.507990735274157563330341052349</x:v>
      </x:c>
      <x:c r="P112" s="31">
        <x:v>4379096.533148102621519723813182090344</x:v>
      </x:c>
      <x:c r="Q112" s="31">
        <x:f>N112+O112+P112</x:f>
        <x:v>4587443.41</x:v>
      </x:c>
      <x:c r="R112" s="19">
        <x:f>SUM(L112:P112)</x:f>
        <x:v>14843771.09</x:v>
      </x:c>
      <x:c r="S112" s="37">
        <x:f>IF(K112=0,0,R112/K112)</x:f>
        <x:v>1.086396739559225270</x:v>
      </x:c>
    </x:row>
    <x:row r="113" s="20" customFormat="1">
      <x:c r="A113" s="20">
        <x:v>201</x:v>
      </x:c>
      <x:c r="B113" s="7"/>
      <x:c r="C113" s="8"/>
      <x:c r="D113" s="21"/>
      <x:c r="E113" s="24" t="s">
        <x:v>129</x:v>
      </x:c>
      <x:c r="F113" s="31">
        <x:v>6573006.00</x:v>
      </x:c>
      <x:c r="G113" s="31">
        <x:v>0.00</x:v>
      </x:c>
      <x:c r="H113" s="31">
        <x:v>134783.00</x:v>
      </x:c>
      <x:c r="I113" s="31">
        <x:v>173469.00</x:v>
      </x:c>
      <x:c r="J113" s="31">
        <x:v>763265.00</x:v>
      </x:c>
      <x:c r="K113" s="33">
        <x:f>SUM(F113:J113)</x:f>
        <x:v>7644523.00</x:v>
      </x:c>
      <x:c r="L113" s="31"/>
      <x:c r="M113" s="31"/>
      <x:c r="N113" s="31"/>
      <x:c r="O113" s="31"/>
      <x:c r="P113" s="31"/>
      <x:c r="Q113" s="31"/>
      <x:c r="R113" s="19"/>
      <x:c r="S113" s="37"/>
    </x:row>
    <x:row r="114" s="20" customFormat="1">
      <x:c r="A114" s="20">
        <x:v>223</x:v>
      </x:c>
      <x:c r="B114" s="7"/>
      <x:c r="C114" s="8"/>
      <x:c r="D114" s="21"/>
      <x:c r="E114" s="24" t="s">
        <x:v>130</x:v>
      </x:c>
      <x:c r="F114" s="31">
        <x:v>4301089.00</x:v>
      </x:c>
      <x:c r="G114" s="31">
        <x:v>0.00</x:v>
      </x:c>
      <x:c r="H114" s="31">
        <x:v>88196.00</x:v>
      </x:c>
      <x:c r="I114" s="31">
        <x:v>113510.00</x:v>
      </x:c>
      <x:c r="J114" s="31">
        <x:v>499447.00</x:v>
      </x:c>
      <x:c r="K114" s="33">
        <x:f>SUM(F114:J114)</x:f>
        <x:v>5002242.00</x:v>
      </x:c>
      <x:c r="L114" s="31"/>
      <x:c r="M114" s="31"/>
      <x:c r="N114" s="31"/>
      <x:c r="O114" s="31"/>
      <x:c r="P114" s="31"/>
      <x:c r="Q114" s="31"/>
      <x:c r="R114" s="19"/>
      <x:c r="S114" s="37"/>
    </x:row>
    <x:row r="115" s="20" customFormat="1">
      <x:c r="A115" s="20">
        <x:v>222</x:v>
      </x:c>
      <x:c r="B115" s="7"/>
      <x:c r="C115" s="8"/>
      <x:c r="D115" s="21"/>
      <x:c r="E115" s="24" t="s">
        <x:v>131</x:v>
      </x:c>
      <x:c r="F115" s="31">
        <x:v>1356267.00</x:v>
      </x:c>
      <x:c r="G115" s="31">
        <x:v>0.00</x:v>
      </x:c>
      <x:c r="H115" s="31">
        <x:v>27811.00</x:v>
      </x:c>
      <x:c r="I115" s="31">
        <x:v>35793.00</x:v>
      </x:c>
      <x:c r="J115" s="31">
        <x:v>157491.00</x:v>
      </x:c>
      <x:c r="K115" s="33">
        <x:f>SUM(F115:J115)</x:f>
        <x:v>1577362.00</x:v>
      </x:c>
      <x:c r="L115" s="31"/>
      <x:c r="M115" s="31"/>
      <x:c r="N115" s="31"/>
      <x:c r="O115" s="31"/>
      <x:c r="P115" s="31"/>
      <x:c r="Q115" s="31"/>
      <x:c r="R115" s="19"/>
      <x:c r="S115" s="37"/>
    </x:row>
    <x:row r="116" s="20" customFormat="1">
      <x:c r="A116" s="20">
        <x:v>221</x:v>
      </x:c>
      <x:c r="B116" s="7"/>
      <x:c r="C116" s="8"/>
      <x:c r="D116" s="21"/>
      <x:c r="E116" s="24" t="s">
        <x:v>132</x:v>
      </x:c>
      <x:c r="F116" s="31">
        <x:v>699271.00</x:v>
      </x:c>
      <x:c r="G116" s="31">
        <x:v>0.00</x:v>
      </x:c>
      <x:c r="H116" s="31">
        <x:v>14339.00</x:v>
      </x:c>
      <x:c r="I116" s="31">
        <x:v>18455.00</x:v>
      </x:c>
      <x:c r="J116" s="31">
        <x:v>81200.00</x:v>
      </x:c>
      <x:c r="K116" s="33">
        <x:f>SUM(F116:J116)</x:f>
        <x:v>813265.00</x:v>
      </x:c>
      <x:c r="L116" s="31"/>
      <x:c r="M116" s="31"/>
      <x:c r="N116" s="31"/>
      <x:c r="O116" s="31"/>
      <x:c r="P116" s="31"/>
      <x:c r="Q116" s="31"/>
      <x:c r="R116" s="19"/>
      <x:c r="S116" s="37"/>
    </x:row>
    <x:row r="117" s="20" customFormat="1">
      <x:c r="A117" s="20">
        <x:v>235</x:v>
      </x:c>
      <x:c r="B117" s="7"/>
      <x:c r="C117" s="8"/>
      <x:c r="D117" s="21"/>
      <x:c r="E117" s="24" t="s">
        <x:v>133</x:v>
      </x:c>
      <x:c r="F117" s="31">
        <x:v>0.00</x:v>
      </x:c>
      <x:c r="G117" s="31">
        <x:v>0.00</x:v>
      </x:c>
      <x:c r="H117" s="31">
        <x:v>0.00</x:v>
      </x:c>
      <x:c r="I117" s="31">
        <x:v>0.00</x:v>
      </x:c>
      <x:c r="J117" s="31">
        <x:v>0.00</x:v>
      </x:c>
      <x:c r="K117" s="33">
        <x:f>SUM(F117:J117)</x:f>
        <x:v>0.00</x:v>
      </x:c>
      <x:c r="L117" s="31"/>
      <x:c r="M117" s="31"/>
      <x:c r="N117" s="31"/>
      <x:c r="O117" s="31"/>
      <x:c r="P117" s="31"/>
      <x:c r="Q117" s="31"/>
      <x:c r="R117" s="19"/>
      <x:c r="S117" s="37"/>
    </x:row>
    <x:row r="118" s="20" customFormat="1">
      <x:c r="A118" s="20">
        <x:v>236</x:v>
      </x:c>
      <x:c r="B118" s="7"/>
      <x:c r="C118" s="8"/>
      <x:c r="D118" s="21"/>
      <x:c r="E118" s="24" t="s">
        <x:v>134</x:v>
      </x:c>
      <x:c r="F118" s="31">
        <x:v>3154608.00</x:v>
      </x:c>
      <x:c r="G118" s="31">
        <x:v>0.00</x:v>
      </x:c>
      <x:c r="H118" s="31">
        <x:v>64687.00</x:v>
      </x:c>
      <x:c r="I118" s="31">
        <x:v>83254.00</x:v>
      </x:c>
      <x:c r="J118" s="31">
        <x:v>366317.00</x:v>
      </x:c>
      <x:c r="K118" s="33">
        <x:f>SUM(F118:J118)</x:f>
        <x:v>3668866.00</x:v>
      </x:c>
      <x:c r="L118" s="31">
        <x:v>2774803.68</x:v>
      </x:c>
      <x:c r="M118" s="31"/>
      <x:c r="N118" s="31">
        <x:v>6010.863440246789609138661488400909</x:v>
      </x:c>
      <x:c r="O118" s="31">
        <x:v>59031.238640012432310466516864340400</x:v>
      </x:c>
      <x:c r="P118" s="31">
        <x:v>1367074.217919740778080394821644394456</x:v>
      </x:c>
      <x:c r="Q118" s="31">
        <x:f>N118+O118+P118</x:f>
        <x:v>1432116.32</x:v>
      </x:c>
      <x:c r="R118" s="19">
        <x:f>SUM(L118:P118)</x:f>
        <x:v>4206920.00</x:v>
      </x:c>
      <x:c r="S118" s="37">
        <x:f>IF(K118=0,0,R118/K118)</x:f>
        <x:v>1.146654034243823568</x:v>
      </x:c>
    </x:row>
    <x:row r="119" s="20" customFormat="1">
      <x:c r="A119" s="20">
        <x:v>240</x:v>
      </x:c>
      <x:c r="B119" s="7"/>
      <x:c r="C119" s="8"/>
      <x:c r="D119" s="21"/>
      <x:c r="E119" s="24" t="s">
        <x:v>135</x:v>
      </x:c>
      <x:c r="F119" s="31">
        <x:v>0.00</x:v>
      </x:c>
      <x:c r="G119" s="31">
        <x:v>0.00</x:v>
      </x:c>
      <x:c r="H119" s="31">
        <x:v>0.00</x:v>
      </x:c>
      <x:c r="I119" s="31">
        <x:v>0.00</x:v>
      </x:c>
      <x:c r="J119" s="31">
        <x:v>0.00</x:v>
      </x:c>
      <x:c r="K119" s="33">
        <x:f>SUM(F119:J119)</x:f>
        <x:v>0.00</x:v>
      </x:c>
      <x:c r="L119" s="31"/>
      <x:c r="M119" s="31"/>
      <x:c r="N119" s="31"/>
      <x:c r="O119" s="31"/>
      <x:c r="P119" s="31"/>
      <x:c r="Q119" s="31"/>
      <x:c r="R119" s="19"/>
      <x:c r="S119" s="37"/>
    </x:row>
    <x:row r="120" s="20" customFormat="1">
      <x:c r="A120" s="20">
        <x:v>241</x:v>
      </x:c>
      <x:c r="B120" s="7"/>
      <x:c r="C120" s="8"/>
      <x:c r="D120" s="21"/>
      <x:c r="E120" s="24" t="s">
        <x:v>136</x:v>
      </x:c>
      <x:c r="F120" s="31">
        <x:v>0.00</x:v>
      </x:c>
      <x:c r="G120" s="31">
        <x:v>0.00</x:v>
      </x:c>
      <x:c r="H120" s="31">
        <x:v>0.00</x:v>
      </x:c>
      <x:c r="I120" s="31">
        <x:v>0.00</x:v>
      </x:c>
      <x:c r="J120" s="31">
        <x:v>0.00</x:v>
      </x:c>
      <x:c r="K120" s="33">
        <x:f>SUM(F120:J120)</x:f>
        <x:v>0.00</x:v>
      </x:c>
      <x:c r="L120" s="31"/>
      <x:c r="M120" s="31"/>
      <x:c r="N120" s="31"/>
      <x:c r="O120" s="31"/>
      <x:c r="P120" s="31"/>
      <x:c r="Q120" s="31"/>
      <x:c r="R120" s="19"/>
      <x:c r="S120" s="37"/>
    </x:row>
    <x:row r="121" s="20" customFormat="1">
      <x:c r="A121" s="20">
        <x:v>242</x:v>
      </x:c>
      <x:c r="B121" s="7"/>
      <x:c r="C121" s="8"/>
      <x:c r="D121" s="21"/>
      <x:c r="E121" s="24" t="s">
        <x:v>137</x:v>
      </x:c>
      <x:c r="F121" s="31">
        <x:v>0.00</x:v>
      </x:c>
      <x:c r="G121" s="31">
        <x:v>0.00</x:v>
      </x:c>
      <x:c r="H121" s="31">
        <x:v>0.00</x:v>
      </x:c>
      <x:c r="I121" s="31">
        <x:v>0.00</x:v>
      </x:c>
      <x:c r="J121" s="31">
        <x:v>0.00</x:v>
      </x:c>
      <x:c r="K121" s="33">
        <x:f>SUM(F121:J121)</x:f>
        <x:v>0.00</x:v>
      </x:c>
      <x:c r="L121" s="31"/>
      <x:c r="M121" s="31"/>
      <x:c r="N121" s="31"/>
      <x:c r="O121" s="31"/>
      <x:c r="P121" s="31"/>
      <x:c r="Q121" s="31"/>
      <x:c r="R121" s="19"/>
      <x:c r="S121" s="37"/>
    </x:row>
    <x:row r="122" s="20" customFormat="1">
      <x:c r="A122" s="20">
        <x:v>243</x:v>
      </x:c>
      <x:c r="B122" s="7"/>
      <x:c r="C122" s="8"/>
      <x:c r="D122" s="21"/>
      <x:c r="E122" s="24" t="s">
        <x:v>138</x:v>
      </x:c>
      <x:c r="F122" s="31">
        <x:v>0.00</x:v>
      </x:c>
      <x:c r="G122" s="31">
        <x:v>0.00</x:v>
      </x:c>
      <x:c r="H122" s="31">
        <x:v>0.00</x:v>
      </x:c>
      <x:c r="I122" s="31">
        <x:v>0.00</x:v>
      </x:c>
      <x:c r="J122" s="31">
        <x:v>0.00</x:v>
      </x:c>
      <x:c r="K122" s="33">
        <x:f>SUM(F122:J122)</x:f>
        <x:v>0.00</x:v>
      </x:c>
      <x:c r="L122" s="31"/>
      <x:c r="M122" s="31"/>
      <x:c r="N122" s="31"/>
      <x:c r="O122" s="31"/>
      <x:c r="P122" s="31"/>
      <x:c r="Q122" s="31"/>
      <x:c r="R122" s="19"/>
      <x:c r="S122" s="37"/>
    </x:row>
    <x:row r="123" s="20" customFormat="1">
      <x:c r="A123" s="20">
        <x:v>245</x:v>
      </x:c>
      <x:c r="B123" s="7"/>
      <x:c r="C123" s="8"/>
      <x:c r="D123" s="21"/>
      <x:c r="E123" s="24" t="s">
        <x:v>139</x:v>
      </x:c>
      <x:c r="F123" s="31">
        <x:v>27044945.00</x:v>
      </x:c>
      <x:c r="G123" s="31">
        <x:v>0.00</x:v>
      </x:c>
      <x:c r="H123" s="31">
        <x:v>554570.00</x:v>
      </x:c>
      <x:c r="I123" s="31">
        <x:v>713746.00</x:v>
      </x:c>
      <x:c r="J123" s="31">
        <x:v>3140488.00</x:v>
      </x:c>
      <x:c r="K123" s="33">
        <x:f>SUM(F123:J123)</x:f>
        <x:v>31453749.00</x:v>
      </x:c>
      <x:c r="L123" s="31">
        <x:v>3895917.74</x:v>
      </x:c>
      <x:c r="M123" s="31"/>
      <x:c r="N123" s="31">
        <x:v>5062.323566776917143936212561117290</x:v>
      </x:c>
      <x:c r="O123" s="31">
        <x:v>49715.857549260468790968667248164840</x:v>
      </x:c>
      <x:c r="P123" s="31">
        <x:v>1151344.078883962614065095120188305624</x:v>
      </x:c>
      <x:c r="Q123" s="31">
        <x:f>N123+O123+P123</x:f>
        <x:v>1206122.26</x:v>
      </x:c>
      <x:c r="R123" s="19">
        <x:f>SUM(L123:P123)</x:f>
        <x:v>5102040.00</x:v>
      </x:c>
      <x:c r="S123" s="37">
        <x:f>IF(K123=0,0,R123/K123)</x:f>
        <x:v>0.162207691045032501</x:v>
      </x:c>
    </x:row>
    <x:row r="124" s="20" customFormat="1">
      <x:c r="A124" s="20">
        <x:v>246</x:v>
      </x:c>
      <x:c r="B124" s="7"/>
      <x:c r="C124" s="8"/>
      <x:c r="D124" s="21"/>
      <x:c r="E124" s="24" t="s">
        <x:v>140</x:v>
      </x:c>
      <x:c r="F124" s="31">
        <x:v>0.00</x:v>
      </x:c>
      <x:c r="G124" s="31">
        <x:v>0.00</x:v>
      </x:c>
      <x:c r="H124" s="31">
        <x:v>0.00</x:v>
      </x:c>
      <x:c r="I124" s="31">
        <x:v>0.00</x:v>
      </x:c>
      <x:c r="J124" s="31">
        <x:v>0.00</x:v>
      </x:c>
      <x:c r="K124" s="33">
        <x:f>SUM(F124:J124)</x:f>
        <x:v>0.00</x:v>
      </x:c>
      <x:c r="L124" s="31"/>
      <x:c r="M124" s="31"/>
      <x:c r="N124" s="31"/>
      <x:c r="O124" s="31"/>
      <x:c r="P124" s="31"/>
      <x:c r="Q124" s="31"/>
      <x:c r="R124" s="19"/>
      <x:c r="S124" s="37"/>
    </x:row>
    <x:row r="125" s="20" customFormat="1">
      <x:c r="A125" s="20">
        <x:v>247</x:v>
      </x:c>
      <x:c r="B125" s="7"/>
      <x:c r="C125" s="8"/>
      <x:c r="D125" s="21"/>
      <x:c r="E125" s="24" t="s">
        <x:v>141</x:v>
      </x:c>
      <x:c r="F125" s="31">
        <x:v>12331273.00</x:v>
      </x:c>
      <x:c r="G125" s="31">
        <x:v>0.00</x:v>
      </x:c>
      <x:c r="H125" s="31">
        <x:v>252859.00</x:v>
      </x:c>
      <x:c r="I125" s="31">
        <x:v>325436.00</x:v>
      </x:c>
      <x:c r="J125" s="31">
        <x:v>1431921.00</x:v>
      </x:c>
      <x:c r="K125" s="33">
        <x:f>SUM(F125:J125)</x:f>
        <x:v>14341489.00</x:v>
      </x:c>
      <x:c r="L125" s="31">
        <x:v>1713767.45</x:v>
      </x:c>
      <x:c r="M125" s="31"/>
      <x:c r="N125" s="31">
        <x:v>3940.877747732593953696489357017495</x:v>
      </x:c>
      <x:c r="O125" s="31">
        <x:v>38702.408911816188995715598275601758</x:v>
      </x:c>
      <x:c r="P125" s="31">
        <x:v>896289.263340451217050587912365502880</x:v>
      </x:c>
      <x:c r="Q125" s="31">
        <x:f>N125+O125+P125</x:f>
        <x:v>938932.55</x:v>
      </x:c>
      <x:c r="R125" s="19">
        <x:f>SUM(L125:P125)</x:f>
        <x:v>2652700.00</x:v>
      </x:c>
      <x:c r="S125" s="37">
        <x:f>IF(K125=0,0,R125/K125)</x:f>
        <x:v>0.184966846887376896</x:v>
      </x:c>
    </x:row>
    <x:row r="126" s="20" customFormat="1">
      <x:c r="A126" s="20">
        <x:v>248</x:v>
      </x:c>
      <x:c r="B126" s="7"/>
      <x:c r="C126" s="8"/>
      <x:c r="D126" s="21"/>
      <x:c r="E126" s="24" t="s">
        <x:v>142</x:v>
      </x:c>
      <x:c r="F126" s="31">
        <x:v>29459671.00</x:v>
      </x:c>
      <x:c r="G126" s="31">
        <x:v>0.00</x:v>
      </x:c>
      <x:c r="H126" s="31">
        <x:v>604085.00</x:v>
      </x:c>
      <x:c r="I126" s="31">
        <x:v>777473.00</x:v>
      </x:c>
      <x:c r="J126" s="31">
        <x:v>3420889.00</x:v>
      </x:c>
      <x:c r="K126" s="33">
        <x:f>SUM(F126:J126)</x:f>
        <x:v>34262118.00</x:v>
      </x:c>
      <x:c r="L126" s="31">
        <x:v>11291238.359999999</x:v>
      </x:c>
      <x:c r="M126" s="31"/>
      <x:c r="N126" s="31">
        <x:v>19345.721653842772069970621811177914</x:v>
      </x:c>
      <x:c r="O126" s="31">
        <x:v>189989.661712288241365370265425153307</x:v>
      </x:c>
      <x:c r="P126" s="31">
        <x:v>4399873.256633868686564659112754450360</x:v>
      </x:c>
      <x:c r="Q126" s="31">
        <x:f>N126+O126+P126</x:f>
        <x:v>4609208.6399999997</x:v>
      </x:c>
      <x:c r="R126" s="19">
        <x:f>SUM(L126:P126)</x:f>
        <x:v>15900446.9999999987</x:v>
      </x:c>
      <x:c r="S126" s="37">
        <x:f>IF(K126=0,0,R126/K126)</x:f>
        <x:v>0.464082430630820858</x:v>
      </x:c>
    </x:row>
    <x:row r="127" s="20" customFormat="1">
      <x:c r="A127" s="20">
        <x:v>249</x:v>
      </x:c>
      <x:c r="B127" s="7"/>
      <x:c r="C127" s="8"/>
      <x:c r="D127" s="21"/>
      <x:c r="E127" s="24" t="s">
        <x:v>143</x:v>
      </x:c>
      <x:c r="F127" s="31">
        <x:v>0.00</x:v>
      </x:c>
      <x:c r="G127" s="31">
        <x:v>0.00</x:v>
      </x:c>
      <x:c r="H127" s="31">
        <x:v>0.00</x:v>
      </x:c>
      <x:c r="I127" s="31">
        <x:v>0.00</x:v>
      </x:c>
      <x:c r="J127" s="31">
        <x:v>0.00</x:v>
      </x:c>
      <x:c r="K127" s="33">
        <x:f>SUM(F127:J127)</x:f>
        <x:v>0.00</x:v>
      </x:c>
      <x:c r="L127" s="31"/>
      <x:c r="M127" s="31"/>
      <x:c r="N127" s="31"/>
      <x:c r="O127" s="31"/>
      <x:c r="P127" s="31"/>
      <x:c r="Q127" s="31"/>
      <x:c r="R127" s="19"/>
      <x:c r="S127" s="37"/>
    </x:row>
    <x:row r="128" s="20" customFormat="1">
      <x:c r="A128" s="20">
        <x:v>250</x:v>
      </x:c>
      <x:c r="B128" s="7"/>
      <x:c r="C128" s="8"/>
      <x:c r="D128" s="21"/>
      <x:c r="E128" s="24" t="s">
        <x:v>144</x:v>
      </x:c>
      <x:c r="F128" s="31">
        <x:v>0.00</x:v>
      </x:c>
      <x:c r="G128" s="31">
        <x:v>0.00</x:v>
      </x:c>
      <x:c r="H128" s="31">
        <x:v>0.00</x:v>
      </x:c>
      <x:c r="I128" s="31">
        <x:v>0.00</x:v>
      </x:c>
      <x:c r="J128" s="31">
        <x:v>0.00</x:v>
      </x:c>
      <x:c r="K128" s="33">
        <x:f>SUM(F128:J128)</x:f>
        <x:v>0.00</x:v>
      </x:c>
      <x:c r="L128" s="31"/>
      <x:c r="M128" s="31"/>
      <x:c r="N128" s="31"/>
      <x:c r="O128" s="31"/>
      <x:c r="P128" s="31"/>
      <x:c r="Q128" s="31"/>
      <x:c r="R128" s="19"/>
      <x:c r="S128" s="37"/>
    </x:row>
    <x:row r="129" s="20" customFormat="1">
      <x:c r="A129" s="20">
        <x:v>251</x:v>
      </x:c>
      <x:c r="B129" s="7"/>
      <x:c r="C129" s="8"/>
      <x:c r="D129" s="21"/>
      <x:c r="E129" s="24" t="s">
        <x:v>145</x:v>
      </x:c>
      <x:c r="F129" s="31">
        <x:v>94766714.00</x:v>
      </x:c>
      <x:c r="G129" s="31">
        <x:v>0.00</x:v>
      </x:c>
      <x:c r="H129" s="31">
        <x:v>1943237.00</x:v>
      </x:c>
      <x:c r="I129" s="31">
        <x:v>2500997.00</x:v>
      </x:c>
      <x:c r="J129" s="31">
        <x:v>11004412.00</x:v>
      </x:c>
      <x:c r="K129" s="33">
        <x:f>SUM(F129:J129)</x:f>
        <x:v>110215360.00</x:v>
      </x:c>
      <x:c r="L129" s="31">
        <x:v>45062021.979999997</x:v>
      </x:c>
      <x:c r="M129" s="31"/>
      <x:c r="N129" s="31">
        <x:v>83537.454013958397624334522626931478</x:v>
      </x:c>
      <x:c r="O129" s="31">
        <x:v>820401.167369487958509662406145881151</x:v>
      </x:c>
      <x:c r="P129" s="31">
        <x:v>18999250.398616553643866003071187380992</x:v>
      </x:c>
      <x:c r="Q129" s="31">
        <x:f>N129+O129+P129</x:f>
        <x:v>19903189.02</x:v>
      </x:c>
      <x:c r="R129" s="19">
        <x:f>SUM(L129:P129)</x:f>
        <x:v>64965210.999999997</x:v>
      </x:c>
      <x:c r="S129" s="37">
        <x:f>IF(K129=0,0,R129/K129)</x:f>
        <x:v>0.589438813247082775</x:v>
      </x:c>
    </x:row>
    <x:row r="130" s="20" customFormat="1">
      <x:c r="A130" s="20">
        <x:v>252</x:v>
      </x:c>
      <x:c r="B130" s="7"/>
      <x:c r="C130" s="8"/>
      <x:c r="D130" s="21"/>
      <x:c r="E130" s="24" t="s">
        <x:v>146</x:v>
      </x:c>
      <x:c r="F130" s="31">
        <x:v>30757764.00</x:v>
      </x:c>
      <x:c r="G130" s="31">
        <x:v>0.00</x:v>
      </x:c>
      <x:c r="H130" s="31">
        <x:v>630703.00</x:v>
      </x:c>
      <x:c r="I130" s="31">
        <x:v>811731.00</x:v>
      </x:c>
      <x:c r="J130" s="31">
        <x:v>3571625.00</x:v>
      </x:c>
      <x:c r="K130" s="33">
        <x:f>SUM(F130:J130)</x:f>
        <x:v>35771823.00</x:v>
      </x:c>
      <x:c r="L130" s="31">
        <x:v>3579380.80</x:v>
      </x:c>
      <x:c r="M130" s="31"/>
      <x:c r="N130" s="31">
        <x:v>7619.221718110361963245744666570656</x:v>
      </x:c>
      <x:c r="O130" s="31">
        <x:v>74826.536979930440679679557841288665</x:v>
      </x:c>
      <x:c r="P130" s="31">
        <x:v>1732869.441301959197357074697488510048</x:v>
      </x:c>
      <x:c r="Q130" s="31">
        <x:f>N130+O130+P130</x:f>
        <x:v>1815315.20</x:v>
      </x:c>
      <x:c r="R130" s="19">
        <x:f>SUM(L130:P130)</x:f>
        <x:v>5394696.00</x:v>
      </x:c>
      <x:c r="S130" s="37">
        <x:f>IF(K130=0,0,R130/K130)</x:f>
        <x:v>0.150808528824488480</x:v>
      </x:c>
    </x:row>
    <x:row r="131" s="20" customFormat="1">
      <x:c r="A131" s="20">
        <x:v>253</x:v>
      </x:c>
      <x:c r="B131" s="7"/>
      <x:c r="C131" s="8"/>
      <x:c r="D131" s="21"/>
      <x:c r="E131" s="24" t="s">
        <x:v>147</x:v>
      </x:c>
      <x:c r="F131" s="31">
        <x:v>4980606.00</x:v>
      </x:c>
      <x:c r="G131" s="31">
        <x:v>0.00</x:v>
      </x:c>
      <x:c r="H131" s="31">
        <x:v>102130.00</x:v>
      </x:c>
      <x:c r="I131" s="31">
        <x:v>131444.00</x:v>
      </x:c>
      <x:c r="J131" s="31">
        <x:v>578353.00</x:v>
      </x:c>
      <x:c r="K131" s="33">
        <x:f>SUM(F131:J131)</x:f>
        <x:v>5792533.00</x:v>
      </x:c>
      <x:c r="L131" s="31">
        <x:v>2604067.00</x:v>
      </x:c>
      <x:c r="M131" s="31"/>
      <x:c r="N131" s="31">
        <x:v>4368.992955437035623062751159141615</x:v>
      </x:c>
      <x:c r="O131" s="31">
        <x:v>42906.825006549790035372854908285974</x:v>
      </x:c>
      <x:c r="P131" s="31">
        <x:v>993657.182038013174341564393930490545</x:v>
      </x:c>
      <x:c r="Q131" s="31">
        <x:f>N131+O131+P131</x:f>
        <x:v>1040933.00</x:v>
      </x:c>
      <x:c r="R131" s="19">
        <x:f>SUM(L131:P131)</x:f>
        <x:v>3645000.00</x:v>
      </x:c>
      <x:c r="S131" s="37">
        <x:f>IF(K131=0,0,R131/K131)</x:f>
        <x:v>0.629258391795092060</x:v>
      </x:c>
    </x:row>
    <x:row r="132" s="20" customFormat="1">
      <x:c r="A132" s="20">
        <x:v>254</x:v>
      </x:c>
      <x:c r="B132" s="7"/>
      <x:c r="C132" s="8"/>
      <x:c r="D132" s="21"/>
      <x:c r="E132" s="24" t="s">
        <x:v>148</x:v>
      </x:c>
      <x:c r="F132" s="31">
        <x:v>2403714.00</x:v>
      </x:c>
      <x:c r="G132" s="31">
        <x:v>0.00</x:v>
      </x:c>
      <x:c r="H132" s="31">
        <x:v>49289.00</x:v>
      </x:c>
      <x:c r="I132" s="31">
        <x:v>63437.00</x:v>
      </x:c>
      <x:c r="J132" s="31">
        <x:v>279122.00</x:v>
      </x:c>
      <x:c r="K132" s="33">
        <x:f>SUM(F132:J132)</x:f>
        <x:v>2795562.00</x:v>
      </x:c>
      <x:c r="L132" s="31">
        <x:v>480312.83</x:v>
      </x:c>
      <x:c r="M132" s="31"/>
      <x:c r="N132" s="31">
        <x:v>638.338658052300104608778961353347</x:v>
      </x:c>
      <x:c r="O132" s="31">
        <x:v>6268.969846216220889953827444532667</x:v>
      </x:c>
      <x:c r="P132" s="31">
        <x:v>145179.861495731489005437393593809810</x:v>
      </x:c>
      <x:c r="Q132" s="31">
        <x:f>N132+O132+P132</x:f>
        <x:v>152087.17000000001</x:v>
      </x:c>
      <x:c r="R132" s="19">
        <x:f>SUM(L132:P132)</x:f>
        <x:v>632400.00000000001</x:v>
      </x:c>
      <x:c r="S132" s="37">
        <x:f>IF(K132=0,0,R132/K132)</x:f>
        <x:v>0.226215694733295133</x:v>
      </x:c>
    </x:row>
    <x:row r="133" s="20" customFormat="1">
      <x:c r="A133" s="20">
        <x:v>233</x:v>
      </x:c>
      <x:c r="B133" s="7"/>
      <x:c r="C133" s="8"/>
      <x:c r="D133" s="21"/>
      <x:c r="E133" s="24" t="s">
        <x:v>149</x:v>
      </x:c>
      <x:c r="F133" s="31">
        <x:v>0.00</x:v>
      </x:c>
      <x:c r="G133" s="31">
        <x:v>0.00</x:v>
      </x:c>
      <x:c r="H133" s="31">
        <x:v>0.00</x:v>
      </x:c>
      <x:c r="I133" s="31">
        <x:v>0.00</x:v>
      </x:c>
      <x:c r="J133" s="31">
        <x:v>0.00</x:v>
      </x:c>
      <x:c r="K133" s="33">
        <x:f>SUM(F133:J133)</x:f>
        <x:v>0.00</x:v>
      </x:c>
      <x:c r="L133" s="31"/>
      <x:c r="M133" s="31"/>
      <x:c r="N133" s="31"/>
      <x:c r="O133" s="31"/>
      <x:c r="P133" s="31"/>
      <x:c r="Q133" s="31"/>
      <x:c r="R133" s="19"/>
      <x:c r="S133" s="37"/>
    </x:row>
    <x:row r="134" s="20" customFormat="1">
      <x:c r="A134" s="20">
        <x:v>234</x:v>
      </x:c>
      <x:c r="B134" s="7"/>
      <x:c r="C134" s="8"/>
      <x:c r="D134" s="21"/>
      <x:c r="E134" s="24" t="s">
        <x:v>150</x:v>
      </x:c>
      <x:c r="F134" s="31">
        <x:v>402127.00</x:v>
      </x:c>
      <x:c r="G134" s="31">
        <x:v>0.00</x:v>
      </x:c>
      <x:c r="H134" s="31">
        <x:v>8246.00</x:v>
      </x:c>
      <x:c r="I134" s="31">
        <x:v>10613.00</x:v>
      </x:c>
      <x:c r="J134" s="31">
        <x:v>46695.00</x:v>
      </x:c>
      <x:c r="K134" s="33">
        <x:f>SUM(F134:J134)</x:f>
        <x:v>467681.00</x:v>
      </x:c>
      <x:c r="L134" s="31">
        <x:v>2779450.00</x:v>
      </x:c>
      <x:c r="M134" s="31"/>
      <x:c r="N134" s="31">
        <x:v>5122.879524194807763544090664135250</x:v>
      </x:c>
      <x:c r="O134" s="31">
        <x:v>50310.562986997574510246421295422900</x:v>
      </x:c>
      <x:c r="P134" s="31">
        <x:v>1165116.557488807617726209488038000750</x:v>
      </x:c>
      <x:c r="Q134" s="31">
        <x:f>N134+O134+P134</x:f>
        <x:v>1220550.00</x:v>
      </x:c>
      <x:c r="R134" s="19">
        <x:f>SUM(L134:P134)</x:f>
        <x:v>4000000.00</x:v>
      </x:c>
      <x:c r="S134" s="37">
        <x:f>IF(K134=0,0,R134/K134)</x:f>
        <x:v>8.552838366322343648</x:v>
      </x:c>
    </x:row>
    <x:row r="135" s="20" customFormat="1">
      <x:c r="A135" s="20">
        <x:v>237</x:v>
      </x:c>
      <x:c r="B135" s="7"/>
      <x:c r="C135" s="8"/>
      <x:c r="D135" s="21"/>
      <x:c r="E135" s="24" t="s">
        <x:v>151</x:v>
      </x:c>
      <x:c r="F135" s="31">
        <x:v>0.00</x:v>
      </x:c>
      <x:c r="G135" s="31">
        <x:v>0.00</x:v>
      </x:c>
      <x:c r="H135" s="31">
        <x:v>0.00</x:v>
      </x:c>
      <x:c r="I135" s="31">
        <x:v>0.00</x:v>
      </x:c>
      <x:c r="J135" s="31">
        <x:v>0.00</x:v>
      </x:c>
      <x:c r="K135" s="33">
        <x:f>SUM(F135:J135)</x:f>
        <x:v>0.00</x:v>
      </x:c>
      <x:c r="L135" s="31"/>
      <x:c r="M135" s="31"/>
      <x:c r="N135" s="31"/>
      <x:c r="O135" s="31"/>
      <x:c r="P135" s="31"/>
      <x:c r="Q135" s="31"/>
      <x:c r="R135" s="19"/>
      <x:c r="S135" s="37"/>
    </x:row>
    <x:row r="136" s="20" customFormat="1">
      <x:c r="A136" s="20">
        <x:v>256</x:v>
      </x:c>
      <x:c r="B136" s="7"/>
      <x:c r="C136" s="8"/>
      <x:c r="D136" s="21"/>
      <x:c r="E136" s="24" t="s">
        <x:v>152</x:v>
      </x:c>
      <x:c r="F136" s="31">
        <x:v>194551343.00</x:v>
      </x:c>
      <x:c r="G136" s="31">
        <x:v>0.00</x:v>
      </x:c>
      <x:c r="H136" s="31">
        <x:v>3989369.00</x:v>
      </x:c>
      <x:c r="I136" s="31">
        <x:v>5134423.00</x:v>
      </x:c>
      <x:c r="J136" s="31">
        <x:v>22591510.00</x:v>
      </x:c>
      <x:c r="K136" s="33">
        <x:f>SUM(F136:J136)</x:f>
        <x:v>226266645.00</x:v>
      </x:c>
      <x:c r="L136" s="31">
        <x:v>104289248.80</x:v>
      </x:c>
      <x:c r="M136" s="31"/>
      <x:c r="N136" s="31">
        <x:v>190414.420137122056172091617932211889</x:v>
      </x:c>
      <x:c r="O136" s="31">
        <x:v>1870014.048289964291025281610946937394</x:v>
      </x:c>
      <x:c r="P136" s="31">
        <x:v>43306697.461572913652802626771030116464</x:v>
      </x:c>
      <x:c r="Q136" s="31">
        <x:f>N136+O136+P136</x:f>
        <x:v>45367125.93</x:v>
      </x:c>
      <x:c r="R136" s="19">
        <x:f>SUM(L136:P136)</x:f>
        <x:v>149656374.73</x:v>
      </x:c>
      <x:c r="S136" s="37">
        <x:f>IF(K136=0,0,R136/K136)</x:f>
        <x:v>0.661415979938183111</x:v>
      </x:c>
    </x:row>
    <x:row r="137" s="20" customFormat="1">
      <x:c r="A137" s="20">
        <x:v>261</x:v>
      </x:c>
      <x:c r="B137" s="7"/>
      <x:c r="C137" s="8"/>
      <x:c r="D137" s="21"/>
      <x:c r="E137" s="24" t="s">
        <x:v>153</x:v>
      </x:c>
      <x:c r="F137" s="31">
        <x:v>0.00</x:v>
      </x:c>
      <x:c r="G137" s="31">
        <x:v>0.00</x:v>
      </x:c>
      <x:c r="H137" s="31">
        <x:v>0.00</x:v>
      </x:c>
      <x:c r="I137" s="31">
        <x:v>0.00</x:v>
      </x:c>
      <x:c r="J137" s="31">
        <x:v>0.00</x:v>
      </x:c>
      <x:c r="K137" s="33">
        <x:f>SUM(F137:J137)</x:f>
        <x:v>0.00</x:v>
      </x:c>
      <x:c r="L137" s="31"/>
      <x:c r="M137" s="31"/>
      <x:c r="N137" s="31"/>
      <x:c r="O137" s="31"/>
      <x:c r="P137" s="31"/>
      <x:c r="Q137" s="31"/>
      <x:c r="R137" s="19"/>
      <x:c r="S137" s="37"/>
    </x:row>
    <x:row r="138" s="20" customFormat="1">
      <x:c r="A138" s="20">
        <x:v>227</x:v>
      </x:c>
      <x:c r="B138" s="7"/>
      <x:c r="C138" s="8"/>
      <x:c r="D138" s="21"/>
      <x:c r="E138" s="24" t="s">
        <x:v>154</x:v>
      </x:c>
      <x:c r="F138" s="31">
        <x:v>59115868.00</x:v>
      </x:c>
      <x:c r="G138" s="31">
        <x:v>0.00</x:v>
      </x:c>
      <x:c r="H138" s="31">
        <x:v>1212199.00</x:v>
      </x:c>
      <x:c r="I138" s="31">
        <x:v>1560133.00</x:v>
      </x:c>
      <x:c r="J138" s="31">
        <x:v>6864598.00</x:v>
      </x:c>
      <x:c r="K138" s="33">
        <x:f>SUM(F138:J138)</x:f>
        <x:v>68752798.00</x:v>
      </x:c>
      <x:c r="L138" s="31"/>
      <x:c r="M138" s="31"/>
      <x:c r="N138" s="31"/>
      <x:c r="O138" s="31"/>
      <x:c r="P138" s="31"/>
      <x:c r="Q138" s="31"/>
      <x:c r="R138" s="19"/>
      <x:c r="S138" s="37"/>
    </x:row>
    <x:row r="139" s="20" customFormat="1">
      <x:c r="A139" s="20">
        <x:v>226</x:v>
      </x:c>
      <x:c r="B139" s="7"/>
      <x:c r="C139" s="8"/>
      <x:c r="D139" s="21"/>
      <x:c r="E139" s="24" t="s">
        <x:v>155</x:v>
      </x:c>
      <x:c r="F139" s="31">
        <x:v>69301.00</x:v>
      </x:c>
      <x:c r="G139" s="31">
        <x:v>0.00</x:v>
      </x:c>
      <x:c r="H139" s="31">
        <x:v>1421.00</x:v>
      </x:c>
      <x:c r="I139" s="31">
        <x:v>1829.00</x:v>
      </x:c>
      <x:c r="J139" s="31">
        <x:v>8047.00</x:v>
      </x:c>
      <x:c r="K139" s="33">
        <x:f>SUM(F139:J139)</x:f>
        <x:v>80598.00</x:v>
      </x:c>
      <x:c r="L139" s="31"/>
      <x:c r="M139" s="31"/>
      <x:c r="N139" s="31"/>
      <x:c r="O139" s="31"/>
      <x:c r="P139" s="31"/>
      <x:c r="Q139" s="31"/>
      <x:c r="R139" s="19"/>
      <x:c r="S139" s="37"/>
    </x:row>
    <x:row r="140" s="20" customFormat="1">
      <x:c r="A140" s="20">
        <x:v>228</x:v>
      </x:c>
      <x:c r="B140" s="7"/>
      <x:c r="C140" s="8"/>
      <x:c r="D140" s="21"/>
      <x:c r="E140" s="24" t="s">
        <x:v>156</x:v>
      </x:c>
      <x:c r="F140" s="31">
        <x:v>371039.00</x:v>
      </x:c>
      <x:c r="G140" s="31">
        <x:v>0.00</x:v>
      </x:c>
      <x:c r="H140" s="31">
        <x:v>7608.00</x:v>
      </x:c>
      <x:c r="I140" s="31">
        <x:v>9792.00</x:v>
      </x:c>
      <x:c r="J140" s="31">
        <x:v>43085.00</x:v>
      </x:c>
      <x:c r="K140" s="33">
        <x:f>SUM(F140:J140)</x:f>
        <x:v>431524.00</x:v>
      </x:c>
      <x:c r="L140" s="31"/>
      <x:c r="M140" s="31"/>
      <x:c r="N140" s="31"/>
      <x:c r="O140" s="31"/>
      <x:c r="P140" s="31"/>
      <x:c r="Q140" s="31"/>
      <x:c r="R140" s="19"/>
      <x:c r="S140" s="37"/>
    </x:row>
    <x:row r="141" s="20" customFormat="1">
      <x:c r="A141" s="20">
        <x:v>260</x:v>
      </x:c>
      <x:c r="B141" s="7"/>
      <x:c r="C141" s="8"/>
      <x:c r="D141" s="21"/>
      <x:c r="E141" s="24" t="s">
        <x:v>157</x:v>
      </x:c>
      <x:c r="F141" s="31">
        <x:v>0.00</x:v>
      </x:c>
      <x:c r="G141" s="31">
        <x:v>0.00</x:v>
      </x:c>
      <x:c r="H141" s="31">
        <x:v>0.00</x:v>
      </x:c>
      <x:c r="I141" s="31">
        <x:v>0.00</x:v>
      </x:c>
      <x:c r="J141" s="31">
        <x:v>0.00</x:v>
      </x:c>
      <x:c r="K141" s="33">
        <x:f>SUM(F141:J141)</x:f>
        <x:v>0.00</x:v>
      </x:c>
      <x:c r="L141" s="31"/>
      <x:c r="M141" s="31"/>
      <x:c r="N141" s="31"/>
      <x:c r="O141" s="31"/>
      <x:c r="P141" s="31"/>
      <x:c r="Q141" s="31"/>
      <x:c r="R141" s="19"/>
      <x:c r="S141" s="37"/>
    </x:row>
    <x:row r="142" s="20" customFormat="1">
      <x:c r="A142" s="20">
        <x:v>238</x:v>
      </x:c>
      <x:c r="B142" s="7"/>
      <x:c r="C142" s="8"/>
      <x:c r="D142" s="21"/>
      <x:c r="E142" s="24" t="s">
        <x:v>158</x:v>
      </x:c>
      <x:c r="F142" s="31">
        <x:v>0.00</x:v>
      </x:c>
      <x:c r="G142" s="31">
        <x:v>0.00</x:v>
      </x:c>
      <x:c r="H142" s="31">
        <x:v>0.00</x:v>
      </x:c>
      <x:c r="I142" s="31">
        <x:v>0.00</x:v>
      </x:c>
      <x:c r="J142" s="31">
        <x:v>0.00</x:v>
      </x:c>
      <x:c r="K142" s="33">
        <x:f>SUM(F142:J142)</x:f>
        <x:v>0.00</x:v>
      </x:c>
      <x:c r="L142" s="31"/>
      <x:c r="M142" s="31"/>
      <x:c r="N142" s="31"/>
      <x:c r="O142" s="31"/>
      <x:c r="P142" s="31"/>
      <x:c r="Q142" s="31"/>
      <x:c r="R142" s="19"/>
      <x:c r="S142" s="37"/>
    </x:row>
    <x:row r="143" s="23" customFormat="1">
      <x:c r="B143" s="12">
        <x:v>22</x:v>
      </x:c>
      <x:c r="C143" s="8" t="s">
        <x:v>34</x:v>
      </x:c>
      <x:c r="D143" s="14"/>
      <x:c r="E143" s="15" t="s">
        <x:v>159</x:v>
      </x:c>
      <x:c r="F143" s="32">
        <x:f>SUM(F56:F142)</x:f>
        <x:v>2692748604.00</x:v>
      </x:c>
      <x:c r="G143" s="32">
        <x:f>SUM(G56:G142)</x:f>
        <x:v>0.00</x:v>
      </x:c>
      <x:c r="H143" s="32">
        <x:f>SUM(H56:H142)</x:f>
        <x:v>55216112.00</x:v>
      </x:c>
      <x:c r="I143" s="32">
        <x:f>SUM(I56:I142)</x:f>
        <x:v>71064592.00</x:v>
      </x:c>
      <x:c r="J143" s="32">
        <x:f>SUM(J56:J142)</x:f>
        <x:v>312684852.00</x:v>
      </x:c>
      <x:c r="K143" s="32">
        <x:f>SUM(K56:K142)</x:f>
        <x:v>3131714160.00</x:v>
      </x:c>
      <x:c r="L143" s="32">
        <x:f>SUM(L56:L142)</x:f>
        <x:v>1328223685.7400000309</x:v>
      </x:c>
      <x:c r="M143" s="32"/>
      <x:c r="N143" s="32">
        <x:f>SUM(N56:N142)</x:f>
        <x:v>2621674.961571065710054105942362184980</x:v>
      </x:c>
      <x:c r="O143" s="32">
        <x:f>SUM(O56:O142)</x:f>
        <x:v>25746836.844906420120713668479555925898</x:v>
      </x:c>
      <x:c r="P143" s="32">
        <x:f>SUM(P56:P142)</x:f>
        <x:v>596257806.113522499779232225576832636447</x:v>
      </x:c>
      <x:c r="Q143" s="32">
        <x:f>SUM(Q56:Q142)</x:f>
        <x:v>624626317.91999998561</x:v>
      </x:c>
      <x:c r="R143" s="16">
        <x:f>SUM(R56:R142)</x:f>
        <x:v>1952850003.66000001651</x:v>
      </x:c>
      <x:c r="S143" s="37">
        <x:f>IF(K143=0,0,R143/K143)</x:f>
        <x:v>0.623572236765056494</x:v>
      </x:c>
    </x:row>
    <x:row r="144" s="20" customFormat="1">
      <x:c r="B144" s="7"/>
      <x:c r="C144" s="8" t="s">
        <x:v>36</x:v>
      </x:c>
      <x:c r="D144" s="21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19"/>
      <x:c r="S144" s="19"/>
    </x:row>
    <x:row r="145" s="20" customFormat="1">
      <x:c r="B145" s="7"/>
      <x:c r="C145" s="8" t="s">
        <x:v>29</x:v>
      </x:c>
      <x:c r="D145" s="21"/>
      <x:c r="E145" s="22" t="s">
        <x:v>160</x:v>
      </x:c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19"/>
      <x:c r="S145" s="19"/>
    </x:row>
    <x:row r="146" s="20" customFormat="1">
      <x:c r="A146" s="20">
        <x:v>269</x:v>
      </x:c>
      <x:c r="B146" s="7"/>
      <x:c r="C146" s="8"/>
      <x:c r="D146" s="21"/>
      <x:c r="E146" s="24" t="s">
        <x:v>161</x:v>
      </x:c>
      <x:c r="F146" s="31">
        <x:v>82754010.00</x:v>
      </x:c>
      <x:c r="G146" s="31">
        <x:v>0.00</x:v>
      </x:c>
      <x:c r="H146" s="31">
        <x:v>1696911.00</x:v>
      </x:c>
      <x:c r="I146" s="31">
        <x:v>2183969.00</x:v>
      </x:c>
      <x:c r="J146" s="31">
        <x:v>9609484.00</x:v>
      </x:c>
      <x:c r="K146" s="33">
        <x:f>SUM(F146:J146)</x:f>
        <x:v>96244374.00</x:v>
      </x:c>
      <x:c r="L146" s="31">
        <x:v>78159690.879999995</x:v>
      </x:c>
      <x:c r="M146" s="31"/>
      <x:c r="N146" s="31">
        <x:v>144058.241754808120488543480144366320</x:v>
      </x:c>
      <x:c r="O146" s="31">
        <x:v>1414761.212199412924638428957399829947</x:v>
      </x:c>
      <x:c r="P146" s="31">
        <x:v>32763730.226045778954873027562387158633</x:v>
      </x:c>
      <x:c r="Q146" s="31">
        <x:f>N146+O146+P146</x:f>
        <x:v>34322549.68</x:v>
      </x:c>
      <x:c r="R146" s="19">
        <x:f>SUM(L146:P146)</x:f>
        <x:v>112482240.559999995</x:v>
      </x:c>
      <x:c r="S146" s="37">
        <x:f>IF(K146=0,0,R146/K146)</x:f>
        <x:v>1.168714968835477022</x:v>
      </x:c>
    </x:row>
    <x:row r="147" s="20" customFormat="1">
      <x:c r="A147" s="20">
        <x:v>270</x:v>
      </x:c>
      <x:c r="B147" s="7"/>
      <x:c r="C147" s="8"/>
      <x:c r="D147" s="21"/>
      <x:c r="E147" s="24" t="s">
        <x:v>162</x:v>
      </x:c>
      <x:c r="F147" s="31">
        <x:v>0.00</x:v>
      </x:c>
      <x:c r="G147" s="31">
        <x:v>0.00</x:v>
      </x:c>
      <x:c r="H147" s="31">
        <x:v>0.00</x:v>
      </x:c>
      <x:c r="I147" s="31">
        <x:v>0.00</x:v>
      </x:c>
      <x:c r="J147" s="31">
        <x:v>0.00</x:v>
      </x:c>
      <x:c r="K147" s="33">
        <x:f>SUM(F147:J147)</x:f>
        <x:v>0.00</x:v>
      </x:c>
      <x:c r="L147" s="31"/>
      <x:c r="M147" s="31"/>
      <x:c r="N147" s="31"/>
      <x:c r="O147" s="31"/>
      <x:c r="P147" s="31"/>
      <x:c r="Q147" s="31"/>
      <x:c r="R147" s="19"/>
      <x:c r="S147" s="37"/>
    </x:row>
    <x:row r="148" s="20" customFormat="1">
      <x:c r="A148" s="20">
        <x:v>271</x:v>
      </x:c>
      <x:c r="B148" s="7"/>
      <x:c r="C148" s="8"/>
      <x:c r="D148" s="21"/>
      <x:c r="E148" s="24" t="s">
        <x:v>163</x:v>
      </x:c>
      <x:c r="F148" s="31">
        <x:v>0.00</x:v>
      </x:c>
      <x:c r="G148" s="31">
        <x:v>0.00</x:v>
      </x:c>
      <x:c r="H148" s="31">
        <x:v>0.00</x:v>
      </x:c>
      <x:c r="I148" s="31">
        <x:v>0.00</x:v>
      </x:c>
      <x:c r="J148" s="31">
        <x:v>0.00</x:v>
      </x:c>
      <x:c r="K148" s="33">
        <x:f>SUM(F148:J148)</x:f>
        <x:v>0.00</x:v>
      </x:c>
      <x:c r="L148" s="31">
        <x:v>1097900.6000000001</x:v>
      </x:c>
      <x:c r="M148" s="31"/>
      <x:c r="N148" s="31">
        <x:v>1687.547405798763696649530268822779</x:v>
      </x:c>
      <x:c r="O148" s="31">
        <x:v>16572.995646687105004212206168817976</x:v>
      </x:c>
      <x:c r="P148" s="31">
        <x:v>383805.516947514131299138263561555111</x:v>
      </x:c>
      <x:c r="Q148" s="31">
        <x:f>N148+O148+P148</x:f>
        <x:v>402066.06</x:v>
      </x:c>
      <x:c r="R148" s="19">
        <x:f>SUM(L148:P148)</x:f>
        <x:v>1499966.6600000001</x:v>
      </x:c>
      <x:c r="S148" s="37">
        <x:v>0.00</x:v>
      </x:c>
    </x:row>
    <x:row r="149" s="20" customFormat="1">
      <x:c r="A149" s="20">
        <x:v>272</x:v>
      </x:c>
      <x:c r="B149" s="7"/>
      <x:c r="C149" s="8"/>
      <x:c r="D149" s="21"/>
      <x:c r="E149" s="24" t="s">
        <x:v>164</x:v>
      </x:c>
      <x:c r="F149" s="31">
        <x:v>216677709.00</x:v>
      </x:c>
      <x:c r="G149" s="31">
        <x:v>0.00</x:v>
      </x:c>
      <x:c r="H149" s="31">
        <x:v>4443081.00</x:v>
      </x:c>
      <x:c r="I149" s="31">
        <x:v>5718362.00</x:v>
      </x:c>
      <x:c r="J149" s="31">
        <x:v>25160848.00</x:v>
      </x:c>
      <x:c r="K149" s="33">
        <x:f>SUM(F149:J149)</x:f>
        <x:v>252000000.00</x:v>
      </x:c>
      <x:c r="L149" s="31">
        <x:v>106817533.95</x:v>
      </x:c>
      <x:c r="M149" s="31"/>
      <x:c r="N149" s="31">
        <x:v>189620.961459359978841239047976209484</x:v>
      </x:c>
      <x:c r="O149" s="31">
        <x:v>1862221.682180905117723218286078572023</x:v>
      </x:c>
      <x:c r="P149" s="31">
        <x:v>43126238.046359732903435542665854862330</x:v>
      </x:c>
      <x:c r="Q149" s="31">
        <x:f>N149+O149+P149</x:f>
        <x:v>45178080.689999998</x:v>
      </x:c>
      <x:c r="R149" s="19">
        <x:f>SUM(L149:P149)</x:f>
        <x:v>151995614.639999998</x:v>
      </x:c>
      <x:c r="S149" s="37">
        <x:f>IF(K149=0,0,R149/K149)</x:f>
        <x:v>0.603157200952380944</x:v>
      </x:c>
    </x:row>
    <x:row r="150" s="20" customFormat="1">
      <x:c r="A150" s="20">
        <x:v>273</x:v>
      </x:c>
      <x:c r="B150" s="7"/>
      <x:c r="C150" s="8"/>
      <x:c r="D150" s="21"/>
      <x:c r="E150" s="24" t="s">
        <x:v>165</x:v>
      </x:c>
      <x:c r="F150" s="31">
        <x:v>0.00</x:v>
      </x:c>
      <x:c r="G150" s="31">
        <x:v>0.00</x:v>
      </x:c>
      <x:c r="H150" s="31">
        <x:v>0.00</x:v>
      </x:c>
      <x:c r="I150" s="31">
        <x:v>0.00</x:v>
      </x:c>
      <x:c r="J150" s="31">
        <x:v>0.00</x:v>
      </x:c>
      <x:c r="K150" s="33">
        <x:f>SUM(F150:J150)</x:f>
        <x:v>0.00</x:v>
      </x:c>
      <x:c r="L150" s="31">
        <x:v>34136572.369999997</x:v>
      </x:c>
      <x:c r="M150" s="31"/>
      <x:c r="N150" s="31">
        <x:v>65348.023329516303763411306505884550</x:v>
      </x:c>
      <x:c r="O150" s="31">
        <x:v>641767.160103606553327897733471649995</x:v>
      </x:c>
      <x:c r="P150" s="31">
        <x:v>14862356.926566876142908690959991326509</x:v>
      </x:c>
      <x:c r="Q150" s="31">
        <x:f>N150+O150+P150</x:f>
        <x:v>15569472.109999999</x:v>
      </x:c>
      <x:c r="R150" s="19">
        <x:f>SUM(L150:P150)</x:f>
        <x:v>49706044.479999996</x:v>
      </x:c>
      <x:c r="S150" s="37">
        <x:v>0.00</x:v>
      </x:c>
    </x:row>
    <x:row r="151" s="20" customFormat="1">
      <x:c r="A151" s="20">
        <x:v>265</x:v>
      </x:c>
      <x:c r="B151" s="7"/>
      <x:c r="C151" s="8"/>
      <x:c r="D151" s="21"/>
      <x:c r="E151" s="24" t="s">
        <x:v>166</x:v>
      </x:c>
      <x:c r="F151" s="31">
        <x:v>0.00</x:v>
      </x:c>
      <x:c r="G151" s="31">
        <x:v>0.00</x:v>
      </x:c>
      <x:c r="H151" s="31">
        <x:v>0.00</x:v>
      </x:c>
      <x:c r="I151" s="31">
        <x:v>0.00</x:v>
      </x:c>
      <x:c r="J151" s="31">
        <x:v>0.00</x:v>
      </x:c>
      <x:c r="K151" s="33">
        <x:f>SUM(F151:J151)</x:f>
        <x:v>0.00</x:v>
      </x:c>
      <x:c r="L151" s="31"/>
      <x:c r="M151" s="31"/>
      <x:c r="N151" s="31"/>
      <x:c r="O151" s="31"/>
      <x:c r="P151" s="31"/>
      <x:c r="Q151" s="31"/>
      <x:c r="R151" s="19"/>
      <x:c r="S151" s="37"/>
    </x:row>
    <x:row r="152" s="20" customFormat="1">
      <x:c r="A152" s="20">
        <x:v>266</x:v>
      </x:c>
      <x:c r="B152" s="7"/>
      <x:c r="C152" s="8"/>
      <x:c r="D152" s="21"/>
      <x:c r="E152" s="24" t="s">
        <x:v>167</x:v>
      </x:c>
      <x:c r="F152" s="31">
        <x:v>16703372.00</x:v>
      </x:c>
      <x:c r="G152" s="31">
        <x:v>0.00</x:v>
      </x:c>
      <x:c r="H152" s="31">
        <x:v>342511.00</x:v>
      </x:c>
      <x:c r="I152" s="31">
        <x:v>440820.00</x:v>
      </x:c>
      <x:c r="J152" s="31">
        <x:v>1939613.00</x:v>
      </x:c>
      <x:c r="K152" s="33">
        <x:f>SUM(F152:J152)</x:f>
        <x:v>19426316.00</x:v>
      </x:c>
      <x:c r="L152" s="31"/>
      <x:c r="M152" s="31"/>
      <x:c r="N152" s="31"/>
      <x:c r="O152" s="31"/>
      <x:c r="P152" s="31"/>
      <x:c r="Q152" s="31"/>
      <x:c r="R152" s="19"/>
      <x:c r="S152" s="37"/>
    </x:row>
    <x:row r="153" s="20" customFormat="1">
      <x:c r="A153" s="20">
        <x:v>267</x:v>
      </x:c>
      <x:c r="B153" s="7"/>
      <x:c r="C153" s="8"/>
      <x:c r="D153" s="21"/>
      <x:c r="E153" s="24" t="s">
        <x:v>168</x:v>
      </x:c>
      <x:c r="F153" s="31">
        <x:v>41471451.00</x:v>
      </x:c>
      <x:c r="G153" s="31">
        <x:v>0.00</x:v>
      </x:c>
      <x:c r="H153" s="31">
        <x:v>850392.00</x:v>
      </x:c>
      <x:c r="I153" s="31">
        <x:v>1094477.00</x:v>
      </x:c>
      <x:c r="J153" s="31">
        <x:v>4815709.00</x:v>
      </x:c>
      <x:c r="K153" s="33">
        <x:f>SUM(F153:J153)</x:f>
        <x:v>48232029.00</x:v>
      </x:c>
      <x:c r="L153" s="31">
        <x:v>4366402.3899999997</x:v>
      </x:c>
      <x:c r="M153" s="31"/>
      <x:c r="N153" s="31">
        <x:v>8127.639735985831155804143280388996</x:v>
      </x:c>
      <x:c r="O153" s="31">
        <x:v>79819.587585794262385650181284315025</x:v>
      </x:c>
      <x:c r="P153" s="31">
        <x:v>1848500.942678219906458545675431423082</x:v>
      </x:c>
      <x:c r="Q153" s="31">
        <x:f>N153+O153+P153</x:f>
        <x:v>1936448.17</x:v>
      </x:c>
      <x:c r="R153" s="19">
        <x:f>SUM(L153:P153)</x:f>
        <x:v>6302850.5599999997</x:v>
      </x:c>
      <x:c r="S153" s="37">
        <x:f>IF(K153=0,0,R153/K153)</x:f>
        <x:v>0.130677698837840715</x:v>
      </x:c>
    </x:row>
    <x:row r="154" s="20" customFormat="1">
      <x:c r="A154" s="20">
        <x:v>268</x:v>
      </x:c>
      <x:c r="B154" s="7"/>
      <x:c r="C154" s="8"/>
      <x:c r="D154" s="21"/>
      <x:c r="E154" s="24" t="s">
        <x:v>169</x:v>
      </x:c>
      <x:c r="F154" s="31">
        <x:v>0.00</x:v>
      </x:c>
      <x:c r="G154" s="31">
        <x:v>0.00</x:v>
      </x:c>
      <x:c r="H154" s="31">
        <x:v>0.00</x:v>
      </x:c>
      <x:c r="I154" s="31">
        <x:v>0.00</x:v>
      </x:c>
      <x:c r="J154" s="31">
        <x:v>0.00</x:v>
      </x:c>
      <x:c r="K154" s="33">
        <x:f>SUM(F154:J154)</x:f>
        <x:v>0.00</x:v>
      </x:c>
      <x:c r="L154" s="31"/>
      <x:c r="M154" s="31"/>
      <x:c r="N154" s="31"/>
      <x:c r="O154" s="31"/>
      <x:c r="P154" s="31"/>
      <x:c r="Q154" s="31"/>
      <x:c r="R154" s="19"/>
      <x:c r="S154" s="37"/>
    </x:row>
    <x:row r="155" s="20" customFormat="1">
      <x:c r="A155" s="20">
        <x:v>274</x:v>
      </x:c>
      <x:c r="B155" s="7"/>
      <x:c r="C155" s="8"/>
      <x:c r="D155" s="21"/>
      <x:c r="E155" s="24" t="s">
        <x:v>170</x:v>
      </x:c>
      <x:c r="F155" s="31">
        <x:v>0.00</x:v>
      </x:c>
      <x:c r="G155" s="31">
        <x:v>0.00</x:v>
      </x:c>
      <x:c r="H155" s="31">
        <x:v>0.00</x:v>
      </x:c>
      <x:c r="I155" s="31">
        <x:v>0.00</x:v>
      </x:c>
      <x:c r="J155" s="31">
        <x:v>0.00</x:v>
      </x:c>
      <x:c r="K155" s="33">
        <x:f>SUM(F155:J155)</x:f>
        <x:v>0.00</x:v>
      </x:c>
      <x:c r="L155" s="31"/>
      <x:c r="M155" s="31"/>
      <x:c r="N155" s="31"/>
      <x:c r="O155" s="31"/>
      <x:c r="P155" s="31"/>
      <x:c r="Q155" s="31"/>
      <x:c r="R155" s="19"/>
      <x:c r="S155" s="37"/>
    </x:row>
    <x:row r="156" s="20" customFormat="1">
      <x:c r="A156" s="20">
        <x:v>275</x:v>
      </x:c>
      <x:c r="B156" s="7"/>
      <x:c r="C156" s="8"/>
      <x:c r="D156" s="21"/>
      <x:c r="E156" s="24" t="s">
        <x:v>171</x:v>
      </x:c>
      <x:c r="F156" s="31">
        <x:v>26832842.00</x:v>
      </x:c>
      <x:c r="G156" s="31">
        <x:v>0.00</x:v>
      </x:c>
      <x:c r="H156" s="31">
        <x:v>550220.00</x:v>
      </x:c>
      <x:c r="I156" s="31">
        <x:v>708148.00</x:v>
      </x:c>
      <x:c r="J156" s="31">
        <x:v>3115858.00</x:v>
      </x:c>
      <x:c r="K156" s="33">
        <x:f>SUM(F156:J156)</x:f>
        <x:v>31207068.00</x:v>
      </x:c>
      <x:c r="L156" s="31">
        <x:v>15434849.17</x:v>
      </x:c>
      <x:c r="M156" s="31"/>
      <x:c r="N156" s="31">
        <x:v>28360.120985732121161308604433102056</x:v>
      </x:c>
      <x:c r="O156" s="31">
        <x:v>278517.901198507703452445213220918401</x:v>
      </x:c>
      <x:c r="P156" s="31">
        <x:v>6450053.407815759875386246182332465678</x:v>
      </x:c>
      <x:c r="Q156" s="31">
        <x:f>N156+O156+P156</x:f>
        <x:v>6756931.4299999997</x:v>
      </x:c>
      <x:c r="R156" s="19">
        <x:f>SUM(L156:P156)</x:f>
        <x:v>22191780.5999999997</x:v>
      </x:c>
      <x:c r="S156" s="37">
        <x:f>IF(K156=0,0,R156/K156)</x:f>
        <x:v>0.711113924576317124</x:v>
      </x:c>
    </x:row>
    <x:row r="157" s="20" customFormat="1">
      <x:c r="A157" s="20">
        <x:v>276</x:v>
      </x:c>
      <x:c r="B157" s="7"/>
      <x:c r="C157" s="8"/>
      <x:c r="D157" s="21"/>
      <x:c r="E157" s="24" t="s">
        <x:v>172</x:v>
      </x:c>
      <x:c r="F157" s="31">
        <x:v>118389049.00</x:v>
      </x:c>
      <x:c r="G157" s="31">
        <x:v>0.00</x:v>
      </x:c>
      <x:c r="H157" s="31">
        <x:v>2427625.00</x:v>
      </x:c>
      <x:c r="I157" s="31">
        <x:v>3124417.00</x:v>
      </x:c>
      <x:c r="J157" s="31">
        <x:v>13747463.00</x:v>
      </x:c>
      <x:c r="K157" s="33">
        <x:f>SUM(F157:J157)</x:f>
        <x:v>137688554.00</x:v>
      </x:c>
      <x:c r="L157" s="31">
        <x:v>64125453.350000001</x:v>
      </x:c>
      <x:c r="M157" s="31"/>
      <x:c r="N157" s="31">
        <x:v>117302.447520603599166749807753437789</x:v>
      </x:c>
      <x:c r="O157" s="31">
        <x:v>1151999.016694011656442378599832239527</x:v>
      </x:c>
      <x:c r="P157" s="31">
        <x:v>26678555.135785385744390871592358426969</x:v>
      </x:c>
      <x:c r="Q157" s="31">
        <x:f>N157+O157+P157</x:f>
        <x:v>27947856.600000001</x:v>
      </x:c>
      <x:c r="R157" s="19">
        <x:f>SUM(L157:P157)</x:f>
        <x:v>92073309.950000002</x:v>
      </x:c>
      <x:c r="S157" s="37">
        <x:f>IF(K157=0,0,R157/K157)</x:f>
        <x:v>0.668707073138410633</x:v>
      </x:c>
    </x:row>
    <x:row r="158" s="20" customFormat="1">
      <x:c r="A158" s="20">
        <x:v>277</x:v>
      </x:c>
      <x:c r="B158" s="7"/>
      <x:c r="C158" s="8"/>
      <x:c r="D158" s="21"/>
      <x:c r="E158" s="24" t="s">
        <x:v>173</x:v>
      </x:c>
      <x:c r="F158" s="31">
        <x:v>0.00</x:v>
      </x:c>
      <x:c r="G158" s="31">
        <x:v>0.00</x:v>
      </x:c>
      <x:c r="H158" s="31">
        <x:v>0.00</x:v>
      </x:c>
      <x:c r="I158" s="31">
        <x:v>0.00</x:v>
      </x:c>
      <x:c r="J158" s="31">
        <x:v>0.00</x:v>
      </x:c>
      <x:c r="K158" s="33">
        <x:f>SUM(F158:J158)</x:f>
        <x:v>0.00</x:v>
      </x:c>
      <x:c r="L158" s="31"/>
      <x:c r="M158" s="31"/>
      <x:c r="N158" s="31"/>
      <x:c r="O158" s="31"/>
      <x:c r="P158" s="31"/>
      <x:c r="Q158" s="31"/>
      <x:c r="R158" s="19"/>
      <x:c r="S158" s="37"/>
    </x:row>
    <x:row r="159" s="20" customFormat="1">
      <x:c r="A159" s="20">
        <x:v>278</x:v>
      </x:c>
      <x:c r="B159" s="7"/>
      <x:c r="C159" s="8"/>
      <x:c r="D159" s="21"/>
      <x:c r="E159" s="24" t="s">
        <x:v>174</x:v>
      </x:c>
      <x:c r="F159" s="31">
        <x:v>0.00</x:v>
      </x:c>
      <x:c r="G159" s="31">
        <x:v>0.00</x:v>
      </x:c>
      <x:c r="H159" s="31">
        <x:v>0.00</x:v>
      </x:c>
      <x:c r="I159" s="31">
        <x:v>0.00</x:v>
      </x:c>
      <x:c r="J159" s="31">
        <x:v>0.00</x:v>
      </x:c>
      <x:c r="K159" s="33">
        <x:f>SUM(F159:J159)</x:f>
        <x:v>0.00</x:v>
      </x:c>
      <x:c r="L159" s="31"/>
      <x:c r="M159" s="31"/>
      <x:c r="N159" s="31"/>
      <x:c r="O159" s="31"/>
      <x:c r="P159" s="31"/>
      <x:c r="Q159" s="31"/>
      <x:c r="R159" s="19"/>
      <x:c r="S159" s="37"/>
    </x:row>
    <x:row r="160" s="20" customFormat="1">
      <x:c r="A160" s="20">
        <x:v>279</x:v>
      </x:c>
      <x:c r="B160" s="7"/>
      <x:c r="C160" s="8"/>
      <x:c r="D160" s="21"/>
      <x:c r="E160" s="24" t="s">
        <x:v>175</x:v>
      </x:c>
      <x:c r="F160" s="31">
        <x:v>0.00</x:v>
      </x:c>
      <x:c r="G160" s="31">
        <x:v>0.00</x:v>
      </x:c>
      <x:c r="H160" s="31">
        <x:v>0.00</x:v>
      </x:c>
      <x:c r="I160" s="31">
        <x:v>0.00</x:v>
      </x:c>
      <x:c r="J160" s="31">
        <x:v>0.00</x:v>
      </x:c>
      <x:c r="K160" s="33">
        <x:f>SUM(F160:J160)</x:f>
        <x:v>0.00</x:v>
      </x:c>
      <x:c r="L160" s="31"/>
      <x:c r="M160" s="31"/>
      <x:c r="N160" s="31"/>
      <x:c r="O160" s="31"/>
      <x:c r="P160" s="31"/>
      <x:c r="Q160" s="31"/>
      <x:c r="R160" s="19"/>
      <x:c r="S160" s="37"/>
    </x:row>
    <x:row r="161" s="23" customFormat="1">
      <x:c r="B161" s="12">
        <x:v>23</x:v>
      </x:c>
      <x:c r="C161" s="8" t="s">
        <x:v>34</x:v>
      </x:c>
      <x:c r="D161" s="14"/>
      <x:c r="E161" s="15" t="s">
        <x:v>176</x:v>
      </x:c>
      <x:c r="F161" s="32">
        <x:f>SUM(F146:F160)</x:f>
        <x:v>502828433.00</x:v>
      </x:c>
      <x:c r="G161" s="32">
        <x:f>SUM(G146:G160)</x:f>
        <x:v>0.00</x:v>
      </x:c>
      <x:c r="H161" s="32">
        <x:f>SUM(H146:H160)</x:f>
        <x:v>10310740.00</x:v>
      </x:c>
      <x:c r="I161" s="32">
        <x:f>SUM(I146:I160)</x:f>
        <x:v>13270193.00</x:v>
      </x:c>
      <x:c r="J161" s="32">
        <x:f>SUM(J146:J160)</x:f>
        <x:v>58388975.00</x:v>
      </x:c>
      <x:c r="K161" s="32">
        <x:f>SUM(K146:K160)</x:f>
        <x:v>584798341.00</x:v>
      </x:c>
      <x:c r="L161" s="32">
        <x:f>SUM(L146:L160)</x:f>
        <x:v>304138402.7099999928</x:v>
      </x:c>
      <x:c r="M161" s="32"/>
      <x:c r="N161" s="32">
        <x:f>SUM(N146:N160)</x:f>
        <x:v>554504.982191804718273705920362211974</x:v>
      </x:c>
      <x:c r="O161" s="32">
        <x:f>SUM(O146:O160)</x:f>
        <x:v>5445659.555608925322974231177456342894</x:v>
      </x:c>
      <x:c r="P161" s="32">
        <x:f>SUM(P146:P160)</x:f>
        <x:v>126113240.202199267658752062901917218312</x:v>
      </x:c>
      <x:c r="Q161" s="32">
        <x:f>SUM(Q146:Q160)</x:f>
        <x:v>132113404.7399999977</x:v>
      </x:c>
      <x:c r="R161" s="16">
        <x:f>SUM(R146:R160)</x:f>
        <x:v>436251807.4499999905</x:v>
      </x:c>
      <x:c r="S161" s="37">
        <x:f>IF(K161=0,0,R161/K161)</x:f>
        <x:v>0.745986739127907325</x:v>
      </x:c>
    </x:row>
    <x:row r="162" s="20" customFormat="1">
      <x:c r="B162" s="7"/>
      <x:c r="C162" s="8"/>
      <x:c r="D162" s="21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19"/>
      <x:c r="S162" s="19"/>
    </x:row>
    <x:row r="163" s="23" customFormat="1">
      <x:c r="B163" s="12"/>
      <x:c r="C163" s="8" t="s">
        <x:v>34</x:v>
      </x:c>
      <x:c r="D163" s="14"/>
      <x:c r="E163" s="15" t="s">
        <x:v>177</x:v>
      </x:c>
      <x:c r="F163" s="32">
        <x:f>SUM(F53,F143,F161)</x:f>
        <x:v>8905697395.00</x:v>
      </x:c>
      <x:c r="G163" s="32">
        <x:f>SUM(G53,G143,G161)</x:f>
        <x:v>0.00</x:v>
      </x:c>
      <x:c r="H163" s="32">
        <x:f>SUM(H53,H143,H161)</x:f>
        <x:v>182615628.00</x:v>
      </x:c>
      <x:c r="I163" s="32">
        <x:f>SUM(I53,I143,I161)</x:f>
        <x:v>235031121.00</x:v>
      </x:c>
      <x:c r="J163" s="32">
        <x:f>SUM(J53,J143,J161)</x:f>
        <x:v>1034139116.00</x:v>
      </x:c>
      <x:c r="K163" s="32">
        <x:f>SUM(K53,K143,K161)</x:f>
        <x:v>10357483260.00</x:v>
      </x:c>
      <x:c r="L163" s="32">
        <x:f>SUM(L53,L143,L161)</x:f>
        <x:v>3707692542.0400000367</x:v>
      </x:c>
      <x:c r="M163" s="32"/>
      <x:c r="N163" s="32">
        <x:f>SUM(N53,N143,N161)</x:f>
        <x:v>7022264.667233266903935583818995210064</x:v>
      </x:c>
      <x:c r="O163" s="32">
        <x:f>SUM(O53,O143,O161)</x:f>
        <x:v>68963965.906993701380232578903611498597</x:v>
      </x:c>
      <x:c r="P163" s="32">
        <x:f>SUM(P53,P143,P161)</x:f>
        <x:v>1597101160.825772995225831837274047116493</x:v>
      </x:c>
      <x:c r="Q163" s="32">
        <x:f>SUM(Q53,Q143,Q161)</x:f>
        <x:v>1673087391.39999996351</x:v>
      </x:c>
      <x:c r="R163" s="16">
        <x:f>SUM(R161,R143,R53)</x:f>
        <x:v>5380779933.44000000021</x:v>
      </x:c>
      <x:c r="S163" s="37">
        <x:f>IF(K163=0,0,R163/K163)</x:f>
        <x:v>0.519506505428810125</x:v>
      </x:c>
    </x:row>
    <x:row r="164" s="20" customFormat="1">
      <x:c r="B164" s="7"/>
      <x:c r="C164" s="8"/>
      <x:c r="D164" s="21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19"/>
      <x:c r="S164" s="19"/>
    </x:row>
    <x:row r="165" s="23" customFormat="1">
      <x:c r="A165" s="23">
        <x:v>0</x:v>
      </x:c>
      <x:c r="B165" s="12">
        <x:v>25</x:v>
      </x:c>
      <x:c r="C165" s="8" t="s">
        <x:v>27</x:v>
      </x:c>
      <x:c r="D165" s="14" t="s">
        <x:v>178</x:v>
      </x:c>
      <x:c r="E165" s="15"/>
      <x:c r="F165" s="15">
        <x:v>0.00</x:v>
      </x:c>
      <x:c r="G165" s="15">
        <x:v>0.00</x:v>
      </x:c>
      <x:c r="H165" s="15">
        <x:v>0.00</x:v>
      </x:c>
      <x:c r="I165" s="15">
        <x:v>0.00</x:v>
      </x:c>
      <x:c r="J165" s="15">
        <x:v>0.00</x:v>
      </x:c>
      <x:c r="K165" s="15">
        <x:v>0.00</x:v>
      </x:c>
      <x:c r="L165" s="32">
        <x:v>153472.87</x:v>
      </x:c>
      <x:c r="M165" s="15"/>
      <x:c r="N165" s="15">
        <x:v>80835.611634816256286720629076631870</x:v>
      </x:c>
      <x:c r="O165" s="15">
        <x:v>793867.025671487522241873188381272792</x:v>
      </x:c>
      <x:c r="P165" s="15">
        <x:v>18384759.802693698221471406182503576411</x:v>
      </x:c>
      <x:c r="Q165" s="15">
        <x:f>N165+O165+P165</x:f>
        <x:v>19259462.440000002</x:v>
      </x:c>
      <x:c r="R165" s="16">
        <x:f>SUM(L165:P165)</x:f>
        <x:v>19412935.310000002</x:v>
      </x:c>
      <x:c r="S165" s="16">
        <x:v>0.00</x:v>
      </x:c>
    </x:row>
    <x:row r="166" s="20" customFormat="1">
      <x:c r="B166" s="7"/>
      <x:c r="C166" s="8"/>
      <x:c r="D166" s="21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19"/>
      <x:c r="S166" s="19"/>
    </x:row>
    <x:row r="167" s="23" customFormat="1">
      <x:c r="B167" s="12"/>
      <x:c r="C167" s="8" t="s">
        <x:v>27</x:v>
      </x:c>
      <x:c r="D167" s="14" t="s">
        <x:v>179</x:v>
      </x:c>
      <x:c r="E167" s="15"/>
      <x:c r="F167" s="32">
        <x:f>F24+F26-F163+F165</x:f>
        <x:v>68372252507.00</x:v>
      </x:c>
      <x:c r="G167" s="32">
        <x:f>G24+G26-G163+G165</x:f>
        <x:v>2442936793.00</x:v>
      </x:c>
      <x:c r="H167" s="32">
        <x:f>H24+H26-H163+H165</x:f>
        <x:v>1810916552.00</x:v>
      </x:c>
      <x:c r="I167" s="32">
        <x:f>I24+I26-I163+I165</x:f>
        <x:v>3944778149.00</x:v>
      </x:c>
      <x:c r="J167" s="32">
        <x:f>J24+J26-J163+J165</x:f>
        <x:v>632361593.00</x:v>
      </x:c>
      <x:c r="K167" s="32">
        <x:f>K24+K26-K163+K165</x:f>
        <x:v>77203245594.00</x:v>
      </x:c>
      <x:c r="L167" s="32">
        <x:f>L24+L26-L163+L165</x:f>
        <x:v>40176856653.2399973730</x:v>
      </x:c>
      <x:c r="M167" s="32">
        <x:f>M24+M26-M163+M165</x:f>
        <x:v>953416597.00000000</x:v>
      </x:c>
      <x:c r="N167" s="32">
        <x:f>N24+N26-N163+N165</x:f>
        <x:v>146332287.714401560602351136810081421806</x:v>
      </x:c>
      <x:c r="O167" s="32">
        <x:f>O24+O26-O163+O165</x:f>
        <x:v>1408668242.718677882041109294284769774195</x:v>
      </x:c>
      <x:c r="P167" s="32">
        <x:f>P24+P26-P163+P165</x:f>
        <x:v>17916513218.926918528345639568908456459918</x:v>
      </x:c>
      <x:c r="Q167" s="32">
        <x:f>Q24+Q26-Q163+Q165</x:f>
        <x:v>9050323195.6999982019891</x:v>
      </x:c>
      <x:c r="R167" s="16">
        <x:f>R24+R26-R163+R165</x:f>
        <x:v>50180596445.9399955749891</x:v>
      </x:c>
      <x:c r="S167" s="37">
        <x:f>IF(K167=0,0,R167/K167)</x:f>
        <x:v>0.649980399915206129</x:v>
      </x:c>
    </x:row>
    <x:row r="168" s="7" customFormat="1">
      <x:c r="C168" s="8"/>
      <x:c r="D168" s="25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7"/>
      <x:c r="S168"/>
    </x:row>
    <x:row r="169">
      <x:c r="F169"/>
      <x:c r="G169"/>
      <x:c r="H169"/>
      <x:c r="I169"/>
      <x:c r="J169"/>
      <x:c r="K169" s="48"/>
      <x:c r="L169"/>
      <x:c r="M169"/>
      <x:c r="N169"/>
      <x:c r="O169"/>
      <x:c r="P169"/>
      <x:c r="Q169"/>
      <x:c r="R169"/>
      <x:c r="S169"/>
    </x:row>
    <x:row r="170">
      <x:c r="F170"/>
      <x:c r="G170"/>
      <x:c r="H170"/>
      <x:c r="I170"/>
      <x:c r="J170" s="45"/>
      <x:c r="K170" s="66"/>
      <x:c r="L170"/>
      <x:c r="M170"/>
      <x:c r="N170"/>
      <x:c r="O170" s="45"/>
      <x:c r="P170" s="45"/>
      <x:c r="Q170" s="45"/>
      <x:c r="R170" s="66"/>
      <x:c r="S170" s="37"/>
    </x:row>
    <x:row r="171"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</x:row>
    <x:row r="172"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</x:row>
    <x:row r="173"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</x:row>
    <x:row r="174"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</x:row>
    <x:row r="175"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</x:row>
    <x:row r="176"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</x:row>
  </x:sheetData>
  <x:mergeCells>
    <x:mergeCell ref="D5:E7"/>
    <x:mergeCell ref="F5:K5"/>
    <x:mergeCell ref="L5:R5"/>
  </x:mergeCells>
  <x:conditionalFormatting sqref="A1:A1048576">
    <x:cfRule type="duplicateValues" dxfId="46" priority="14"/>
  </x:conditionalFormatting>
  <x:conditionalFormatting sqref="D8:R168">
    <x:cfRule type="expression" dxfId="45" priority="13">
      <x:formula>IF(MOD(ROW(),2)=0,TRUE,FALSE)</x:formula>
    </x:cfRule>
  </x:conditionalFormatting>
  <x:conditionalFormatting sqref="D9:S167">
    <x:cfRule type="expression" dxfId="44" priority="6">
      <x:formula>IF($C9="Y2",1,0)</x:formula>
    </x:cfRule>
    <x:cfRule type="expression" dxfId="43" priority="7">
      <x:formula>IF($C9="X2",1,0)</x:formula>
    </x:cfRule>
    <x:cfRule type="expression" dxfId="42" priority="8">
      <x:formula>IF($C9="X1",1,0)</x:formula>
    </x:cfRule>
  </x:conditionalFormatting>
  <x:conditionalFormatting sqref="S8:S167">
    <x:cfRule type="expression" dxfId="41" priority="9">
      <x:formula>IF(MOD(ROW(),2)=0,TRUE,FALSE)</x:formula>
    </x:cfRule>
  </x:conditionalFormatting>
  <x:conditionalFormatting sqref="S30:S53 S56:S143 S146:S163">
    <x:cfRule type="cellIs" dxfId="40" priority="5" operator="greaterThan">
      <x:formula>1</x:formula>
    </x:cfRule>
  </x:conditionalFormatting>
  <x:conditionalFormatting sqref="S170:S170">
    <x:cfRule type="expression" dxfId="39" priority="1">
      <x:formula>IF($C170="Y2",1,0)</x:formula>
    </x:cfRule>
    <x:cfRule type="expression" dxfId="38" priority="2">
      <x:formula>IF($C170="X2",1,0)</x:formula>
    </x:cfRule>
    <x:cfRule type="expression" dxfId="37" priority="3">
      <x:formula>IF($C170="X1",1,0)</x:formula>
    </x:cfRule>
    <x:cfRule type="expression" dxfId="36" priority="4">
      <x:formula>IF(MOD(ROW(),2)=0,TRUE,FALSE)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theme="7" tint="0.79998"/>
  </x:sheetPr>
  <x:sheetViews>
    <x:sheetView showGridLines="0" workbookViewId="0">
      <x:pane xSplit="5" ySplit="7" topLeftCell="F8" activePane="bottomRight" state="frozen"/>
    </x:sheetView>
  </x:sheetViews>
  <x:sheetFormatPr defaultColWidth="8.85546875" defaultRowHeight="16.5"/>
  <x:cols>
    <x:col min="1" max="1" width="9" style="1" hidden="1" customWidth="1"/>
    <x:col min="2" max="2" width="3.85546875" style="1" hidden="1" customWidth="1"/>
    <x:col min="3" max="3" width="12" style="2" hidden="1" customWidth="1"/>
    <x:col min="4" max="4" width="4" style="1" customWidth="1"/>
    <x:col min="5" max="5" width="66.140625" style="1" customWidth="1"/>
    <x:col min="6" max="6" width="26.28515625" style="1" customWidth="1"/>
    <x:col min="7" max="7" width="22.28515625" style="1" customWidth="1"/>
    <x:col min="8" max="10" width="23.5703125" style="1" customWidth="1"/>
    <x:col min="11" max="11" width="26.28515625" style="1" customWidth="1"/>
    <x:col min="12" max="12" width="24.85546875" style="1" customWidth="1"/>
    <x:col min="13" max="14" width="22.28515625" style="1" customWidth="1"/>
    <x:col min="15" max="17" width="22.28515625" style="1" customWidth="1"/>
    <x:col min="18" max="18" width="27.5703125" style="3" customWidth="1"/>
    <x:col min="19" max="19" width="9.5703125" style="1" customWidth="1"/>
    <x:col min="20" max="16384" width="8.85546875" style="1" customWidth="0"/>
  </x:cols>
  <x:sheetData>
    <x:row r="1">
      <x:c r="D1" s="1" t="s">
        <x:v>0</x:v>
      </x:c>
    </x:row>
    <x:row r="2">
      <x:c r="D2" s="1" t="inlineStr">
        <x:is>
          <x:t>LABA RUGI RKA TAHUN 2026</x:t>
        </x:is>
      </x:c>
    </x:row>
    <x:row r="4" s="2" customFormat="1" ht="16.5" hidden="1" customHeight="1">
      <x:c r="R4" s="4"/>
    </x:row>
    <x:row r="5" s="5" customFormat="1" ht="33" customHeight="1">
      <x:c r="C5" s="6"/>
      <x:c r="D5" s="67" t="s">
        <x:v>2</x:v>
      </x:c>
      <x:c r="E5" s="67"/>
      <x:c r="F5" s="69" t="s">
        <x:v>186</x:v>
      </x:c>
      <x:c r="G5" s="70"/>
      <x:c r="H5" s="70"/>
      <x:c r="I5" s="70"/>
      <x:c r="J5" s="70"/>
      <x:c r="K5" s="70"/>
      <x:c r="L5" s="73" t="s">
        <x:v>187</x:v>
      </x:c>
      <x:c r="M5" s="70"/>
      <x:c r="N5" s="70"/>
      <x:c r="O5" s="70"/>
      <x:c r="P5" s="70"/>
      <x:c r="Q5" s="70"/>
      <x:c r="R5" s="72"/>
      <x:c r="S5" s="30" t="s">
        <x:v>5</x:v>
      </x:c>
    </x:row>
    <x:row r="6" s="5" customFormat="1">
      <x:c r="C6" s="6"/>
      <x:c r="D6" s="68"/>
      <x:c r="E6" s="68"/>
      <x:c r="F6" s="29" t="s">
        <x:v>6</x:v>
      </x:c>
      <x:c r="G6" s="29" t="s">
        <x:v>7</x:v>
      </x:c>
      <x:c r="H6" s="29" t="s">
        <x:v>8</x:v>
      </x:c>
      <x:c r="I6" s="29" t="s">
        <x:v>9</x:v>
      </x:c>
      <x:c r="J6" s="29" t="s">
        <x:v>10</x:v>
      </x:c>
      <x:c r="K6" s="29" t="s">
        <x:v>11</x:v>
      </x:c>
      <x:c r="L6" s="29" t="s">
        <x:v>6</x:v>
      </x:c>
      <x:c r="M6" s="29" t="s">
        <x:v>7</x:v>
      </x:c>
      <x:c r="N6" s="29" t="s">
        <x:v>8</x:v>
      </x:c>
      <x:c r="O6" s="29" t="s">
        <x:v>9</x:v>
      </x:c>
      <x:c r="P6" s="29" t="s">
        <x:v>10</x:v>
      </x:c>
      <x:c r="Q6" s="29" t="s">
        <x:v>12</x:v>
      </x:c>
      <x:c r="R6" s="29" t="s">
        <x:v>11</x:v>
      </x:c>
      <x:c r="S6" s="29" t="s">
        <x:v>5</x:v>
      </x:c>
    </x:row>
    <x:row r="7">
      <x:c r="D7" s="68"/>
      <x:c r="E7" s="68"/>
      <x:c r="F7" s="29" t="s">
        <x:v>13</x:v>
      </x:c>
      <x:c r="G7" s="29" t="s">
        <x:v>14</x:v>
      </x:c>
      <x:c r="H7" s="29" t="s">
        <x:v>15</x:v>
      </x:c>
      <x:c r="I7" s="29" t="s">
        <x:v>16</x:v>
      </x:c>
      <x:c r="J7" s="29" t="s">
        <x:v>17</x:v>
      </x:c>
      <x:c r="K7" s="29" t="s">
        <x:v>18</x:v>
      </x:c>
      <x:c r="L7" s="29" t="s">
        <x:v>19</x:v>
      </x:c>
      <x:c r="M7" s="29" t="s">
        <x:v>20</x:v>
      </x:c>
      <x:c r="N7" s="29" t="s">
        <x:v>21</x:v>
      </x:c>
      <x:c r="O7" s="29" t="s">
        <x:v>22</x:v>
      </x:c>
      <x:c r="P7" s="29" t="s">
        <x:v>23</x:v>
      </x:c>
      <x:c r="Q7" s="29" t="s">
        <x:v>24</x:v>
      </x:c>
      <x:c r="R7" s="29" t="s">
        <x:v>25</x:v>
      </x:c>
      <x:c r="S7" s="29" t="s">
        <x:v>26</x:v>
      </x:c>
    </x:row>
    <x:row r="8" s="7" customFormat="1">
      <x:c r="C8" s="8"/>
      <x:c r="D8" s="9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1"/>
      <x:c r="S8" s="11"/>
    </x:row>
    <x:row r="9" s="12" customFormat="1">
      <x:c r="C9" s="13" t="s">
        <x:v>27</x:v>
      </x:c>
      <x:c r="D9" s="14" t="s">
        <x:v>28</x:v>
      </x:c>
      <x:c r="E9" s="15"/>
      <x:c r="F9" s="32">
        <x:v>4664917476573.00</x:v>
      </x:c>
      <x:c r="G9" s="32">
        <x:v>0.00</x:v>
      </x:c>
      <x:c r="H9" s="32">
        <x:v>795972655829.00</x:v>
      </x:c>
      <x:c r="I9" s="32">
        <x:v>458609665500.00</x:v>
      </x:c>
      <x:c r="J9" s="32">
        <x:v>884960450602.00</x:v>
      </x:c>
      <x:c r="K9" s="32">
        <x:f>SUM(F9:J9)</x:f>
        <x:v>6804460248504.00</x:v>
      </x:c>
      <x:c r="L9" s="32"/>
      <x:c r="M9" s="15"/>
      <x:c r="N9" s="32"/>
      <x:c r="O9" s="32"/>
      <x:c r="P9" s="32"/>
      <x:c r="Q9" s="32"/>
      <x:c r="R9" s="16"/>
      <x:c r="S9" s="37"/>
    </x:row>
    <x:row r="10" s="7" customFormat="1">
      <x:c r="C10" s="8"/>
      <x:c r="D10" s="17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9"/>
      <x:c r="S10" s="19"/>
    </x:row>
    <x:row r="11" s="12" customFormat="1">
      <x:c r="C11" s="13" t="s">
        <x:v>29</x:v>
      </x:c>
      <x:c r="D11" s="14" t="s">
        <x:v>30</x:v>
      </x:c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6"/>
      <x:c r="S11" s="16"/>
    </x:row>
    <x:row r="12" s="20" customFormat="1">
      <x:c r="A12" s="20">
        <x:v>7</x:v>
      </x:c>
      <x:c r="B12" s="7">
        <x:v>8</x:v>
      </x:c>
      <x:c r="C12" s="8"/>
      <x:c r="D12" s="21"/>
      <x:c r="E12" s="22" t="s">
        <x:v>31</x:v>
      </x:c>
      <x:c r="F12" s="33">
        <x:v>168672834905.00</x:v>
      </x:c>
      <x:c r="G12" s="33">
        <x:v>0.00</x:v>
      </x:c>
      <x:c r="H12" s="33">
        <x:v>2594038472.00</x:v>
      </x:c>
      <x:c r="I12" s="33">
        <x:v>4451461041.00</x:v>
      </x:c>
      <x:c r="J12" s="33">
        <x:v>19420563629.00</x:v>
      </x:c>
      <x:c r="K12" s="33">
        <x:f>SUM(F12:J12)</x:f>
        <x:v>195138898047.00</x:v>
      </x:c>
      <x:c r="L12" s="33">
        <x:v>86405665146.94999703</x:v>
      </x:c>
      <x:c r="M12" s="33"/>
      <x:c r="N12" s="33">
        <x:v>227679479.569999994</x:v>
      </x:c>
      <x:c r="O12" s="33">
        <x:v>700678500.989999963</x:v>
      </x:c>
      <x:c r="P12" s="33">
        <x:v>27476168631.2900009993</x:v>
      </x:c>
      <x:c r="Q12" s="33">
        <x:f>N12+O12+P12</x:f>
        <x:v>28404526611.8500009563</x:v>
      </x:c>
      <x:c r="R12" s="19">
        <x:f>SUM(L12:P12)</x:f>
        <x:v>114810191758.7999979863</x:v>
      </x:c>
      <x:c r="S12" s="37">
        <x:f>IF(K12=0,0,R12/K12)</x:f>
        <x:v>0.588351133002439599</x:v>
      </x:c>
    </x:row>
    <x:row r="13" s="20" customFormat="1">
      <x:c r="A13" s="20">
        <x:v>12</x:v>
      </x:c>
      <x:c r="B13" s="7">
        <x:v>10</x:v>
      </x:c>
      <x:c r="C13" s="8"/>
      <x:c r="D13" s="21"/>
      <x:c r="E13" s="22" t="s">
        <x:v>32</x:v>
      </x:c>
      <x:c r="F13" s="33">
        <x:v>0.00</x:v>
      </x:c>
      <x:c r="G13" s="33">
        <x:v>0.00</x:v>
      </x:c>
      <x:c r="H13" s="33">
        <x:v>0.00</x:v>
      </x:c>
      <x:c r="I13" s="33">
        <x:v>0.00</x:v>
      </x:c>
      <x:c r="J13" s="33">
        <x:v>0.00</x:v>
      </x:c>
      <x:c r="K13" s="33">
        <x:f>SUM(F13:J13)</x:f>
        <x:v>0.00</x:v>
      </x:c>
      <x:c r="L13" s="33"/>
      <x:c r="M13" s="33"/>
      <x:c r="N13" s="33"/>
      <x:c r="O13" s="33"/>
      <x:c r="P13" s="33"/>
      <x:c r="Q13" s="33"/>
      <x:c r="R13" s="19"/>
      <x:c r="S13" s="37"/>
    </x:row>
    <x:row r="14" s="20" customFormat="1">
      <x:c r="A14" s="20">
        <x:v>9</x:v>
      </x:c>
      <x:c r="B14" s="7">
        <x:v>9</x:v>
      </x:c>
      <x:c r="C14" s="8"/>
      <x:c r="D14" s="21"/>
      <x:c r="E14" s="22" t="s">
        <x:v>33</x:v>
      </x:c>
      <x:c r="F14" s="33">
        <x:v>15188327378.00</x:v>
      </x:c>
      <x:c r="G14" s="33">
        <x:v>0.00</x:v>
      </x:c>
      <x:c r="H14" s="33">
        <x:v>314963836.00</x:v>
      </x:c>
      <x:c r="I14" s="33">
        <x:v>664280590.00</x:v>
      </x:c>
      <x:c r="J14" s="33">
        <x:v>11526814963.00</x:v>
      </x:c>
      <x:c r="K14" s="33">
        <x:f>SUM(F14:J14)</x:f>
        <x:v>27694386767.00</x:v>
      </x:c>
      <x:c r="L14" s="33">
        <x:v>9349269249.53999993</x:v>
      </x:c>
      <x:c r="M14" s="33"/>
      <x:c r="N14" s="33">
        <x:v>20674430.1600000002</x:v>
      </x:c>
      <x:c r="O14" s="33">
        <x:v>74595907.799999999</x:v>
      </x:c>
      <x:c r="P14" s="33">
        <x:v>3405948878.979999939099</x:v>
      </x:c>
      <x:c r="Q14" s="33">
        <x:f>N14+O14+P14</x:f>
        <x:v>3501219216.939999938299</x:v>
      </x:c>
      <x:c r="R14" s="19">
        <x:f>SUM(L14:P14)</x:f>
        <x:v>12850488466.479999868299</x:v>
      </x:c>
      <x:c r="S14" s="37">
        <x:f>IF(K14=0,0,R14/K14)</x:f>
        <x:v>0.464010579999278012</x:v>
      </x:c>
    </x:row>
    <x:row r="15" s="23" customFormat="1">
      <x:c r="B15" s="12"/>
      <x:c r="C15" s="13" t="s">
        <x:v>34</x:v>
      </x:c>
      <x:c r="D15" s="14"/>
      <x:c r="E15" s="15" t="s">
        <x:v>35</x:v>
      </x:c>
      <x:c r="F15" s="32">
        <x:f>F12-F13-F14</x:f>
        <x:v>153484507527.00</x:v>
      </x:c>
      <x:c r="G15" s="32">
        <x:f>G12-G13-G14</x:f>
        <x:v>0.00</x:v>
      </x:c>
      <x:c r="H15" s="32">
        <x:f>H12-H13-H14</x:f>
        <x:v>2279074636.00</x:v>
      </x:c>
      <x:c r="I15" s="32">
        <x:f>I12-I13-I14</x:f>
        <x:v>3787180451.00</x:v>
      </x:c>
      <x:c r="J15" s="32">
        <x:f>J12-J13-J14</x:f>
        <x:v>7893748666.00</x:v>
      </x:c>
      <x:c r="K15" s="32">
        <x:f>K12-K13-K14</x:f>
        <x:v>167444511280.00</x:v>
      </x:c>
      <x:c r="L15" s="32">
        <x:f>L12-L13-L14</x:f>
        <x:v>77056395897.40999710</x:v>
      </x:c>
      <x:c r="M15" s="32"/>
      <x:c r="N15" s="32">
        <x:f>N12-N13-N14</x:f>
        <x:v>207005049.4099999938</x:v>
      </x:c>
      <x:c r="O15" s="32">
        <x:f>O12-O13-O14</x:f>
        <x:v>626082593.189999964</x:v>
      </x:c>
      <x:c r="P15" s="32">
        <x:f>P12-P13-P14</x:f>
        <x:v>24070219752.310001060201</x:v>
      </x:c>
      <x:c r="Q15" s="32">
        <x:f>Q12-Q13-Q14</x:f>
        <x:v>24903307394.910001018001</x:v>
      </x:c>
      <x:c r="R15" s="16">
        <x:f>R12-R13-R14</x:f>
        <x:v>101959703292.319998118001</x:v>
      </x:c>
      <x:c r="S15" s="37">
        <x:f>IF(K15=0,0,R15/K15)</x:f>
        <x:v>0.608916365862977829</x:v>
      </x:c>
    </x:row>
    <x:row r="16" s="20" customFormat="1">
      <x:c r="B16" s="7"/>
      <x:c r="C16" s="8" t="s">
        <x:v>36</x:v>
      </x:c>
      <x:c r="D16" s="21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19"/>
      <x:c r="S16" s="19"/>
    </x:row>
    <x:row r="17" s="23" customFormat="1">
      <x:c r="B17" s="12"/>
      <x:c r="C17" s="13" t="s">
        <x:v>29</x:v>
      </x:c>
      <x:c r="D17" s="14" t="s">
        <x:v>37</x:v>
      </x:c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6"/>
      <x:c r="S17" s="16"/>
    </x:row>
    <x:row r="18" s="20" customFormat="1">
      <x:c r="A18" s="20">
        <x:v>22</x:v>
      </x:c>
      <x:c r="B18" s="7">
        <x:v>13</x:v>
      </x:c>
      <x:c r="C18" s="8"/>
      <x:c r="D18" s="21"/>
      <x:c r="E18" s="22" t="s">
        <x:v>38</x:v>
      </x:c>
      <x:c r="F18" s="33">
        <x:v>115373687533.00</x:v>
      </x:c>
      <x:c r="G18" s="33">
        <x:v>8584555675.00</x:v>
      </x:c>
      <x:c r="H18" s="33">
        <x:v>75000000.00</x:v>
      </x:c>
      <x:c r="I18" s="33">
        <x:v>1271904226.00</x:v>
      </x:c>
      <x:c r="J18" s="33">
        <x:v>16228026979.00</x:v>
      </x:c>
      <x:c r="K18" s="33">
        <x:f>SUM(F18:J18)</x:f>
        <x:v>141533174413.00</x:v>
      </x:c>
      <x:c r="L18" s="33">
        <x:v>62472543622.459999</x:v>
      </x:c>
      <x:c r="M18" s="33">
        <x:v>679061700.60000002</x:v>
      </x:c>
      <x:c r="N18" s="33"/>
      <x:c r="O18" s="33"/>
      <x:c r="P18" s="33">
        <x:v>30437561828.8100004</x:v>
      </x:c>
      <x:c r="Q18" s="33">
        <x:f>N18+O18+P18</x:f>
        <x:v>30437561828.8100004</x:v>
      </x:c>
      <x:c r="R18" s="19">
        <x:f>SUM(L18:P18)</x:f>
        <x:v>93589167151.86999942</x:v>
      </x:c>
      <x:c r="S18" s="37">
        <x:f>IF(K18=0,0,R18/K18)</x:f>
        <x:v>0.661252512282192667</x:v>
      </x:c>
    </x:row>
    <x:row r="19" s="20" customFormat="1">
      <x:c r="A19" s="20">
        <x:v>24</x:v>
      </x:c>
      <x:c r="B19" s="7">
        <x:v>14</x:v>
      </x:c>
      <x:c r="C19" s="8"/>
      <x:c r="D19" s="21"/>
      <x:c r="E19" s="22" t="s">
        <x:v>39</x:v>
      </x:c>
      <x:c r="F19" s="33">
        <x:v>3434033608.00</x:v>
      </x:c>
      <x:c r="G19" s="33">
        <x:v>-2934113950.00</x:v>
      </x:c>
      <x:c r="H19" s="33">
        <x:v>51649426.00</x:v>
      </x:c>
      <x:c r="I19" s="33">
        <x:v>87275286.00</x:v>
      </x:c>
      <x:c r="J19" s="33">
        <x:v>8568198213.00</x:v>
      </x:c>
      <x:c r="K19" s="33">
        <x:f>SUM(F19:J19)</x:f>
        <x:v>9207042583.00</x:v>
      </x:c>
      <x:c r="L19" s="33">
        <x:v>11979626037.040001</x:v>
      </x:c>
      <x:c r="M19" s="33">
        <x:v>-1642049377.3499999</x:v>
      </x:c>
      <x:c r="N19" s="33">
        <x:v>0.00</x:v>
      </x:c>
      <x:c r="O19" s="33">
        <x:v>0.00</x:v>
      </x:c>
      <x:c r="P19" s="33">
        <x:v>0.00</x:v>
      </x:c>
      <x:c r="Q19" s="33">
        <x:v>-12086151269.26</x:v>
      </x:c>
      <x:c r="R19" s="19">
        <x:f>SUM(L19:Q19)</x:f>
        <x:v>-1748574609.5699989</x:v>
      </x:c>
      <x:c r="S19" s="37">
        <x:f>IF(K19=0,0,R19/K19)</x:f>
        <x:v>-0.189917076390912886</x:v>
      </x:c>
    </x:row>
    <x:row r="20" s="20" customFormat="1">
      <x:c r="A20" s="20">
        <x:v>32</x:v>
      </x:c>
      <x:c r="B20" s="7">
        <x:v>15</x:v>
      </x:c>
      <x:c r="C20" s="8"/>
      <x:c r="D20" s="21"/>
      <x:c r="E20" s="22" t="s">
        <x:v>40</x:v>
      </x:c>
      <x:c r="F20" s="33">
        <x:v>38329244677.00</x:v>
      </x:c>
      <x:c r="G20" s="33">
        <x:v>6769350368.00</x:v>
      </x:c>
      <x:c r="H20" s="33">
        <x:v>22094493.00</x:v>
      </x:c>
      <x:c r="I20" s="33">
        <x:v>45084709.00</x:v>
      </x:c>
      <x:c r="J20" s="33">
        <x:v>16659323166.00</x:v>
      </x:c>
      <x:c r="K20" s="33">
        <x:f>SUM(F20:J20)</x:f>
        <x:v>61825097413.00</x:v>
      </x:c>
      <x:c r="L20" s="33">
        <x:v>16502994275.38999983</x:v>
      </x:c>
      <x:c r="M20" s="33">
        <x:v>3056059580.60</x:v>
      </x:c>
      <x:c r="N20" s="33"/>
      <x:c r="O20" s="33"/>
      <x:c r="P20" s="33">
        <x:v>4969991885.040000191</x:v>
      </x:c>
      <x:c r="Q20" s="33">
        <x:v>4211881669.230000211</x:v>
      </x:c>
      <x:c r="R20" s="19">
        <x:v>23770935525.220000041</x:v>
      </x:c>
      <x:c r="S20" s="37">
        <x:f>IF(K20=0,0,R20/K20)</x:f>
        <x:v>0.384486826869465979</x:v>
      </x:c>
    </x:row>
    <x:row r="21" s="20" customFormat="1">
      <x:c r="A21" s="20">
        <x:v>37</x:v>
      </x:c>
      <x:c r="B21" s="7">
        <x:v>16</x:v>
      </x:c>
      <x:c r="C21" s="8"/>
      <x:c r="D21" s="21"/>
      <x:c r="E21" s="22" t="s">
        <x:v>41</x:v>
      </x:c>
      <x:c r="F21" s="33">
        <x:v>2396724198.00</x:v>
      </x:c>
      <x:c r="G21" s="33">
        <x:v>0.00</x:v>
      </x:c>
      <x:c r="H21" s="33">
        <x:v>54737539.00</x:v>
      </x:c>
      <x:c r="I21" s="33">
        <x:v>101532381.00</x:v>
      </x:c>
      <x:c r="J21" s="33">
        <x:v>1758987457.00</x:v>
      </x:c>
      <x:c r="K21" s="33">
        <x:f>SUM(F21:J21)</x:f>
        <x:v>4311981575.00</x:v>
      </x:c>
      <x:c r="L21" s="33">
        <x:v>1527035902.079999951</x:v>
      </x:c>
      <x:c r="M21" s="33"/>
      <x:c r="N21" s="33">
        <x:v>3107876.93</x:v>
      </x:c>
      <x:c r="O21" s="33">
        <x:v>2001225.8899999999</x:v>
      </x:c>
      <x:c r="P21" s="33">
        <x:v>498400433.600000018907</x:v>
      </x:c>
      <x:c r="Q21" s="33">
        <x:f>N21+O21+P21</x:f>
        <x:v>503509536.420000018807</x:v>
      </x:c>
      <x:c r="R21" s="19">
        <x:f>SUM(L21:P21)</x:f>
        <x:v>2030545438.499999969807</x:v>
      </x:c>
      <x:c r="S21" s="37">
        <x:f>IF(K21=0,0,R21/K21)</x:f>
        <x:v>0.470907726107340792</x:v>
      </x:c>
    </x:row>
    <x:row r="22" s="23" customFormat="1">
      <x:c r="B22" s="12"/>
      <x:c r="C22" s="13" t="s">
        <x:v>34</x:v>
      </x:c>
      <x:c r="D22" s="14"/>
      <x:c r="E22" s="15" t="s">
        <x:v>42</x:v>
      </x:c>
      <x:c r="F22" s="32">
        <x:f>F18+F19-F20-F21</x:f>
        <x:v>78081752266.00</x:v>
      </x:c>
      <x:c r="G22" s="32">
        <x:f>G18+G19-G20-G21</x:f>
        <x:v>-1118908643.00</x:v>
      </x:c>
      <x:c r="H22" s="32">
        <x:f>H18+H19-H20-H21</x:f>
        <x:v>49817394.00</x:v>
      </x:c>
      <x:c r="I22" s="32">
        <x:f>I18+I19-I20-I21</x:f>
        <x:v>1212562422.00</x:v>
      </x:c>
      <x:c r="J22" s="32">
        <x:f>J18+J19-J20-J21</x:f>
        <x:v>6377914569.00</x:v>
      </x:c>
      <x:c r="K22" s="32">
        <x:f>K18+K19-K20-K21</x:f>
        <x:v>84603138008.00</x:v>
      </x:c>
      <x:c r="L22" s="32">
        <x:f>L18+L19-L20-L21</x:f>
        <x:v>56422139482.030000219</x:v>
      </x:c>
      <x:c r="M22" s="32">
        <x:f>M18+M19-M20-M21</x:f>
        <x:v>-4019047257.34999988</x:v>
      </x:c>
      <x:c r="N22" s="32">
        <x:f>N18+N19-N20-N21</x:f>
        <x:v>-3107876.93</x:v>
      </x:c>
      <x:c r="O22" s="32">
        <x:f>O18+O19-O20-O21</x:f>
        <x:v>-2001225.8899999999</x:v>
      </x:c>
      <x:c r="P22" s="32">
        <x:f>P18+P19-P20-P21</x:f>
        <x:v>24969169510.170000190093</x:v>
      </x:c>
      <x:c r="Q22" s="32">
        <x:f>Q18+Q19-Q20-Q21</x:f>
        <x:v>13636019353.900000170193</x:v>
      </x:c>
      <x:c r="R22" s="16">
        <x:f>R18+R19-R20-R21</x:f>
        <x:v>66039111578.580000509193</x:v>
      </x:c>
      <x:c r="S22" s="37">
        <x:f>IF(K22=0,0,R22/K22)</x:f>
        <x:v>0.780575202450946900</x:v>
      </x:c>
    </x:row>
    <x:row r="23" s="20" customFormat="1">
      <x:c r="B23" s="7"/>
      <x:c r="C23" s="8"/>
      <x:c r="D23" s="21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19"/>
      <x:c r="S23" s="19"/>
    </x:row>
    <x:row r="24" s="23" customFormat="1">
      <x:c r="B24" s="12"/>
      <x:c r="C24" s="13" t="s">
        <x:v>27</x:v>
      </x:c>
      <x:c r="D24" s="14" t="s">
        <x:v>43</x:v>
      </x:c>
      <x:c r="E24" s="15"/>
      <x:c r="F24" s="32">
        <x:f>F15-F22</x:f>
        <x:v>75402755261.00</x:v>
      </x:c>
      <x:c r="G24" s="32">
        <x:f>G15-G22</x:f>
        <x:v>1118908643.00</x:v>
      </x:c>
      <x:c r="H24" s="32">
        <x:f>H15-H22</x:f>
        <x:v>2229257242.00</x:v>
      </x:c>
      <x:c r="I24" s="32">
        <x:f>I15-I22</x:f>
        <x:v>2574618029.00</x:v>
      </x:c>
      <x:c r="J24" s="32">
        <x:f>J15-J22</x:f>
        <x:v>1515834097.00</x:v>
      </x:c>
      <x:c r="K24" s="32">
        <x:f>K15-K22</x:f>
        <x:v>82841373272.00</x:v>
      </x:c>
      <x:c r="L24" s="32">
        <x:f>L15-L22</x:f>
        <x:v>20634256415.379996881</x:v>
      </x:c>
      <x:c r="M24" s="32">
        <x:f>M15-M22</x:f>
        <x:v>4019047257.34999988</x:v>
      </x:c>
      <x:c r="N24" s="32">
        <x:f>N15-N22</x:f>
        <x:v>210112926.3399999938</x:v>
      </x:c>
      <x:c r="O24" s="32">
        <x:f>O15-O22</x:f>
        <x:v>628083819.0799999639</x:v>
      </x:c>
      <x:c r="P24" s="32">
        <x:f>P15-P22</x:f>
        <x:v>-898949757.859999129892</x:v>
      </x:c>
      <x:c r="Q24" s="32">
        <x:f>Q15-Q22</x:f>
        <x:v>11267288041.010000847808</x:v>
      </x:c>
      <x:c r="R24" s="16">
        <x:f>R15-R22</x:f>
        <x:v>35920591713.739997608808</x:v>
      </x:c>
      <x:c r="S24" s="37">
        <x:f>IF(K24=0,0,R24/K24)</x:f>
        <x:v>0.433606907937159837</x:v>
      </x:c>
    </x:row>
    <x:row r="25" s="20" customFormat="1">
      <x:c r="B25" s="7"/>
      <x:c r="C25" s="8"/>
      <x:c r="D25" s="21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19"/>
      <x:c r="S25" s="19"/>
    </x:row>
    <x:row r="26" s="23" customFormat="1">
      <x:c r="B26" s="12">
        <x:v>19</x:v>
      </x:c>
      <x:c r="C26" s="13" t="s">
        <x:v>27</x:v>
      </x:c>
      <x:c r="D26" s="14" t="s">
        <x:v>44</x:v>
      </x:c>
      <x:c r="E26" s="15"/>
      <x:c r="F26" s="15">
        <x:v>0.00</x:v>
      </x:c>
      <x:c r="G26" s="15">
        <x:v>0.00</x:v>
      </x:c>
      <x:c r="H26" s="15">
        <x:v>0.00</x:v>
      </x:c>
      <x:c r="I26" s="15">
        <x:v>0.00</x:v>
      </x:c>
      <x:c r="J26" s="15">
        <x:v>0.00</x:v>
      </x:c>
      <x:c r="K26" s="15">
        <x:v>0.00</x:v>
      </x:c>
      <x:c r="L26" s="15"/>
      <x:c r="M26" s="15"/>
      <x:c r="N26" s="15"/>
      <x:c r="O26" s="15"/>
      <x:c r="P26" s="15"/>
      <x:c r="Q26" s="15"/>
      <x:c r="R26" s="19"/>
      <x:c r="S26" s="19"/>
    </x:row>
    <x:row r="27" s="20" customFormat="1">
      <x:c r="B27" s="7"/>
      <x:c r="C27" s="8"/>
      <x:c r="D27" s="21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19"/>
      <x:c r="S27" s="19"/>
    </x:row>
    <x:row r="28" s="23" customFormat="1">
      <x:c r="B28" s="12"/>
      <x:c r="C28" s="13" t="s">
        <x:v>27</x:v>
      </x:c>
      <x:c r="D28" s="14" t="s">
        <x:v>45</x:v>
      </x:c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6"/>
      <x:c r="S28" s="16"/>
    </x:row>
    <x:row r="29" s="23" customFormat="1">
      <x:c r="B29" s="12"/>
      <x:c r="C29" s="13" t="s">
        <x:v>29</x:v>
      </x:c>
      <x:c r="D29" s="14"/>
      <x:c r="E29" s="15" t="s">
        <x:v>46</x:v>
      </x:c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6"/>
      <x:c r="S29" s="16"/>
    </x:row>
    <x:row r="30" s="20" customFormat="1">
      <x:c r="A30" s="20">
        <x:v>94</x:v>
      </x:c>
      <x:c r="B30" s="7"/>
      <x:c r="C30" s="8"/>
      <x:c r="D30" s="21"/>
      <x:c r="E30" s="24" t="s">
        <x:v>47</x:v>
      </x:c>
      <x:c r="F30" s="31">
        <x:v>969596418.00</x:v>
      </x:c>
      <x:c r="G30" s="31">
        <x:v>0.00</x:v>
      </x:c>
      <x:c r="H30" s="31">
        <x:v>19882043.00</x:v>
      </x:c>
      <x:c r="I30" s="31">
        <x:v>25588713.00</x:v>
      </x:c>
      <x:c r="J30" s="31">
        <x:v>112590574.00</x:v>
      </x:c>
      <x:c r="K30" s="33">
        <x:f>SUM(F30:J30)</x:f>
        <x:v>1127657748.00</x:v>
      </x:c>
      <x:c r="L30" s="31">
        <x:v>464319093.24000001</x:v>
      </x:c>
      <x:c r="M30" s="31"/>
      <x:c r="N30" s="31">
        <x:v>1630782.189993536514168110084078118590</x:v>
      </x:c>
      <x:c r="O30" s="31">
        <x:v>5018695.679048018092363976300573124360</x:v>
      </x:c>
      <x:c r="P30" s="31">
        <x:v>196801426.890958435393467913615145306144</x:v>
      </x:c>
      <x:c r="Q30" s="31">
        <x:f>N30+O30+P30</x:f>
        <x:v>203450904.75999999</x:v>
      </x:c>
      <x:c r="R30" s="19">
        <x:f>SUM(L30:P30)</x:f>
        <x:v>667769998.00000000</x:v>
      </x:c>
      <x:c r="S30" s="37">
        <x:f>IF(K30=0,0,R30/K30)</x:f>
        <x:v>0.592174353596513398</x:v>
      </x:c>
    </x:row>
    <x:row r="31" s="20" customFormat="1">
      <x:c r="A31" s="20">
        <x:v>95</x:v>
      </x:c>
      <x:c r="B31" s="7"/>
      <x:c r="C31" s="8"/>
      <x:c r="D31" s="21"/>
      <x:c r="E31" s="24" t="s">
        <x:v>48</x:v>
      </x:c>
      <x:c r="F31" s="31">
        <x:v>30358275.00</x:v>
      </x:c>
      <x:c r="G31" s="31">
        <x:v>0.00</x:v>
      </x:c>
      <x:c r="H31" s="31">
        <x:v>622511.00</x:v>
      </x:c>
      <x:c r="I31" s="31">
        <x:v>801188.00</x:v>
      </x:c>
      <x:c r="J31" s="31">
        <x:v>3525235.00</x:v>
      </x:c>
      <x:c r="K31" s="33">
        <x:f>SUM(F31:J31)</x:f>
        <x:v>35307209.00</x:v>
      </x:c>
      <x:c r="L31" s="31">
        <x:v>11683487.41</x:v>
      </x:c>
      <x:c r="M31" s="31"/>
      <x:c r="N31" s="31">
        <x:v>41094.827788340355827231686002577294</x:v>
      </x:c>
      <x:c r="O31" s="31">
        <x:v>126468.412469836693764758836148706241</x:v>
      </x:c>
      <x:c r="P31" s="31">
        <x:v>4959289.349741822950408009477843589610</x:v>
      </x:c>
      <x:c r="Q31" s="31">
        <x:f>N31+O31+P31</x:f>
        <x:v>5126852.59</x:v>
      </x:c>
      <x:c r="R31" s="19">
        <x:f>SUM(L31:P31)</x:f>
        <x:v>16810340.00</x:v>
      </x:c>
      <x:c r="S31" s="37">
        <x:f>IF(K31=0,0,R31/K31)</x:f>
        <x:v>0.476116364791111073</x:v>
      </x:c>
    </x:row>
    <x:row r="32" s="20" customFormat="1">
      <x:c r="A32" s="20">
        <x:v>96</x:v>
      </x:c>
      <x:c r="B32" s="7"/>
      <x:c r="C32" s="8"/>
      <x:c r="D32" s="21"/>
      <x:c r="E32" s="24" t="s">
        <x:v>49</x:v>
      </x:c>
      <x:c r="F32" s="31">
        <x:v>156401572.00</x:v>
      </x:c>
      <x:c r="G32" s="31">
        <x:v>0.00</x:v>
      </x:c>
      <x:c r="H32" s="31">
        <x:v>3207090.00</x:v>
      </x:c>
      <x:c r="I32" s="31">
        <x:v>4127609.00</x:v>
      </x:c>
      <x:c r="J32" s="31">
        <x:v>18161518.00</x:v>
      </x:c>
      <x:c r="K32" s="33">
        <x:f>SUM(F32:J32)</x:f>
        <x:v>181897789.00</x:v>
      </x:c>
      <x:c r="L32" s="31">
        <x:v>4104850.00</x:v>
      </x:c>
      <x:c r="M32" s="31"/>
      <x:c r="N32" s="31">
        <x:v>11182.972005228464630453181554513100</x:v>
      </x:c>
      <x:c r="O32" s="31">
        <x:v>34415.345976875973199358807828111850</x:v>
      </x:c>
      <x:c r="P32" s="31">
        <x:v>1349551.682017895562170188010615979900</x:v>
      </x:c>
      <x:c r="Q32" s="31">
        <x:f>N32+O32+P32</x:f>
        <x:v>1395150.00</x:v>
      </x:c>
      <x:c r="R32" s="19">
        <x:f>SUM(L32:P32)</x:f>
        <x:v>5500000.00</x:v>
      </x:c>
      <x:c r="S32" s="37">
        <x:f>IF(K32=0,0,R32/K32)</x:f>
        <x:v>0.030236761151615757</x:v>
      </x:c>
    </x:row>
    <x:row r="33" s="20" customFormat="1">
      <x:c r="A33" s="20">
        <x:v>97</x:v>
      </x:c>
      <x:c r="B33" s="7"/>
      <x:c r="C33" s="8"/>
      <x:c r="D33" s="21"/>
      <x:c r="E33" s="24" t="s">
        <x:v>50</x:v>
      </x:c>
      <x:c r="F33" s="31">
        <x:v>7165646.00</x:v>
      </x:c>
      <x:c r="G33" s="31">
        <x:v>0.00</x:v>
      </x:c>
      <x:c r="H33" s="31">
        <x:v>146935.00</x:v>
      </x:c>
      <x:c r="I33" s="31">
        <x:v>189109.00</x:v>
      </x:c>
      <x:c r="J33" s="31">
        <x:v>832083.00</x:v>
      </x:c>
      <x:c r="K33" s="33">
        <x:f>SUM(F33:J33)</x:f>
        <x:v>8333773.00</x:v>
      </x:c>
      <x:c r="L33" s="31"/>
      <x:c r="M33" s="31"/>
      <x:c r="N33" s="31"/>
      <x:c r="O33" s="31"/>
      <x:c r="P33" s="31"/>
      <x:c r="Q33" s="31"/>
      <x:c r="R33" s="19"/>
      <x:c r="S33" s="37"/>
    </x:row>
    <x:row r="34" s="20" customFormat="1">
      <x:c r="A34" s="20">
        <x:v>100</x:v>
      </x:c>
      <x:c r="B34" s="7"/>
      <x:c r="C34" s="8"/>
      <x:c r="D34" s="21"/>
      <x:c r="E34" s="24" t="s">
        <x:v>51</x:v>
      </x:c>
      <x:c r="F34" s="31">
        <x:v>113572620.00</x:v>
      </x:c>
      <x:c r="G34" s="31">
        <x:v>0.00</x:v>
      </x:c>
      <x:c r="H34" s="31">
        <x:v>2328861.00</x:v>
      </x:c>
      <x:c r="I34" s="31">
        <x:v>2997306.00</x:v>
      </x:c>
      <x:c r="J34" s="31">
        <x:v>13188174.00</x:v>
      </x:c>
      <x:c r="K34" s="33">
        <x:f>SUM(F34:J34)</x:f>
        <x:v>132086961.00</x:v>
      </x:c>
      <x:c r="L34" s="31"/>
      <x:c r="M34" s="31"/>
      <x:c r="N34" s="31"/>
      <x:c r="O34" s="31"/>
      <x:c r="P34" s="31"/>
      <x:c r="Q34" s="31"/>
      <x:c r="R34" s="19"/>
      <x:c r="S34" s="37"/>
    </x:row>
    <x:row r="35" s="20" customFormat="1">
      <x:c r="A35" s="20">
        <x:v>101</x:v>
      </x:c>
      <x:c r="B35" s="7"/>
      <x:c r="C35" s="8"/>
      <x:c r="D35" s="21"/>
      <x:c r="E35" s="24" t="s">
        <x:v>52</x:v>
      </x:c>
      <x:c r="F35" s="31">
        <x:v>1048226553.00</x:v>
      </x:c>
      <x:c r="G35" s="31">
        <x:v>0.00</x:v>
      </x:c>
      <x:c r="H35" s="31">
        <x:v>21494392.00</x:v>
      </x:c>
      <x:c r="I35" s="31">
        <x:v>27663848.00</x:v>
      </x:c>
      <x:c r="J35" s="31">
        <x:v>121721190.00</x:v>
      </x:c>
      <x:c r="K35" s="33">
        <x:f>SUM(F35:J35)</x:f>
        <x:v>1219105983.00</x:v>
      </x:c>
      <x:c r="L35" s="31">
        <x:v>660222753.09000003</x:v>
      </x:c>
      <x:c r="M35" s="31"/>
      <x:c r="N35" s="31">
        <x:v>2323932.613170503568818014921347442004</x:v>
      </x:c>
      <x:c r="O35" s="31">
        <x:v>7151850.587823626800151723664065543335</x:v>
      </x:c>
      <x:c r="P35" s="31">
        <x:v>280450238.589005889631030261414297088638</x:v>
      </x:c>
      <x:c r="Q35" s="31">
        <x:f>N35+O35+P35</x:f>
        <x:v>289926021.79000002</x:v>
      </x:c>
      <x:c r="R35" s="19">
        <x:f>SUM(L35:P35)</x:f>
        <x:v>950148774.88000005</x:v>
      </x:c>
      <x:c r="S35" s="37">
        <x:f>IF(K35=0,0,R35/K35)</x:f>
        <x:v>0.779381602690403702</x:v>
      </x:c>
    </x:row>
    <x:row r="36" s="20" customFormat="1">
      <x:c r="A36" s="20">
        <x:v>102</x:v>
      </x:c>
      <x:c r="B36" s="7"/>
      <x:c r="C36" s="8"/>
      <x:c r="D36" s="21"/>
      <x:c r="E36" s="24" t="s">
        <x:v>53</x:v>
      </x:c>
      <x:c r="F36" s="31">
        <x:v>0.00</x:v>
      </x:c>
      <x:c r="G36" s="31">
        <x:v>0.00</x:v>
      </x:c>
      <x:c r="H36" s="31">
        <x:v>0.00</x:v>
      </x:c>
      <x:c r="I36" s="31">
        <x:v>0.00</x:v>
      </x:c>
      <x:c r="J36" s="31">
        <x:v>0.00</x:v>
      </x:c>
      <x:c r="K36" s="33">
        <x:f>SUM(F36:J36)</x:f>
        <x:v>0.00</x:v>
      </x:c>
      <x:c r="L36" s="31"/>
      <x:c r="M36" s="31"/>
      <x:c r="N36" s="31"/>
      <x:c r="O36" s="31"/>
      <x:c r="P36" s="31"/>
      <x:c r="Q36" s="31"/>
      <x:c r="R36" s="19"/>
      <x:c r="S36" s="37"/>
    </x:row>
    <x:row r="37" s="20" customFormat="1">
      <x:c r="A37" s="20">
        <x:v>103</x:v>
      </x:c>
      <x:c r="B37" s="7"/>
      <x:c r="C37" s="8"/>
      <x:c r="D37" s="21"/>
      <x:c r="E37" s="24" t="s">
        <x:v>54</x:v>
      </x:c>
      <x:c r="F37" s="31">
        <x:v>0.00</x:v>
      </x:c>
      <x:c r="G37" s="31">
        <x:v>0.00</x:v>
      </x:c>
      <x:c r="H37" s="31">
        <x:v>0.00</x:v>
      </x:c>
      <x:c r="I37" s="31">
        <x:v>0.00</x:v>
      </x:c>
      <x:c r="J37" s="31">
        <x:v>0.00</x:v>
      </x:c>
      <x:c r="K37" s="33">
        <x:f>SUM(F37:J37)</x:f>
        <x:v>0.00</x:v>
      </x:c>
      <x:c r="L37" s="31"/>
      <x:c r="M37" s="31"/>
      <x:c r="N37" s="31"/>
      <x:c r="O37" s="31"/>
      <x:c r="P37" s="31"/>
      <x:c r="Q37" s="31"/>
      <x:c r="R37" s="19"/>
      <x:c r="S37" s="37"/>
    </x:row>
    <x:row r="38" s="20" customFormat="1">
      <x:c r="A38" s="20">
        <x:v>104</x:v>
      </x:c>
      <x:c r="B38" s="7"/>
      <x:c r="C38" s="8"/>
      <x:c r="D38" s="21"/>
      <x:c r="E38" s="24" t="s">
        <x:v>55</x:v>
      </x:c>
      <x:c r="F38" s="31">
        <x:v>171733351.00</x:v>
      </x:c>
      <x:c r="G38" s="31">
        <x:v>0.00</x:v>
      </x:c>
      <x:c r="H38" s="31">
        <x:v>3521475.00</x:v>
      </x:c>
      <x:c r="I38" s="31">
        <x:v>4532231.00</x:v>
      </x:c>
      <x:c r="J38" s="31">
        <x:v>19941861.00</x:v>
      </x:c>
      <x:c r="K38" s="33">
        <x:f>SUM(F38:J38)</x:f>
        <x:v>199728918.00</x:v>
      </x:c>
      <x:c r="L38" s="31"/>
      <x:c r="M38" s="31"/>
      <x:c r="N38" s="31"/>
      <x:c r="O38" s="31"/>
      <x:c r="P38" s="31"/>
      <x:c r="Q38" s="31"/>
      <x:c r="R38" s="19"/>
      <x:c r="S38" s="37"/>
    </x:row>
    <x:row r="39" s="20" customFormat="1">
      <x:c r="A39" s="20">
        <x:v>105</x:v>
      </x:c>
      <x:c r="B39" s="7"/>
      <x:c r="C39" s="8"/>
      <x:c r="D39" s="21"/>
      <x:c r="E39" s="24" t="s">
        <x:v>56</x:v>
      </x:c>
      <x:c r="F39" s="31">
        <x:v>43586002.00</x:v>
      </x:c>
      <x:c r="G39" s="31">
        <x:v>0.00</x:v>
      </x:c>
      <x:c r="H39" s="31">
        <x:v>893752.00</x:v>
      </x:c>
      <x:c r="I39" s="31">
        <x:v>1150282.00</x:v>
      </x:c>
      <x:c r="J39" s="31">
        <x:v>5061253.00</x:v>
      </x:c>
      <x:c r="K39" s="33">
        <x:f>SUM(F39:J39)</x:f>
        <x:v>50691289.00</x:v>
      </x:c>
      <x:c r="L39" s="31"/>
      <x:c r="M39" s="31"/>
      <x:c r="N39" s="31"/>
      <x:c r="O39" s="31"/>
      <x:c r="P39" s="31"/>
      <x:c r="Q39" s="31"/>
      <x:c r="R39" s="19"/>
      <x:c r="S39" s="37"/>
    </x:row>
    <x:row r="40" s="20" customFormat="1">
      <x:c r="A40" s="20">
        <x:v>106</x:v>
      </x:c>
      <x:c r="B40" s="7"/>
      <x:c r="C40" s="8"/>
      <x:c r="D40" s="21"/>
      <x:c r="E40" s="24" t="s">
        <x:v>57</x:v>
      </x:c>
      <x:c r="F40" s="31">
        <x:v>61831059.00</x:v>
      </x:c>
      <x:c r="G40" s="31">
        <x:v>0.00</x:v>
      </x:c>
      <x:c r="H40" s="31">
        <x:v>1267876.00</x:v>
      </x:c>
      <x:c r="I40" s="31">
        <x:v>1631789.00</x:v>
      </x:c>
      <x:c r="J40" s="31">
        <x:v>7179889.00</x:v>
      </x:c>
      <x:c r="K40" s="33">
        <x:f>SUM(F40:J40)</x:f>
        <x:v>71910613.00</x:v>
      </x:c>
      <x:c r="L40" s="31"/>
      <x:c r="M40" s="31"/>
      <x:c r="N40" s="31"/>
      <x:c r="O40" s="31"/>
      <x:c r="P40" s="31"/>
      <x:c r="Q40" s="31"/>
      <x:c r="R40" s="19"/>
      <x:c r="S40" s="37"/>
    </x:row>
    <x:row r="41" s="20" customFormat="1">
      <x:c r="A41" s="20">
        <x:v>107</x:v>
      </x:c>
      <x:c r="B41" s="7"/>
      <x:c r="C41" s="8"/>
      <x:c r="D41" s="21"/>
      <x:c r="E41" s="24" t="s">
        <x:v>58</x:v>
      </x:c>
      <x:c r="F41" s="31">
        <x:v>8973711.00</x:v>
      </x:c>
      <x:c r="G41" s="31">
        <x:v>0.00</x:v>
      </x:c>
      <x:c r="H41" s="31">
        <x:v>184010.00</x:v>
      </x:c>
      <x:c r="I41" s="31">
        <x:v>236826.00</x:v>
      </x:c>
      <x:c r="J41" s="31">
        <x:v>1042037.00</x:v>
      </x:c>
      <x:c r="K41" s="33">
        <x:f>SUM(F41:J41)</x:f>
        <x:v>10436584.00</x:v>
      </x:c>
      <x:c r="L41" s="31"/>
      <x:c r="M41" s="31"/>
      <x:c r="N41" s="31"/>
      <x:c r="O41" s="31"/>
      <x:c r="P41" s="31"/>
      <x:c r="Q41" s="31"/>
      <x:c r="R41" s="19"/>
      <x:c r="S41" s="37"/>
    </x:row>
    <x:row r="42" s="20" customFormat="1">
      <x:c r="A42" s="20">
        <x:v>108</x:v>
      </x:c>
      <x:c r="B42" s="7"/>
      <x:c r="C42" s="8"/>
      <x:c r="D42" s="21"/>
      <x:c r="E42" s="24" t="s">
        <x:v>59</x:v>
      </x:c>
      <x:c r="F42" s="31">
        <x:v>20792745.00</x:v>
      </x:c>
      <x:c r="G42" s="31">
        <x:v>0.00</x:v>
      </x:c>
      <x:c r="H42" s="31">
        <x:v>426365.00</x:v>
      </x:c>
      <x:c r="I42" s="31">
        <x:v>548743.00</x:v>
      </x:c>
      <x:c r="J42" s="31">
        <x:v>2414476.00</x:v>
      </x:c>
      <x:c r="K42" s="33">
        <x:f>SUM(F42:J42)</x:f>
        <x:v>24182329.00</x:v>
      </x:c>
      <x:c r="L42" s="31"/>
      <x:c r="M42" s="31"/>
      <x:c r="N42" s="31"/>
      <x:c r="O42" s="31"/>
      <x:c r="P42" s="31"/>
      <x:c r="Q42" s="31"/>
      <x:c r="R42" s="19"/>
      <x:c r="S42" s="37"/>
    </x:row>
    <x:row r="43" s="20" customFormat="1">
      <x:c r="A43" s="20">
        <x:v>109</x:v>
      </x:c>
      <x:c r="B43" s="7"/>
      <x:c r="C43" s="8"/>
      <x:c r="D43" s="21"/>
      <x:c r="E43" s="24" t="s">
        <x:v>60</x:v>
      </x:c>
      <x:c r="F43" s="31">
        <x:v>139469311.00</x:v>
      </x:c>
      <x:c r="G43" s="31">
        <x:v>0.00</x:v>
      </x:c>
      <x:c r="H43" s="31">
        <x:v>2859886.00</x:v>
      </x:c>
      <x:c r="I43" s="31">
        <x:v>3680748.00</x:v>
      </x:c>
      <x:c r="J43" s="31">
        <x:v>16195326.00</x:v>
      </x:c>
      <x:c r="K43" s="33">
        <x:f>SUM(F43:J43)</x:f>
        <x:v>162205271.00</x:v>
      </x:c>
      <x:c r="L43" s="31">
        <x:v>199419111.46000001</x:v>
      </x:c>
      <x:c r="M43" s="31"/>
      <x:c r="N43" s="31">
        <x:v>731092.896400869056543158621105169802</x:v>
      </x:c>
      <x:c r="O43" s="31">
        <x:v>2249922.020649663957421136031433667973</x:v>
      </x:c>
      <x:c r="P43" s="31">
        <x:v>88227677.542949459986035705347369953531</x:v>
      </x:c>
      <x:c r="Q43" s="31">
        <x:f>N43+O43+P43</x:f>
        <x:v>91208692.459999993</x:v>
      </x:c>
      <x:c r="R43" s="19">
        <x:f>SUM(L43:P43)</x:f>
        <x:v>290627803.920000003</x:v>
      </x:c>
      <x:c r="S43" s="37">
        <x:f>IF(K43=0,0,R43/K43)</x:f>
        <x:v>1.791728481622523863</x:v>
      </x:c>
    </x:row>
    <x:row r="44" s="20" customFormat="1">
      <x:c r="A44" s="20">
        <x:v>110</x:v>
      </x:c>
      <x:c r="B44" s="7"/>
      <x:c r="C44" s="8"/>
      <x:c r="D44" s="21"/>
      <x:c r="E44" s="24" t="s">
        <x:v>61</x:v>
      </x:c>
      <x:c r="F44" s="31">
        <x:v>1113365698.00</x:v>
      </x:c>
      <x:c r="G44" s="31">
        <x:v>0.00</x:v>
      </x:c>
      <x:c r="H44" s="31">
        <x:v>22830101.00</x:v>
      </x:c>
      <x:c r="I44" s="31">
        <x:v>29382941.00</x:v>
      </x:c>
      <x:c r="J44" s="31">
        <x:v>129285217.00</x:v>
      </x:c>
      <x:c r="K44" s="33">
        <x:f>SUM(F44:J44)</x:f>
        <x:v>1294863957.00</x:v>
      </x:c>
      <x:c r="L44" s="31">
        <x:v>146982056.88</x:v>
      </x:c>
      <x:c r="M44" s="31"/>
      <x:c r="N44" s="31">
        <x:v>598838.165439439885476545109780698359</x:v>
      </x:c>
      <x:c r="O44" s="31">
        <x:v>1842911.047091991349993127800212590678</x:v>
      </x:c>
      <x:c r="P44" s="31">
        <x:v>72267287.537468568764530327089932001925</x:v>
      </x:c>
      <x:c r="Q44" s="31">
        <x:f>N44+O44+P44</x:f>
        <x:v>74709036.75</x:v>
      </x:c>
      <x:c r="R44" s="19">
        <x:f>SUM(L44:P44)</x:f>
        <x:v>221691093.63</x:v>
      </x:c>
      <x:c r="S44" s="37">
        <x:f>IF(K44=0,0,R44/K44)</x:f>
        <x:v>0.171208019523243243</x:v>
      </x:c>
    </x:row>
    <x:row r="45" s="20" customFormat="1">
      <x:c r="A45" s="20">
        <x:v>111</x:v>
      </x:c>
      <x:c r="B45" s="7"/>
      <x:c r="C45" s="8"/>
      <x:c r="D45" s="21"/>
      <x:c r="E45" s="24" t="s">
        <x:v>62</x:v>
      </x:c>
      <x:c r="F45" s="31">
        <x:v>29986962.00</x:v>
      </x:c>
      <x:c r="G45" s="31">
        <x:v>0.00</x:v>
      </x:c>
      <x:c r="H45" s="31">
        <x:v>614897.00</x:v>
      </x:c>
      <x:c r="I45" s="31">
        <x:v>791389.00</x:v>
      </x:c>
      <x:c r="J45" s="31">
        <x:v>3482118.00</x:v>
      </x:c>
      <x:c r="K45" s="33">
        <x:f>SUM(F45:J45)</x:f>
        <x:v>34875366.00</x:v>
      </x:c>
      <x:c r="L45" s="31">
        <x:v>27794500.00</x:v>
      </x:c>
      <x:c r="M45" s="31"/>
      <x:c r="N45" s="31">
        <x:v>97834.472859417284913447519953847000</x:v>
      </x:c>
      <x:c r="O45" s="31">
        <x:v>301083.399864358449546481689385384500</x:v>
      </x:c>
      <x:c r="P45" s="31">
        <x:v>11806582.127276224265540070790648563000</x:v>
      </x:c>
      <x:c r="Q45" s="31">
        <x:f>N45+O45+P45</x:f>
        <x:v>12205500.00</x:v>
      </x:c>
      <x:c r="R45" s="19">
        <x:f>SUM(L45:P45)</x:f>
        <x:v>40000000.00</x:v>
      </x:c>
      <x:c r="S45" s="37">
        <x:f>IF(K45=0,0,R45/K45)</x:f>
        <x:v>1.146941368299905440</x:v>
      </x:c>
    </x:row>
    <x:row r="46" s="20" customFormat="1">
      <x:c r="A46" s="20">
        <x:v>112</x:v>
      </x:c>
      <x:c r="B46" s="7"/>
      <x:c r="C46" s="8"/>
      <x:c r="D46" s="21"/>
      <x:c r="E46" s="24" t="s">
        <x:v>63</x:v>
      </x:c>
      <x:c r="F46" s="31">
        <x:v>707805475.00</x:v>
      </x:c>
      <x:c r="G46" s="31">
        <x:v>0.00</x:v>
      </x:c>
      <x:c r="H46" s="31">
        <x:v>14513893.00</x:v>
      </x:c>
      <x:c r="I46" s="31">
        <x:v>18679762.00</x:v>
      </x:c>
      <x:c r="J46" s="31">
        <x:v>82191129.00</x:v>
      </x:c>
      <x:c r="K46" s="33">
        <x:f>SUM(F46:J46)</x:f>
        <x:v>823190259.00</x:v>
      </x:c>
      <x:c r="L46" s="31">
        <x:v>304866886.89999998</x:v>
      </x:c>
      <x:c r="M46" s="31"/>
      <x:c r="N46" s="31">
        <x:v>1072887.032766574152755665026794472489</x:v>
      </x:c>
      <x:c r="O46" s="31">
        <x:v>3301785.823080147907790710762305986974</x:v>
      </x:c>
      <x:c r="P46" s="31">
        <x:v>129475107.244153267939453624210765690756</x:v>
      </x:c>
      <x:c r="Q46" s="31">
        <x:f>N46+O46+P46</x:f>
        <x:v>133849780.09999999</x:v>
      </x:c>
      <x:c r="R46" s="19">
        <x:f>SUM(L46:P46)</x:f>
        <x:v>438716666.99999997</x:v>
      </x:c>
      <x:c r="S46" s="37">
        <x:f>IF(K46=0,0,R46/K46)</x:f>
        <x:v>0.532946863988583676</x:v>
      </x:c>
    </x:row>
    <x:row r="47" s="20" customFormat="1">
      <x:c r="A47" s="20">
        <x:v>113</x:v>
      </x:c>
      <x:c r="B47" s="7"/>
      <x:c r="C47" s="8"/>
      <x:c r="D47" s="21"/>
      <x:c r="E47" s="24" t="s">
        <x:v>64</x:v>
      </x:c>
      <x:c r="F47" s="31">
        <x:v>14274196.00</x:v>
      </x:c>
      <x:c r="G47" s="31">
        <x:v>0.00</x:v>
      </x:c>
      <x:c r="H47" s="31">
        <x:v>292699.00</x:v>
      </x:c>
      <x:c r="I47" s="31">
        <x:v>376712.00</x:v>
      </x:c>
      <x:c r="J47" s="31">
        <x:v>1657535.00</x:v>
      </x:c>
      <x:c r="K47" s="33">
        <x:f>SUM(F47:J47)</x:f>
        <x:v>16601142.00</x:v>
      </x:c>
      <x:c r="L47" s="31"/>
      <x:c r="M47" s="31"/>
      <x:c r="N47" s="31"/>
      <x:c r="O47" s="31"/>
      <x:c r="P47" s="31"/>
      <x:c r="Q47" s="31"/>
      <x:c r="R47" s="19"/>
      <x:c r="S47" s="37"/>
    </x:row>
    <x:row r="48" s="20" customFormat="1">
      <x:c r="A48" s="20">
        <x:v>114</x:v>
      </x:c>
      <x:c r="B48" s="7"/>
      <x:c r="C48" s="8"/>
      <x:c r="D48" s="21"/>
      <x:c r="E48" s="24" t="s">
        <x:v>65</x:v>
      </x:c>
      <x:c r="F48" s="31">
        <x:v>136952980.00</x:v>
      </x:c>
      <x:c r="G48" s="31">
        <x:v>0.00</x:v>
      </x:c>
      <x:c r="H48" s="31">
        <x:v>2808287.00</x:v>
      </x:c>
      <x:c r="I48" s="31">
        <x:v>3614339.00</x:v>
      </x:c>
      <x:c r="J48" s="31">
        <x:v>15903127.00</x:v>
      </x:c>
      <x:c r="K48" s="33">
        <x:f>SUM(F48:J48)</x:f>
        <x:v>159278733.00</x:v>
      </x:c>
      <x:c r="L48" s="31"/>
      <x:c r="M48" s="31"/>
      <x:c r="N48" s="31"/>
      <x:c r="O48" s="31"/>
      <x:c r="P48" s="31"/>
      <x:c r="Q48" s="31"/>
      <x:c r="R48" s="19"/>
      <x:c r="S48" s="37"/>
    </x:row>
    <x:row r="49" s="20" customFormat="1">
      <x:c r="A49" s="20">
        <x:v>115</x:v>
      </x:c>
      <x:c r="B49" s="7"/>
      <x:c r="C49" s="8"/>
      <x:c r="D49" s="21"/>
      <x:c r="E49" s="24" t="s">
        <x:v>66</x:v>
      </x:c>
      <x:c r="F49" s="31">
        <x:v>180733558.00</x:v>
      </x:c>
      <x:c r="G49" s="31">
        <x:v>0.00</x:v>
      </x:c>
      <x:c r="H49" s="31">
        <x:v>3706029.00</x:v>
      </x:c>
      <x:c r="I49" s="31">
        <x:v>4769757.00</x:v>
      </x:c>
      <x:c r="J49" s="31">
        <x:v>20986974.00</x:v>
      </x:c>
      <x:c r="K49" s="33">
        <x:f>SUM(F49:J49)</x:f>
        <x:v>210196318.00</x:v>
      </x:c>
      <x:c r="L49" s="31">
        <x:v>100053793.80</x:v>
      </x:c>
      <x:c r="M49" s="31"/>
      <x:c r="N49" s="31">
        <x:v>343261.942501330524311256755203311060</x:v>
      </x:c>
      <x:c r="O49" s="31">
        <x:v>1056380.942950992517909223542160452724</x:v>
      </x:c>
      <x:c r="P49" s="31">
        <x:v>41424563.314547679957779519702593412008</x:v>
      </x:c>
      <x:c r="Q49" s="31">
        <x:f>N49+O49+P49</x:f>
        <x:v>42824206.200000003</x:v>
      </x:c>
      <x:c r="R49" s="19">
        <x:f>SUM(L49:P49)</x:f>
        <x:v>142878000.000000003</x:v>
      </x:c>
      <x:c r="S49" s="37">
        <x:f>IF(K49=0,0,R49/K49)</x:f>
        <x:v>0.679735979009870206</x:v>
      </x:c>
    </x:row>
    <x:row r="50" s="20" customFormat="1">
      <x:c r="A50" s="20">
        <x:v>124</x:v>
      </x:c>
      <x:c r="B50" s="7"/>
      <x:c r="C50" s="8"/>
      <x:c r="D50" s="21"/>
      <x:c r="E50" s="24" t="s">
        <x:v>67</x:v>
      </x:c>
      <x:c r="F50" s="31">
        <x:v>32127921.00</x:v>
      </x:c>
      <x:c r="G50" s="31">
        <x:v>0.00</x:v>
      </x:c>
      <x:c r="H50" s="31">
        <x:v>658799.00</x:v>
      </x:c>
      <x:c r="I50" s="31">
        <x:v>847891.00</x:v>
      </x:c>
      <x:c r="J50" s="31">
        <x:v>3730729.00</x:v>
      </x:c>
      <x:c r="K50" s="33">
        <x:f>SUM(F50:J50)</x:f>
        <x:v>37365340.00</x:v>
      </x:c>
      <x:c r="L50" s="31"/>
      <x:c r="M50" s="31"/>
      <x:c r="N50" s="31"/>
      <x:c r="O50" s="31"/>
      <x:c r="P50" s="31"/>
      <x:c r="Q50" s="31"/>
      <x:c r="R50" s="19"/>
      <x:c r="S50" s="37"/>
    </x:row>
    <x:row r="51" s="20" customFormat="1">
      <x:c r="A51" s="20">
        <x:v>143</x:v>
      </x:c>
      <x:c r="B51" s="7"/>
      <x:c r="C51" s="8"/>
      <x:c r="D51" s="21"/>
      <x:c r="E51" s="24" t="s">
        <x:v>68</x:v>
      </x:c>
      <x:c r="F51" s="31">
        <x:v>0.00</x:v>
      </x:c>
      <x:c r="G51" s="31">
        <x:v>0.00</x:v>
      </x:c>
      <x:c r="H51" s="31">
        <x:v>0.00</x:v>
      </x:c>
      <x:c r="I51" s="31">
        <x:v>0.00</x:v>
      </x:c>
      <x:c r="J51" s="31">
        <x:v>0.00</x:v>
      </x:c>
      <x:c r="K51" s="33">
        <x:f>SUM(F51:J51)</x:f>
        <x:v>0.00</x:v>
      </x:c>
      <x:c r="L51" s="31"/>
      <x:c r="M51" s="31"/>
      <x:c r="N51" s="31"/>
      <x:c r="O51" s="31"/>
      <x:c r="P51" s="31"/>
      <x:c r="Q51" s="31"/>
      <x:c r="R51" s="19"/>
      <x:c r="S51" s="37"/>
    </x:row>
    <x:row r="52" s="20" customFormat="1">
      <x:c r="A52" s="20">
        <x:v>0</x:v>
      </x:c>
      <x:c r="B52" s="7"/>
      <x:c r="C52" s="8"/>
      <x:c r="D52" s="21"/>
      <x:c r="E52" s="24" t="s">
        <x:v>69</x:v>
      </x:c>
      <x:c r="F52" s="31">
        <x:v>79301088.00</x:v>
      </x:c>
      <x:c r="G52" s="31">
        <x:v>0.00</x:v>
      </x:c>
      <x:c r="H52" s="31">
        <x:v>1626107.00</x:v>
      </x:c>
      <x:c r="I52" s="31">
        <x:v>2092843.00</x:v>
      </x:c>
      <x:c r="J52" s="31">
        <x:v>9208527.00</x:v>
      </x:c>
      <x:c r="K52" s="33">
        <x:f>SUM(F52:J52)</x:f>
        <x:v>92228565.00</x:v>
      </x:c>
      <x:c r="L52" s="31">
        <x:v>58182183.100000001</x:v>
      </x:c>
      <x:c r="M52" s="31"/>
      <x:c r="N52" s="31">
        <x:v>208414.959993870824943761798589646635</x:v>
      </x:c>
      <x:c r="O52" s="31">
        <x:v>641392.373296859892090144406944096653</x:v>
      </x:c>
      <x:c r="P52" s="31">
        <x:v>25151342.566709268282966093794440255560</x:v>
      </x:c>
      <x:c r="Q52" s="31">
        <x:f>N52+O52+P52</x:f>
        <x:v>26001149.899999999</x:v>
      </x:c>
      <x:c r="R52" s="19">
        <x:f>SUM(L52:P52)</x:f>
        <x:v>84183333.000000000</x:v>
      </x:c>
      <x:c r="S52" s="37">
        <x:f>IF(K52=0,0,R52/K52)</x:f>
        <x:v>0.912768544105614133</x:v>
      </x:c>
    </x:row>
    <x:row r="53" s="23" customFormat="1">
      <x:c r="B53" s="12">
        <x:v>21</x:v>
      </x:c>
      <x:c r="C53" s="8" t="s">
        <x:v>34</x:v>
      </x:c>
      <x:c r="D53" s="14"/>
      <x:c r="E53" s="15" t="s">
        <x:v>70</x:v>
      </x:c>
      <x:c r="F53" s="32">
        <x:f>SUM(F30:F52)</x:f>
        <x:v>5066255141.00</x:v>
      </x:c>
      <x:c r="G53" s="32">
        <x:f>SUM(G30:G52)</x:f>
        <x:v>0.00</x:v>
      </x:c>
      <x:c r="H53" s="32">
        <x:f>SUM(H30:H52)</x:f>
        <x:v>103886008.00</x:v>
      </x:c>
      <x:c r="I53" s="32">
        <x:f>SUM(I30:I52)</x:f>
        <x:v>133704026.00</x:v>
      </x:c>
      <x:c r="J53" s="32">
        <x:f>SUM(J30:J52)</x:f>
        <x:v>588298972.00</x:v>
      </x:c>
      <x:c r="K53" s="32">
        <x:f>SUM(K30:K52)</x:f>
        <x:v>5892144147.00</x:v>
      </x:c>
      <x:c r="L53" s="32">
        <x:f>SUM(L30:L52)</x:f>
        <x:v>1977628715.880000031</x:v>
      </x:c>
      <x:c r="M53" s="32"/>
      <x:c r="N53" s="32">
        <x:f>SUM(N30:N52)</x:f>
        <x:v>7059322.072919110632387644704409796333</x:v>
      </x:c>
      <x:c r="O53" s="32">
        <x:f>SUM(O30:O52)</x:f>
        <x:v>21724905.632252371634230641841057665288</x:v>
      </x:c>
      <x:c r="P53" s="32">
        <x:f>SUM(P30:P52)</x:f>
        <x:v>851913066.844828512733381713453651841072</x:v>
      </x:c>
      <x:c r="Q53" s="32">
        <x:f>SUM(Q30:Q52)</x:f>
        <x:v>880697294.549999995</x:v>
      </x:c>
      <x:c r="R53" s="16">
        <x:f>SUM(R30:R52)</x:f>
        <x:v>2858326010.430000026</x:v>
      </x:c>
      <x:c r="S53" s="37">
        <x:f>IF(K53=0,0,R53/K53)</x:f>
        <x:v>0.485107957157722269</x:v>
      </x:c>
    </x:row>
    <x:row r="54" s="20" customFormat="1">
      <x:c r="B54" s="7"/>
      <x:c r="C54" s="8" t="s">
        <x:v>36</x:v>
      </x:c>
      <x:c r="D54" s="21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19"/>
      <x:c r="S54" s="19"/>
    </x:row>
    <x:row r="55" s="20" customFormat="1">
      <x:c r="B55" s="7"/>
      <x:c r="C55" s="8" t="s">
        <x:v>29</x:v>
      </x:c>
      <x:c r="D55" s="21"/>
      <x:c r="E55" s="22" t="s">
        <x:v>71</x:v>
      </x:c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19"/>
      <x:c r="S55" s="19"/>
    </x:row>
    <x:row r="56" s="20" customFormat="1">
      <x:c r="A56" s="20">
        <x:v>169</x:v>
      </x:c>
      <x:c r="B56" s="7"/>
      <x:c r="C56" s="8"/>
      <x:c r="D56" s="21"/>
      <x:c r="E56" s="24" t="s">
        <x:v>72</x:v>
      </x:c>
      <x:c r="F56" s="31">
        <x:v>0.00</x:v>
      </x:c>
      <x:c r="G56" s="31">
        <x:v>0.00</x:v>
      </x:c>
      <x:c r="H56" s="31">
        <x:v>0.00</x:v>
      </x:c>
      <x:c r="I56" s="31">
        <x:v>0.00</x:v>
      </x:c>
      <x:c r="J56" s="31">
        <x:v>0.00</x:v>
      </x:c>
      <x:c r="K56" s="33">
        <x:f>SUM(F56:J56)</x:f>
        <x:v>0.00</x:v>
      </x:c>
      <x:c r="L56" s="31"/>
      <x:c r="M56" s="31"/>
      <x:c r="N56" s="31"/>
      <x:c r="O56" s="31"/>
      <x:c r="P56" s="31"/>
      <x:c r="Q56" s="31"/>
      <x:c r="R56" s="19"/>
      <x:c r="S56" s="37"/>
    </x:row>
    <x:row r="57" s="20" customFormat="1">
      <x:c r="A57" s="20">
        <x:v>171</x:v>
      </x:c>
      <x:c r="B57" s="7"/>
      <x:c r="C57" s="8"/>
      <x:c r="D57" s="21"/>
      <x:c r="E57" s="24" t="s">
        <x:v>73</x:v>
      </x:c>
      <x:c r="F57" s="31">
        <x:v>0.00</x:v>
      </x:c>
      <x:c r="G57" s="31">
        <x:v>0.00</x:v>
      </x:c>
      <x:c r="H57" s="31">
        <x:v>0.00</x:v>
      </x:c>
      <x:c r="I57" s="31">
        <x:v>0.00</x:v>
      </x:c>
      <x:c r="J57" s="31">
        <x:v>0.00</x:v>
      </x:c>
      <x:c r="K57" s="33">
        <x:f>SUM(F57:J57)</x:f>
        <x:v>0.00</x:v>
      </x:c>
      <x:c r="L57" s="31"/>
      <x:c r="M57" s="31"/>
      <x:c r="N57" s="31"/>
      <x:c r="O57" s="31"/>
      <x:c r="P57" s="31"/>
      <x:c r="Q57" s="31"/>
      <x:c r="R57" s="19"/>
      <x:c r="S57" s="37"/>
    </x:row>
    <x:row r="58" s="20" customFormat="1">
      <x:c r="A58" s="20">
        <x:v>175</x:v>
      </x:c>
      <x:c r="B58" s="7"/>
      <x:c r="C58" s="8"/>
      <x:c r="D58" s="21"/>
      <x:c r="E58" s="24" t="s">
        <x:v>74</x:v>
      </x:c>
      <x:c r="F58" s="31">
        <x:v>0.00</x:v>
      </x:c>
      <x:c r="G58" s="31">
        <x:v>0.00</x:v>
      </x:c>
      <x:c r="H58" s="31">
        <x:v>0.00</x:v>
      </x:c>
      <x:c r="I58" s="31">
        <x:v>0.00</x:v>
      </x:c>
      <x:c r="J58" s="31">
        <x:v>0.00</x:v>
      </x:c>
      <x:c r="K58" s="33">
        <x:f>SUM(F58:J58)</x:f>
        <x:v>0.00</x:v>
      </x:c>
      <x:c r="L58" s="31"/>
      <x:c r="M58" s="31"/>
      <x:c r="N58" s="31"/>
      <x:c r="O58" s="31"/>
      <x:c r="P58" s="31"/>
      <x:c r="Q58" s="31"/>
      <x:c r="R58" s="19"/>
      <x:c r="S58" s="37"/>
    </x:row>
    <x:row r="59" s="20" customFormat="1">
      <x:c r="A59" s="20">
        <x:v>176</x:v>
      </x:c>
      <x:c r="B59" s="7"/>
      <x:c r="C59" s="8"/>
      <x:c r="D59" s="21"/>
      <x:c r="E59" s="24" t="s">
        <x:v>75</x:v>
      </x:c>
      <x:c r="F59" s="31">
        <x:v>0.00</x:v>
      </x:c>
      <x:c r="G59" s="31">
        <x:v>0.00</x:v>
      </x:c>
      <x:c r="H59" s="31">
        <x:v>0.00</x:v>
      </x:c>
      <x:c r="I59" s="31">
        <x:v>0.00</x:v>
      </x:c>
      <x:c r="J59" s="31">
        <x:v>0.00</x:v>
      </x:c>
      <x:c r="K59" s="33">
        <x:f>SUM(F59:J59)</x:f>
        <x:v>0.00</x:v>
      </x:c>
      <x:c r="L59" s="31"/>
      <x:c r="M59" s="31"/>
      <x:c r="N59" s="31"/>
      <x:c r="O59" s="31"/>
      <x:c r="P59" s="31"/>
      <x:c r="Q59" s="31"/>
      <x:c r="R59" s="19"/>
      <x:c r="S59" s="37"/>
    </x:row>
    <x:row r="60" s="20" customFormat="1">
      <x:c r="A60" s="20">
        <x:v>177</x:v>
      </x:c>
      <x:c r="B60" s="7"/>
      <x:c r="C60" s="8"/>
      <x:c r="D60" s="21"/>
      <x:c r="E60" s="24" t="s">
        <x:v>76</x:v>
      </x:c>
      <x:c r="F60" s="31">
        <x:v>0.00</x:v>
      </x:c>
      <x:c r="G60" s="31">
        <x:v>0.00</x:v>
      </x:c>
      <x:c r="H60" s="31">
        <x:v>0.00</x:v>
      </x:c>
      <x:c r="I60" s="31">
        <x:v>0.00</x:v>
      </x:c>
      <x:c r="J60" s="31">
        <x:v>0.00</x:v>
      </x:c>
      <x:c r="K60" s="33">
        <x:f>SUM(F60:J60)</x:f>
        <x:v>0.00</x:v>
      </x:c>
      <x:c r="L60" s="31"/>
      <x:c r="M60" s="31"/>
      <x:c r="N60" s="31"/>
      <x:c r="O60" s="31"/>
      <x:c r="P60" s="31"/>
      <x:c r="Q60" s="31"/>
      <x:c r="R60" s="19"/>
      <x:c r="S60" s="37"/>
    </x:row>
    <x:row r="61" s="20" customFormat="1">
      <x:c r="A61" s="20">
        <x:v>179</x:v>
      </x:c>
      <x:c r="B61" s="7"/>
      <x:c r="C61" s="8"/>
      <x:c r="D61" s="21"/>
      <x:c r="E61" s="24" t="s">
        <x:v>77</x:v>
      </x:c>
      <x:c r="F61" s="31">
        <x:v>145489959.00</x:v>
      </x:c>
      <x:c r="G61" s="31">
        <x:v>0.00</x:v>
      </x:c>
      <x:c r="H61" s="31">
        <x:v>2983342.00</x:v>
      </x:c>
      <x:c r="I61" s="31">
        <x:v>3839640.00</x:v>
      </x:c>
      <x:c r="J61" s="31">
        <x:v>16894450.00</x:v>
      </x:c>
      <x:c r="K61" s="33">
        <x:f>SUM(F61:J61)</x:f>
        <x:v>169207391.00</x:v>
      </x:c>
      <x:c r="L61" s="31">
        <x:v>63427433.439999998</x:v>
      </x:c>
      <x:c r="M61" s="31"/>
      <x:c r="N61" s="31">
        <x:v>237818.506875972721661845985583703922</x:v>
      </x:c>
      <x:c r="O61" s="31">
        <x:v>731881.130527201907615265090583402146</x:v>
      </x:c>
      <x:c r="P61" s="31">
        <x:v>28699737.942596823370722888923803224494</x:v>
      </x:c>
      <x:c r="Q61" s="31">
        <x:f>N61+O61+P61</x:f>
        <x:v>29669437.579999998</x:v>
      </x:c>
      <x:c r="R61" s="19">
        <x:f>SUM(L61:P61)</x:f>
        <x:v>93096871.019999996</x:v>
      </x:c>
      <x:c r="S61" s="37">
        <x:f>IF(K61=0,0,R61/K61)</x:f>
        <x:v>0.550193880242500730</x:v>
      </x:c>
    </x:row>
    <x:row r="62" s="20" customFormat="1">
      <x:c r="A62" s="20">
        <x:v>180</x:v>
      </x:c>
      <x:c r="B62" s="7"/>
      <x:c r="C62" s="8"/>
      <x:c r="D62" s="21"/>
      <x:c r="E62" s="24" t="s">
        <x:v>78</x:v>
      </x:c>
      <x:c r="F62" s="31">
        <x:v>17069430.00</x:v>
      </x:c>
      <x:c r="G62" s="31">
        <x:v>0.00</x:v>
      </x:c>
      <x:c r="H62" s="31">
        <x:v>350017.00</x:v>
      </x:c>
      <x:c r="I62" s="31">
        <x:v>450481.00</x:v>
      </x:c>
      <x:c r="J62" s="31">
        <x:v>1982120.00</x:v>
      </x:c>
      <x:c r="K62" s="33">
        <x:f>SUM(F62:J62)</x:f>
        <x:v>19852048.00</x:v>
      </x:c>
      <x:c r="L62" s="31">
        <x:v>5919841.4299999997</x:v>
      </x:c>
      <x:c r="M62" s="31"/>
      <x:c r="N62" s="31">
        <x:v>21502.443430673241991380489884008082</x:v>
      </x:c>
      <x:c r="O62" s="31">
        <x:v>66173.288251892150029449080093466282</x:v>
      </x:c>
      <x:c r="P62" s="31">
        <x:v>2594896.838317434407979170430019843063</x:v>
      </x:c>
      <x:c r="Q62" s="31">
        <x:f>N62+O62+P62</x:f>
        <x:v>2682572.5699999998</x:v>
      </x:c>
      <x:c r="R62" s="19">
        <x:f>SUM(L62:P62)</x:f>
        <x:v>8602413.9999999995</x:v>
      </x:c>
      <x:c r="S62" s="37">
        <x:f>IF(K62=0,0,R62/K62)</x:f>
        <x:v>0.433326274447855430</x:v>
      </x:c>
    </x:row>
    <x:row r="63" s="20" customFormat="1">
      <x:c r="A63" s="20">
        <x:v>181</x:v>
      </x:c>
      <x:c r="B63" s="7"/>
      <x:c r="C63" s="8"/>
      <x:c r="D63" s="21"/>
      <x:c r="E63" s="24" t="s">
        <x:v>79</x:v>
      </x:c>
      <x:c r="F63" s="31">
        <x:v>647042055.00</x:v>
      </x:c>
      <x:c r="G63" s="31">
        <x:v>0.00</x:v>
      </x:c>
      <x:c r="H63" s="31">
        <x:v>13267910.00</x:v>
      </x:c>
      <x:c r="I63" s="31">
        <x:v>17076149.00</x:v>
      </x:c>
      <x:c r="J63" s="31">
        <x:v>75135216.00</x:v>
      </x:c>
      <x:c r="K63" s="33">
        <x:f>SUM(F63:J63)</x:f>
        <x:v>752521330.00</x:v>
      </x:c>
      <x:c r="L63" s="31">
        <x:v>349162483.74000001</x:v>
      </x:c>
      <x:c r="M63" s="31"/>
      <x:c r="N63" s="31">
        <x:v>1228473.549164512329659804581516271300</x:v>
      </x:c>
      <x:c r="O63" s="31">
        <x:v>3780599.843956572090650454465583988786</x:v>
      </x:c>
      <x:c r="P63" s="31">
        <x:v>148251157.546878915579689740952746479682</x:v>
      </x:c>
      <x:c r="Q63" s="31">
        <x:f>N63+O63+P63</x:f>
        <x:v>153260230.94</x:v>
      </x:c>
      <x:c r="R63" s="19">
        <x:f>SUM(L63:P63)</x:f>
        <x:v>502422714.68000001</x:v>
      </x:c>
      <x:c r="S63" s="37">
        <x:f>IF(K63=0,0,R63/K63)</x:f>
        <x:v>0.667652456681859117</x:v>
      </x:c>
    </x:row>
    <x:row r="64" s="20" customFormat="1">
      <x:c r="A64" s="20">
        <x:v>134</x:v>
      </x:c>
      <x:c r="B64" s="7"/>
      <x:c r="C64" s="8"/>
      <x:c r="D64" s="21"/>
      <x:c r="E64" s="24" t="s">
        <x:v>80</x:v>
      </x:c>
      <x:c r="F64" s="31">
        <x:v>0.00</x:v>
      </x:c>
      <x:c r="G64" s="31">
        <x:v>0.00</x:v>
      </x:c>
      <x:c r="H64" s="31">
        <x:v>0.00</x:v>
      </x:c>
      <x:c r="I64" s="31">
        <x:v>0.00</x:v>
      </x:c>
      <x:c r="J64" s="31">
        <x:v>0.00</x:v>
      </x:c>
      <x:c r="K64" s="33">
        <x:f>SUM(F64:J64)</x:f>
        <x:v>0.00</x:v>
      </x:c>
      <x:c r="L64" s="31"/>
      <x:c r="M64" s="31"/>
      <x:c r="N64" s="31"/>
      <x:c r="O64" s="31"/>
      <x:c r="P64" s="31"/>
      <x:c r="Q64" s="31"/>
      <x:c r="R64" s="19"/>
      <x:c r="S64" s="37"/>
    </x:row>
    <x:row r="65" s="20" customFormat="1">
      <x:c r="A65" s="20">
        <x:v>132</x:v>
      </x:c>
      <x:c r="B65" s="7"/>
      <x:c r="C65" s="8"/>
      <x:c r="D65" s="21"/>
      <x:c r="E65" s="24" t="s">
        <x:v>81</x:v>
      </x:c>
      <x:c r="F65" s="31">
        <x:v>0.00</x:v>
      </x:c>
      <x:c r="G65" s="31">
        <x:v>0.00</x:v>
      </x:c>
      <x:c r="H65" s="31">
        <x:v>0.00</x:v>
      </x:c>
      <x:c r="I65" s="31">
        <x:v>0.00</x:v>
      </x:c>
      <x:c r="J65" s="31">
        <x:v>0.00</x:v>
      </x:c>
      <x:c r="K65" s="33">
        <x:f>SUM(F65:J65)</x:f>
        <x:v>0.00</x:v>
      </x:c>
      <x:c r="L65" s="31"/>
      <x:c r="M65" s="31"/>
      <x:c r="N65" s="31"/>
      <x:c r="O65" s="31"/>
      <x:c r="P65" s="31"/>
      <x:c r="Q65" s="31"/>
      <x:c r="R65" s="19"/>
      <x:c r="S65" s="37"/>
    </x:row>
    <x:row r="66" s="20" customFormat="1">
      <x:c r="A66" s="20">
        <x:v>133</x:v>
      </x:c>
      <x:c r="B66" s="7"/>
      <x:c r="C66" s="8"/>
      <x:c r="D66" s="21"/>
      <x:c r="E66" s="24" t="s">
        <x:v>82</x:v>
      </x:c>
      <x:c r="F66" s="31">
        <x:v>0.00</x:v>
      </x:c>
      <x:c r="G66" s="31">
        <x:v>0.00</x:v>
      </x:c>
      <x:c r="H66" s="31">
        <x:v>0.00</x:v>
      </x:c>
      <x:c r="I66" s="31">
        <x:v>0.00</x:v>
      </x:c>
      <x:c r="J66" s="31">
        <x:v>0.00</x:v>
      </x:c>
      <x:c r="K66" s="33">
        <x:f>SUM(F66:J66)</x:f>
        <x:v>0.00</x:v>
      </x:c>
      <x:c r="L66" s="31"/>
      <x:c r="M66" s="31"/>
      <x:c r="N66" s="31"/>
      <x:c r="O66" s="31"/>
      <x:c r="P66" s="31"/>
      <x:c r="Q66" s="31"/>
      <x:c r="R66" s="19"/>
      <x:c r="S66" s="37"/>
    </x:row>
    <x:row r="67" s="20" customFormat="1">
      <x:c r="A67" s="20">
        <x:v>182</x:v>
      </x:c>
      <x:c r="B67" s="7"/>
      <x:c r="C67" s="8"/>
      <x:c r="D67" s="21"/>
      <x:c r="E67" s="24" t="s">
        <x:v>83</x:v>
      </x:c>
      <x:c r="F67" s="31">
        <x:v>0.00</x:v>
      </x:c>
      <x:c r="G67" s="31">
        <x:v>0.00</x:v>
      </x:c>
      <x:c r="H67" s="31">
        <x:v>0.00</x:v>
      </x:c>
      <x:c r="I67" s="31">
        <x:v>0.00</x:v>
      </x:c>
      <x:c r="J67" s="31">
        <x:v>0.00</x:v>
      </x:c>
      <x:c r="K67" s="33">
        <x:f>SUM(F67:J67)</x:f>
        <x:v>0.00</x:v>
      </x:c>
      <x:c r="L67" s="31"/>
      <x:c r="M67" s="31"/>
      <x:c r="N67" s="31"/>
      <x:c r="O67" s="31"/>
      <x:c r="P67" s="31"/>
      <x:c r="Q67" s="31"/>
      <x:c r="R67" s="19"/>
      <x:c r="S67" s="37"/>
    </x:row>
    <x:row r="68" s="20" customFormat="1">
      <x:c r="A68" s="20">
        <x:v>137</x:v>
      </x:c>
      <x:c r="B68" s="7"/>
      <x:c r="C68" s="8"/>
      <x:c r="D68" s="21"/>
      <x:c r="E68" s="24" t="s">
        <x:v>84</x:v>
      </x:c>
      <x:c r="F68" s="31">
        <x:v>0.00</x:v>
      </x:c>
      <x:c r="G68" s="31">
        <x:v>0.00</x:v>
      </x:c>
      <x:c r="H68" s="31">
        <x:v>0.00</x:v>
      </x:c>
      <x:c r="I68" s="31">
        <x:v>0.00</x:v>
      </x:c>
      <x:c r="J68" s="31">
        <x:v>0.00</x:v>
      </x:c>
      <x:c r="K68" s="33">
        <x:f>SUM(F68:J68)</x:f>
        <x:v>0.00</x:v>
      </x:c>
      <x:c r="L68" s="31"/>
      <x:c r="M68" s="31"/>
      <x:c r="N68" s="31"/>
      <x:c r="O68" s="31"/>
      <x:c r="P68" s="31"/>
      <x:c r="Q68" s="31"/>
      <x:c r="R68" s="19"/>
      <x:c r="S68" s="37"/>
    </x:row>
    <x:row r="69" s="20" customFormat="1">
      <x:c r="A69" s="20">
        <x:v>129</x:v>
      </x:c>
      <x:c r="B69" s="7"/>
      <x:c r="C69" s="8"/>
      <x:c r="D69" s="21"/>
      <x:c r="E69" s="24" t="s">
        <x:v>85</x:v>
      </x:c>
      <x:c r="F69" s="31">
        <x:v>0.00</x:v>
      </x:c>
      <x:c r="G69" s="31">
        <x:v>0.00</x:v>
      </x:c>
      <x:c r="H69" s="31">
        <x:v>0.00</x:v>
      </x:c>
      <x:c r="I69" s="31">
        <x:v>0.00</x:v>
      </x:c>
      <x:c r="J69" s="31">
        <x:v>0.00</x:v>
      </x:c>
      <x:c r="K69" s="33">
        <x:f>SUM(F69:J69)</x:f>
        <x:v>0.00</x:v>
      </x:c>
      <x:c r="L69" s="31"/>
      <x:c r="M69" s="31"/>
      <x:c r="N69" s="31"/>
      <x:c r="O69" s="31"/>
      <x:c r="P69" s="31"/>
      <x:c r="Q69" s="31"/>
      <x:c r="R69" s="19"/>
      <x:c r="S69" s="37"/>
    </x:row>
    <x:row r="70" s="20" customFormat="1">
      <x:c r="A70" s="20">
        <x:v>5</x:v>
      </x:c>
      <x:c r="B70" s="7"/>
      <x:c r="C70" s="8"/>
      <x:c r="D70" s="21"/>
      <x:c r="E70" s="24" t="s">
        <x:v>86</x:v>
      </x:c>
      <x:c r="F70" s="31">
        <x:v>0.00</x:v>
      </x:c>
      <x:c r="G70" s="31">
        <x:v>0.00</x:v>
      </x:c>
      <x:c r="H70" s="31">
        <x:v>0.00</x:v>
      </x:c>
      <x:c r="I70" s="31">
        <x:v>0.00</x:v>
      </x:c>
      <x:c r="J70" s="31">
        <x:v>0.00</x:v>
      </x:c>
      <x:c r="K70" s="33">
        <x:f>SUM(F70:J70)</x:f>
        <x:v>0.00</x:v>
      </x:c>
      <x:c r="L70" s="31"/>
      <x:c r="M70" s="31"/>
      <x:c r="N70" s="31"/>
      <x:c r="O70" s="31"/>
      <x:c r="P70" s="31"/>
      <x:c r="Q70" s="31"/>
      <x:c r="R70" s="19"/>
      <x:c r="S70" s="37"/>
    </x:row>
    <x:row r="71" s="20" customFormat="1">
      <x:c r="A71" s="20">
        <x:v>183</x:v>
      </x:c>
      <x:c r="B71" s="7"/>
      <x:c r="C71" s="8"/>
      <x:c r="D71" s="21"/>
      <x:c r="E71" s="24" t="s">
        <x:v>87</x:v>
      </x:c>
      <x:c r="F71" s="31">
        <x:v>88305142.00</x:v>
      </x:c>
      <x:c r="G71" s="31">
        <x:v>0.00</x:v>
      </x:c>
      <x:c r="H71" s="31">
        <x:v>1810740.00</x:v>
      </x:c>
      <x:c r="I71" s="31">
        <x:v>2330470.00</x:v>
      </x:c>
      <x:c r="J71" s="31">
        <x:v>10254088.00</x:v>
      </x:c>
      <x:c r="K71" s="33">
        <x:f>SUM(F71:J71)</x:f>
        <x:v>102700440.00</x:v>
      </x:c>
      <x:c r="L71" s="31">
        <x:v>24986708.629999999</x:v>
      </x:c>
      <x:c r="M71" s="31"/>
      <x:c r="N71" s="31">
        <x:v>83153.624637445270584518087082465251</x:v>
      </x:c>
      <x:c r="O71" s="31">
        <x:v>255903.418142420004983769612316726525</x:v>
      </x:c>
      <x:c r="P71" s="31">
        <x:v>10034909.677220135724431712300590434256</x:v>
      </x:c>
      <x:c r="Q71" s="31">
        <x:f>N71+O71+P71</x:f>
        <x:v>10373966.720000001</x:v>
      </x:c>
      <x:c r="R71" s="19">
        <x:f>SUM(L71:P71)</x:f>
        <x:v>35360675.350000000</x:v>
      </x:c>
      <x:c r="S71" s="37">
        <x:f>IF(K71=0,0,R71/K71)</x:f>
        <x:v>0.344308898287095946</x:v>
      </x:c>
    </x:row>
    <x:row r="72" s="20" customFormat="1">
      <x:c r="A72" s="20">
        <x:v>184</x:v>
      </x:c>
      <x:c r="B72" s="7"/>
      <x:c r="C72" s="8"/>
      <x:c r="D72" s="21"/>
      <x:c r="E72" s="24" t="s">
        <x:v>88</x:v>
      </x:c>
      <x:c r="F72" s="31">
        <x:v>8323041.00</x:v>
      </x:c>
      <x:c r="G72" s="31">
        <x:v>0.00</x:v>
      </x:c>
      <x:c r="H72" s="31">
        <x:v>170668.00</x:v>
      </x:c>
      <x:c r="I72" s="31">
        <x:v>219654.00</x:v>
      </x:c>
      <x:c r="J72" s="31">
        <x:v>966480.00</x:v>
      </x:c>
      <x:c r="K72" s="33">
        <x:f>SUM(F72:J72)</x:f>
        <x:v>9679843.00</x:v>
      </x:c>
      <x:c r="L72" s="31">
        <x:v>8855705.6899999995</x:v>
      </x:c>
      <x:c r="M72" s="31"/>
      <x:c r="N72" s="31">
        <x:v>28965.819715895286692951172027406423</x:v>
      </x:c>
      <x:c r="O72" s="31">
        <x:v>89141.661676366316102687330936391069</x:v>
      </x:c>
      <x:c r="P72" s="31">
        <x:v>3495570.828607738397204361497032588828</x:v>
      </x:c>
      <x:c r="Q72" s="31">
        <x:f>N72+O72+P72</x:f>
        <x:v>3613678.31</x:v>
      </x:c>
      <x:c r="R72" s="19">
        <x:f>SUM(L72:P72)</x:f>
        <x:v>12469383.9999999995</x:v>
      </x:c>
      <x:c r="S72" s="37">
        <x:f>IF(K72=0,0,R72/K72)</x:f>
        <x:v>1.288180397140738697</x:v>
      </x:c>
    </x:row>
    <x:row r="73" s="20" customFormat="1">
      <x:c r="A73" s="20">
        <x:v>185</x:v>
      </x:c>
      <x:c r="B73" s="7"/>
      <x:c r="C73" s="8"/>
      <x:c r="D73" s="21"/>
      <x:c r="E73" s="24" t="s">
        <x:v>89</x:v>
      </x:c>
      <x:c r="F73" s="31">
        <x:v>46865884.00</x:v>
      </x:c>
      <x:c r="G73" s="31">
        <x:v>0.00</x:v>
      </x:c>
      <x:c r="H73" s="31">
        <x:v>961008.00</x:v>
      </x:c>
      <x:c r="I73" s="31">
        <x:v>1236842.00</x:v>
      </x:c>
      <x:c r="J73" s="31">
        <x:v>5442117.00</x:v>
      </x:c>
      <x:c r="K73" s="33">
        <x:f>SUM(F73:J73)</x:f>
        <x:v>54505851.00</x:v>
      </x:c>
      <x:c r="L73" s="31">
        <x:v>40202020.00</x:v>
      </x:c>
      <x:c r="M73" s="31"/>
      <x:c r="N73" s="31">
        <x:v>133844.420229985878099139602575800920</x:v>
      </x:c>
      <x:c r="O73" s="31">
        <x:v>411903.206691004883319664112057954420</x:v>
      </x:c>
      <x:c r="P73" s="31">
        <x:v>16152232.373079009238581196285349546680</x:v>
      </x:c>
      <x:c r="Q73" s="31">
        <x:f>N73+O73+P73</x:f>
        <x:v>16697980.00</x:v>
      </x:c>
      <x:c r="R73" s="19">
        <x:f>SUM(L73:P73)</x:f>
        <x:v>56900000.00</x:v>
      </x:c>
      <x:c r="S73" s="37">
        <x:f>IF(K73=0,0,R73/K73)</x:f>
        <x:v>1.043924623798645029</x:v>
      </x:c>
    </x:row>
    <x:row r="74" s="20" customFormat="1">
      <x:c r="A74" s="20">
        <x:v>186</x:v>
      </x:c>
      <x:c r="B74" s="7"/>
      <x:c r="C74" s="8"/>
      <x:c r="D74" s="21"/>
      <x:c r="E74" s="24" t="s">
        <x:v>90</x:v>
      </x:c>
      <x:c r="F74" s="31">
        <x:v>0.00</x:v>
      </x:c>
      <x:c r="G74" s="31">
        <x:v>0.00</x:v>
      </x:c>
      <x:c r="H74" s="31">
        <x:v>0.00</x:v>
      </x:c>
      <x:c r="I74" s="31">
        <x:v>0.00</x:v>
      </x:c>
      <x:c r="J74" s="31">
        <x:v>0.00</x:v>
      </x:c>
      <x:c r="K74" s="33">
        <x:f>SUM(F74:J74)</x:f>
        <x:v>0.00</x:v>
      </x:c>
      <x:c r="L74" s="31"/>
      <x:c r="M74" s="31"/>
      <x:c r="N74" s="31"/>
      <x:c r="O74" s="31"/>
      <x:c r="P74" s="31"/>
      <x:c r="Q74" s="31"/>
      <x:c r="R74" s="19"/>
      <x:c r="S74" s="37"/>
    </x:row>
    <x:row r="75" s="20" customFormat="1">
      <x:c r="A75" s="20">
        <x:v>187</x:v>
      </x:c>
      <x:c r="B75" s="7"/>
      <x:c r="C75" s="8"/>
      <x:c r="D75" s="21"/>
      <x:c r="E75" s="24" t="s">
        <x:v>91</x:v>
      </x:c>
      <x:c r="F75" s="31">
        <x:v>0.00</x:v>
      </x:c>
      <x:c r="G75" s="31">
        <x:v>0.00</x:v>
      </x:c>
      <x:c r="H75" s="31">
        <x:v>0.00</x:v>
      </x:c>
      <x:c r="I75" s="31">
        <x:v>0.00</x:v>
      </x:c>
      <x:c r="J75" s="31">
        <x:v>0.00</x:v>
      </x:c>
      <x:c r="K75" s="33">
        <x:f>SUM(F75:J75)</x:f>
        <x:v>0.00</x:v>
      </x:c>
      <x:c r="L75" s="31"/>
      <x:c r="M75" s="31"/>
      <x:c r="N75" s="31"/>
      <x:c r="O75" s="31"/>
      <x:c r="P75" s="31"/>
      <x:c r="Q75" s="31"/>
      <x:c r="R75" s="19"/>
      <x:c r="S75" s="37"/>
    </x:row>
    <x:row r="76" s="20" customFormat="1">
      <x:c r="A76" s="20">
        <x:v>188</x:v>
      </x:c>
      <x:c r="B76" s="7"/>
      <x:c r="C76" s="8"/>
      <x:c r="D76" s="21"/>
      <x:c r="E76" s="24" t="s">
        <x:v>92</x:v>
      </x:c>
      <x:c r="F76" s="31">
        <x:v>0.00</x:v>
      </x:c>
      <x:c r="G76" s="31">
        <x:v>0.00</x:v>
      </x:c>
      <x:c r="H76" s="31">
        <x:v>0.00</x:v>
      </x:c>
      <x:c r="I76" s="31">
        <x:v>0.00</x:v>
      </x:c>
      <x:c r="J76" s="31">
        <x:v>0.00</x:v>
      </x:c>
      <x:c r="K76" s="33">
        <x:f>SUM(F76:J76)</x:f>
        <x:v>0.00</x:v>
      </x:c>
      <x:c r="L76" s="31"/>
      <x:c r="M76" s="31"/>
      <x:c r="N76" s="31"/>
      <x:c r="O76" s="31"/>
      <x:c r="P76" s="31"/>
      <x:c r="Q76" s="31"/>
      <x:c r="R76" s="19"/>
      <x:c r="S76" s="37"/>
    </x:row>
    <x:row r="77" s="20" customFormat="1">
      <x:c r="A77" s="20">
        <x:v>189</x:v>
      </x:c>
      <x:c r="B77" s="7"/>
      <x:c r="C77" s="8"/>
      <x:c r="D77" s="21"/>
      <x:c r="E77" s="24" t="s">
        <x:v>93</x:v>
      </x:c>
      <x:c r="F77" s="31">
        <x:v>44093868.00</x:v>
      </x:c>
      <x:c r="G77" s="31">
        <x:v>0.00</x:v>
      </x:c>
      <x:c r="H77" s="31">
        <x:v>904166.00</x:v>
      </x:c>
      <x:c r="I77" s="31">
        <x:v>1163686.00</x:v>
      </x:c>
      <x:c r="J77" s="31">
        <x:v>5120227.00</x:v>
      </x:c>
      <x:c r="K77" s="33">
        <x:f>SUM(F77:J77)</x:f>
        <x:v>51281947.00</x:v>
      </x:c>
      <x:c r="L77" s="31">
        <x:v>20208444.370000001</x:v>
      </x:c>
      <x:c r="M77" s="31"/>
      <x:c r="N77" s="31">
        <x:v>72881.641506438748221938644698331147</x:v>
      </x:c>
      <x:c r="O77" s="31">
        <x:v>224291.620030349080205115921436464887</x:v>
      </x:c>
      <x:c r="P77" s="31">
        <x:v>8795295.368463212971572945433856111495</x:v>
      </x:c>
      <x:c r="Q77" s="31">
        <x:f>N77+O77+P77</x:f>
        <x:v>9092468.6300000008</x:v>
      </x:c>
      <x:c r="R77" s="19">
        <x:f>SUM(L77:P77)</x:f>
        <x:v>29300913.0000000018</x:v>
      </x:c>
      <x:c r="S77" s="37">
        <x:f>IF(K77=0,0,R77/K77)</x:f>
        <x:v>0.571368965378791132</x:v>
      </x:c>
    </x:row>
    <x:row r="78" s="20" customFormat="1">
      <x:c r="A78" s="20">
        <x:v>190</x:v>
      </x:c>
      <x:c r="B78" s="7"/>
      <x:c r="C78" s="8"/>
      <x:c r="D78" s="21"/>
      <x:c r="E78" s="24" t="s">
        <x:v>94</x:v>
      </x:c>
      <x:c r="F78" s="31">
        <x:v>47472760.00</x:v>
      </x:c>
      <x:c r="G78" s="31">
        <x:v>0.00</x:v>
      </x:c>
      <x:c r="H78" s="31">
        <x:v>973452.00</x:v>
      </x:c>
      <x:c r="I78" s="31">
        <x:v>1252858.00</x:v>
      </x:c>
      <x:c r="J78" s="31">
        <x:v>5512588.00</x:v>
      </x:c>
      <x:c r="K78" s="33">
        <x:f>SUM(F78:J78)</x:f>
        <x:v>55211658.00</x:v>
      </x:c>
      <x:c r="L78" s="31">
        <x:v>15892719.060000001</x:v>
      </x:c>
      <x:c r="M78" s="31"/>
      <x:c r="N78" s="31">
        <x:v>56214.683509184581839687733937430730</x:v>
      </x:c>
      <x:c r="O78" s="31">
        <x:v>172999.429940864585307720482292373986</x:v>
      </x:c>
      <x:c r="P78" s="31">
        <x:v>6783940.856549950532852591783763182128</x:v>
      </x:c>
      <x:c r="Q78" s="31">
        <x:f>N78+O78+P78</x:f>
        <x:v>7013154.9699999997</x:v>
      </x:c>
      <x:c r="R78" s="19">
        <x:f>SUM(L78:P78)</x:f>
        <x:v>22905874.0300000007</x:v>
      </x:c>
      <x:c r="S78" s="37">
        <x:f>IF(K78=0,0,R78/K78)</x:f>
        <x:v>0.414873866493920553</x:v>
      </x:c>
    </x:row>
    <x:row r="79" s="20" customFormat="1">
      <x:c r="A79" s="20">
        <x:v>192</x:v>
      </x:c>
      <x:c r="B79" s="7"/>
      <x:c r="C79" s="8"/>
      <x:c r="D79" s="21"/>
      <x:c r="E79" s="24" t="s">
        <x:v>95</x:v>
      </x:c>
      <x:c r="F79" s="31">
        <x:v>8594985.00</x:v>
      </x:c>
      <x:c r="G79" s="31">
        <x:v>0.00</x:v>
      </x:c>
      <x:c r="H79" s="31">
        <x:v>176244.00</x:v>
      </x:c>
      <x:c r="I79" s="31">
        <x:v>226831.00</x:v>
      </x:c>
      <x:c r="J79" s="31">
        <x:v>998059.00</x:v>
      </x:c>
      <x:c r="K79" s="33">
        <x:f>SUM(F79:J79)</x:f>
        <x:v>9996119.00</x:v>
      </x:c>
      <x:c r="L79" s="31">
        <x:v>2266571.77</x:v>
      </x:c>
      <x:c r="M79" s="31"/>
      <x:c r="N79" s="31">
        <x:v>7676.010340125399832685323603116820</x:v>
      </x:c>
      <x:c r="O79" s="31">
        <x:v>23622.749967896042046959017350507251</x:v>
      </x:c>
      <x:c r="P79" s="31">
        <x:v>926334.489691978558120355659045418294</x:v>
      </x:c>
      <x:c r="Q79" s="31">
        <x:f>N79+O79+P79</x:f>
        <x:v>957633.25</x:v>
      </x:c>
      <x:c r="R79" s="19">
        <x:f>SUM(L79:P79)</x:f>
        <x:v>3224205.02</x:v>
      </x:c>
      <x:c r="S79" s="37">
        <x:f>IF(K79=0,0,R79/K79)</x:f>
        <x:v>0.322545681979176118</x:v>
      </x:c>
    </x:row>
    <x:row r="80" s="20" customFormat="1">
      <x:c r="A80" s="20">
        <x:v>193</x:v>
      </x:c>
      <x:c r="B80" s="7"/>
      <x:c r="C80" s="8"/>
      <x:c r="D80" s="21"/>
      <x:c r="E80" s="24" t="s">
        <x:v>96</x:v>
      </x:c>
      <x:c r="F80" s="31">
        <x:v>25765958.00</x:v>
      </x:c>
      <x:c r="G80" s="31">
        <x:v>0.00</x:v>
      </x:c>
      <x:c r="H80" s="31">
        <x:v>528343.00</x:v>
      </x:c>
      <x:c r="I80" s="31">
        <x:v>679992.00</x:v>
      </x:c>
      <x:c r="J80" s="31">
        <x:v>2991971.00</x:v>
      </x:c>
      <x:c r="K80" s="33">
        <x:f>SUM(F80:J80)</x:f>
        <x:v>29966264.00</x:v>
      </x:c>
      <x:c r="L80" s="31">
        <x:v>25241021.670000002</x:v>
      </x:c>
      <x:c r="M80" s="31"/>
      <x:c r="N80" s="31">
        <x:v>90327.989208939836792749394859522566</x:v>
      </x:c>
      <x:c r="O80" s="31">
        <x:v>277982.364488417119570094076582678759</x:v>
      </x:c>
      <x:c r="P80" s="31">
        <x:v>10900705.976302643043637156528546529657</x:v>
      </x:c>
      <x:c r="Q80" s="31">
        <x:f>N80+O80+P80</x:f>
        <x:v>11269016.33</x:v>
      </x:c>
      <x:c r="R80" s="19">
        <x:f>SUM(L80:P80)</x:f>
        <x:v>36510038.000000002</x:v>
      </x:c>
      <x:c r="S80" s="37">
        <x:f>IF(K80=0,0,R80/K80)</x:f>
        <x:v>1.218371365879977630</x:v>
      </x:c>
    </x:row>
    <x:row r="81" s="20" customFormat="1">
      <x:c r="A81" s="20">
        <x:v>204</x:v>
      </x:c>
      <x:c r="B81" s="7"/>
      <x:c r="C81" s="8"/>
      <x:c r="D81" s="21"/>
      <x:c r="E81" s="24" t="s">
        <x:v>97</x:v>
      </x:c>
      <x:c r="F81" s="31">
        <x:v>140735718.00</x:v>
      </x:c>
      <x:c r="G81" s="31">
        <x:v>0.00</x:v>
      </x:c>
      <x:c r="H81" s="31">
        <x:v>2885854.00</x:v>
      </x:c>
      <x:c r="I81" s="31">
        <x:v>3714170.00</x:v>
      </x:c>
      <x:c r="J81" s="31">
        <x:v>16342382.00</x:v>
      </x:c>
      <x:c r="K81" s="33">
        <x:f>SUM(F81:J81)</x:f>
        <x:v>163678124.00</x:v>
      </x:c>
      <x:c r="L81" s="31">
        <x:v>37904003.68</x:v>
      </x:c>
      <x:c r="M81" s="31"/>
      <x:c r="N81" s="31">
        <x:v>125588.469370039493503011130039939487</x:v>
      </x:c>
      <x:c r="O81" s="31">
        <x:v>386495.702757318980975521791959026506</x:v>
      </x:c>
      <x:c r="P81" s="31">
        <x:v>15155911.147872641525521467077985366011</x:v>
      </x:c>
      <x:c r="Q81" s="31">
        <x:f>N81+O81+P81</x:f>
        <x:v>15667995.32</x:v>
      </x:c>
      <x:c r="R81" s="19">
        <x:f>SUM(L81:P81)</x:f>
        <x:v>53571999.00</x:v>
      </x:c>
      <x:c r="S81" s="37">
        <x:f>IF(K81=0,0,R81/K81)</x:f>
        <x:v>0.327300910413660410</x:v>
      </x:c>
    </x:row>
    <x:row r="82" s="20" customFormat="1">
      <x:c r="A82" s="20">
        <x:v>194</x:v>
      </x:c>
      <x:c r="B82" s="7"/>
      <x:c r="C82" s="8"/>
      <x:c r="D82" s="21"/>
      <x:c r="E82" s="24" t="s">
        <x:v>98</x:v>
      </x:c>
      <x:c r="F82" s="31">
        <x:v>0.00</x:v>
      </x:c>
      <x:c r="G82" s="31">
        <x:v>0.00</x:v>
      </x:c>
      <x:c r="H82" s="31">
        <x:v>0.00</x:v>
      </x:c>
      <x:c r="I82" s="31">
        <x:v>0.00</x:v>
      </x:c>
      <x:c r="J82" s="31">
        <x:v>0.00</x:v>
      </x:c>
      <x:c r="K82" s="33">
        <x:f>SUM(F82:J82)</x:f>
        <x:v>0.00</x:v>
      </x:c>
      <x:c r="L82" s="31"/>
      <x:c r="M82" s="31"/>
      <x:c r="N82" s="31"/>
      <x:c r="O82" s="31"/>
      <x:c r="P82" s="31"/>
      <x:c r="Q82" s="31"/>
      <x:c r="R82" s="19"/>
      <x:c r="S82" s="37"/>
    </x:row>
    <x:row r="83" s="20" customFormat="1">
      <x:c r="A83" s="20">
        <x:v>195</x:v>
      </x:c>
      <x:c r="B83" s="7"/>
      <x:c r="C83" s="8"/>
      <x:c r="D83" s="21"/>
      <x:c r="E83" s="24" t="s">
        <x:v>99</x:v>
      </x:c>
      <x:c r="F83" s="31">
        <x:v>0.00</x:v>
      </x:c>
      <x:c r="G83" s="31">
        <x:v>0.00</x:v>
      </x:c>
      <x:c r="H83" s="31">
        <x:v>0.00</x:v>
      </x:c>
      <x:c r="I83" s="31">
        <x:v>0.00</x:v>
      </x:c>
      <x:c r="J83" s="31">
        <x:v>0.00</x:v>
      </x:c>
      <x:c r="K83" s="33">
        <x:f>SUM(F83:J83)</x:f>
        <x:v>0.00</x:v>
      </x:c>
      <x:c r="L83" s="31"/>
      <x:c r="M83" s="31"/>
      <x:c r="N83" s="31"/>
      <x:c r="O83" s="31"/>
      <x:c r="P83" s="31"/>
      <x:c r="Q83" s="31"/>
      <x:c r="R83" s="19"/>
      <x:c r="S83" s="37"/>
    </x:row>
    <x:row r="84" s="20" customFormat="1">
      <x:c r="A84" s="20">
        <x:v>196</x:v>
      </x:c>
      <x:c r="B84" s="7"/>
      <x:c r="C84" s="8"/>
      <x:c r="D84" s="21"/>
      <x:c r="E84" s="24" t="s">
        <x:v>100</x:v>
      </x:c>
      <x:c r="F84" s="31">
        <x:v>0.00</x:v>
      </x:c>
      <x:c r="G84" s="31">
        <x:v>0.00</x:v>
      </x:c>
      <x:c r="H84" s="31">
        <x:v>0.00</x:v>
      </x:c>
      <x:c r="I84" s="31">
        <x:v>0.00</x:v>
      </x:c>
      <x:c r="J84" s="31">
        <x:v>0.00</x:v>
      </x:c>
      <x:c r="K84" s="33">
        <x:f>SUM(F84:J84)</x:f>
        <x:v>0.00</x:v>
      </x:c>
      <x:c r="L84" s="31"/>
      <x:c r="M84" s="31"/>
      <x:c r="N84" s="31"/>
      <x:c r="O84" s="31"/>
      <x:c r="P84" s="31"/>
      <x:c r="Q84" s="31"/>
      <x:c r="R84" s="19"/>
      <x:c r="S84" s="37"/>
    </x:row>
    <x:row r="85" s="20" customFormat="1">
      <x:c r="A85" s="20">
        <x:v>197</x:v>
      </x:c>
      <x:c r="B85" s="7"/>
      <x:c r="C85" s="8"/>
      <x:c r="D85" s="21"/>
      <x:c r="E85" s="24" t="s">
        <x:v>101</x:v>
      </x:c>
      <x:c r="F85" s="31">
        <x:v>0.00</x:v>
      </x:c>
      <x:c r="G85" s="31">
        <x:v>0.00</x:v>
      </x:c>
      <x:c r="H85" s="31">
        <x:v>0.00</x:v>
      </x:c>
      <x:c r="I85" s="31">
        <x:v>0.00</x:v>
      </x:c>
      <x:c r="J85" s="31">
        <x:v>0.00</x:v>
      </x:c>
      <x:c r="K85" s="33">
        <x:f>SUM(F85:J85)</x:f>
        <x:v>0.00</x:v>
      </x:c>
      <x:c r="L85" s="31"/>
      <x:c r="M85" s="31"/>
      <x:c r="N85" s="31"/>
      <x:c r="O85" s="31"/>
      <x:c r="P85" s="31"/>
      <x:c r="Q85" s="31"/>
      <x:c r="R85" s="19"/>
      <x:c r="S85" s="37"/>
    </x:row>
    <x:row r="86" s="20" customFormat="1">
      <x:c r="A86" s="20">
        <x:v>198</x:v>
      </x:c>
      <x:c r="B86" s="7"/>
      <x:c r="C86" s="8"/>
      <x:c r="D86" s="21"/>
      <x:c r="E86" s="24" t="s">
        <x:v>102</x:v>
      </x:c>
      <x:c r="F86" s="31">
        <x:v>0.00</x:v>
      </x:c>
      <x:c r="G86" s="31">
        <x:v>0.00</x:v>
      </x:c>
      <x:c r="H86" s="31">
        <x:v>0.00</x:v>
      </x:c>
      <x:c r="I86" s="31">
        <x:v>0.00</x:v>
      </x:c>
      <x:c r="J86" s="31">
        <x:v>0.00</x:v>
      </x:c>
      <x:c r="K86" s="33">
        <x:f>SUM(F86:J86)</x:f>
        <x:v>0.00</x:v>
      </x:c>
      <x:c r="L86" s="31"/>
      <x:c r="M86" s="31"/>
      <x:c r="N86" s="31"/>
      <x:c r="O86" s="31"/>
      <x:c r="P86" s="31"/>
      <x:c r="Q86" s="31"/>
      <x:c r="R86" s="19"/>
      <x:c r="S86" s="37"/>
    </x:row>
    <x:row r="87" s="28" customFormat="1">
      <x:c r="A87" s="28">
        <x:v>202</x:v>
      </x:c>
      <x:c r="B87" s="7"/>
      <x:c r="C87" s="8"/>
      <x:c r="D87" s="59"/>
      <x:c r="E87" s="60" t="s">
        <x:v>103</x:v>
      </x:c>
      <x:c r="F87" s="61">
        <x:v>71636919.00</x:v>
      </x:c>
      <x:c r="G87" s="61">
        <x:v>0.00</x:v>
      </x:c>
      <x:c r="H87" s="61">
        <x:v>1468950.00</x:v>
      </x:c>
      <x:c r="I87" s="61">
        <x:v>1890577.00</x:v>
      </x:c>
      <x:c r="J87" s="61">
        <x:v>8318556.00</x:v>
      </x:c>
      <x:c r="K87" s="64">
        <x:f>SUM(F87:J87)</x:f>
        <x:v>83315002.00</x:v>
      </x:c>
      <x:c r="L87" s="61">
        <x:v>61194034.189999998</x:v>
      </x:c>
      <x:c r="M87" s="61"/>
      <x:c r="N87" s="61">
        <x:v>208268.722645986269631413195893111904</x:v>
      </x:c>
      <x:c r="O87" s="61">
        <x:v>640942.331132770174862763135279582085</x:v>
      </x:c>
      <x:c r="P87" s="61">
        <x:v>25133694.766221243555505823668801323104</x:v>
      </x:c>
      <x:c r="Q87" s="61">
        <x:f>N87+O87+P87</x:f>
        <x:v>25982905.82</x:v>
      </x:c>
      <x:c r="R87" s="62">
        <x:f>SUM(L87:P87)</x:f>
        <x:v>87176940.009999998</x:v>
      </x:c>
      <x:c r="S87" s="65">
        <x:v>1.046353452767125877</x:v>
      </x:c>
    </x:row>
    <x:row r="88" s="20" customFormat="1">
      <x:c r="A88" s="20">
        <x:v>203</x:v>
      </x:c>
      <x:c r="B88" s="7"/>
      <x:c r="C88" s="8"/>
      <x:c r="D88" s="21"/>
      <x:c r="E88" s="24" t="s">
        <x:v>104</x:v>
      </x:c>
      <x:c r="F88" s="31">
        <x:v>4048690.00</x:v>
      </x:c>
      <x:c r="G88" s="31">
        <x:v>0.00</x:v>
      </x:c>
      <x:c r="H88" s="31">
        <x:v>83020.00</x:v>
      </x:c>
      <x:c r="I88" s="31">
        <x:v>106849.00</x:v>
      </x:c>
      <x:c r="J88" s="31">
        <x:v>470138.00</x:v>
      </x:c>
      <x:c r="K88" s="33">
        <x:f>SUM(F88:J88)</x:f>
        <x:v>4708697.00</x:v>
      </x:c>
      <x:c r="L88" s="31">
        <x:v>2777286.60</x:v>
      </x:c>
      <x:c r="M88" s="31"/>
      <x:c r="N88" s="31">
        <x:v>8092.149717302937555528245110883967</x:v>
      </x:c>
      <x:c r="O88" s="31">
        <x:v>24903.409584451530385857266120191822</x:v>
      </x:c>
      <x:c r="P88" s="31">
        <x:v>976553.840698245532058614488767914660</x:v>
      </x:c>
      <x:c r="Q88" s="31">
        <x:f>N88+O88+P88</x:f>
        <x:v>1009549.40</x:v>
      </x:c>
      <x:c r="R88" s="19">
        <x:f>SUM(L88:P88)</x:f>
        <x:v>3786836.00</x:v>
      </x:c>
      <x:c r="S88" s="37">
        <x:f>IF(K88=0,0,R88/K88)</x:f>
        <x:v>0.804221634987343632</x:v>
      </x:c>
    </x:row>
    <x:row r="89" s="20" customFormat="1">
      <x:c r="A89" s="20">
        <x:v>205</x:v>
      </x:c>
      <x:c r="B89" s="7"/>
      <x:c r="C89" s="8"/>
      <x:c r="D89" s="21"/>
      <x:c r="E89" s="24" t="s">
        <x:v>105</x:v>
      </x:c>
      <x:c r="F89" s="31">
        <x:v>43463197.00</x:v>
      </x:c>
      <x:c r="G89" s="31">
        <x:v>0.00</x:v>
      </x:c>
      <x:c r="H89" s="31">
        <x:v>891234.00</x:v>
      </x:c>
      <x:c r="I89" s="31">
        <x:v>1147041.00</x:v>
      </x:c>
      <x:c r="J89" s="31">
        <x:v>5046993.00</x:v>
      </x:c>
      <x:c r="K89" s="33">
        <x:f>SUM(F89:J89)</x:f>
        <x:v>50548465.00</x:v>
      </x:c>
      <x:c r="L89" s="31">
        <x:v>31710346.649999999</x:v>
      </x:c>
      <x:c r="M89" s="31"/>
      <x:c r="N89" s="31">
        <x:v>111979.470399589151200914818803859421</x:v>
      </x:c>
      <x:c r="O89" s="31">
        <x:v>344614.313109913793447841055397147260</x:v>
      </x:c>
      <x:c r="P89" s="31">
        <x:v>13513588.566490497055351244125785023135</x:v>
      </x:c>
      <x:c r="Q89" s="31">
        <x:f>N89+O89+P89</x:f>
        <x:v>13970182.35</x:v>
      </x:c>
      <x:c r="R89" s="19">
        <x:f>SUM(L89:P89)</x:f>
        <x:v>45680528.999999999</x:v>
      </x:c>
      <x:c r="S89" s="37">
        <x:f>IF(K89=0,0,R89/K89)</x:f>
        <x:v>0.903697649374713930</x:v>
      </x:c>
    </x:row>
    <x:row r="90" s="20" customFormat="1">
      <x:c r="A90" s="20">
        <x:v>206</x:v>
      </x:c>
      <x:c r="B90" s="7"/>
      <x:c r="C90" s="8"/>
      <x:c r="D90" s="21"/>
      <x:c r="E90" s="24" t="s">
        <x:v>106</x:v>
      </x:c>
      <x:c r="F90" s="31">
        <x:v>0.00</x:v>
      </x:c>
      <x:c r="G90" s="31">
        <x:v>0.00</x:v>
      </x:c>
      <x:c r="H90" s="31">
        <x:v>0.00</x:v>
      </x:c>
      <x:c r="I90" s="31">
        <x:v>0.00</x:v>
      </x:c>
      <x:c r="J90" s="31">
        <x:v>0.00</x:v>
      </x:c>
      <x:c r="K90" s="33">
        <x:f>SUM(F90:J90)</x:f>
        <x:v>0.00</x:v>
      </x:c>
      <x:c r="L90" s="31">
        <x:v>12169453.23</x:v>
      </x:c>
      <x:c r="M90" s="31"/>
      <x:c r="N90" s="31">
        <x:v>37772.929861794915623383174954827245</x:v>
      </x:c>
      <x:c r="O90" s="31">
        <x:v>116245.345972980821187974772617759435</x:v>
      </x:c>
      <x:c r="P90" s="31">
        <x:v>4558405.494165223863188642052422700895</x:v>
      </x:c>
      <x:c r="Q90" s="31">
        <x:f>N90+O90+P90</x:f>
        <x:v>4712423.7699999996</x:v>
      </x:c>
      <x:c r="R90" s="19">
        <x:f>SUM(L90:P90)</x:f>
        <x:v>16881876.9999999996</x:v>
      </x:c>
      <x:c r="S90" s="37">
        <x:f>IF(K90=0,0,R90/K90)</x:f>
        <x:v>0.00</x:v>
      </x:c>
    </x:row>
    <x:row r="91" s="20" customFormat="1">
      <x:c r="A91" s="20">
        <x:v>244</x:v>
      </x:c>
      <x:c r="B91" s="7"/>
      <x:c r="C91" s="8"/>
      <x:c r="D91" s="21"/>
      <x:c r="E91" s="24" t="s">
        <x:v>107</x:v>
      </x:c>
      <x:c r="F91" s="31">
        <x:v>6463194.00</x:v>
      </x:c>
      <x:c r="G91" s="31">
        <x:v>0.00</x:v>
      </x:c>
      <x:c r="H91" s="31">
        <x:v>132531.00</x:v>
      </x:c>
      <x:c r="I91" s="31">
        <x:v>170571.00</x:v>
      </x:c>
      <x:c r="J91" s="31">
        <x:v>750513.00</x:v>
      </x:c>
      <x:c r="K91" s="33">
        <x:f>SUM(F91:J91)</x:f>
        <x:v>7516809.00</x:v>
      </x:c>
      <x:c r="L91" s="31">
        <x:v>5423522.8700000001</x:v>
      </x:c>
      <x:c r="M91" s="31"/>
      <x:c r="N91" s="31">
        <x:v>10165.207570842546071072949761907249</x:v>
      </x:c>
      <x:c r="O91" s="31">
        <x:v>31283.198716203716171297117201791276</x:v>
      </x:c>
      <x:c r="P91" s="31">
        <x:v>1226728.723712953637757629933035033297</x:v>
      </x:c>
      <x:c r="Q91" s="31">
        <x:f>N91+O91+P91</x:f>
        <x:v>1268177.1299999999</x:v>
      </x:c>
      <x:c r="R91" s="19">
        <x:f>SUM(L91:P91)</x:f>
        <x:v>6691700.0000000000</x:v>
      </x:c>
      <x:c r="S91" s="37">
        <x:f>IF(K91=0,0,R91/K91)</x:f>
        <x:v>0.890231479873973118</x:v>
      </x:c>
    </x:row>
    <x:row r="92" s="20" customFormat="1">
      <x:c r="A92" s="20">
        <x:v>213</x:v>
      </x:c>
      <x:c r="B92" s="7"/>
      <x:c r="C92" s="8"/>
      <x:c r="D92" s="21"/>
      <x:c r="E92" s="24" t="s">
        <x:v>108</x:v>
      </x:c>
      <x:c r="F92" s="31">
        <x:v>0.00</x:v>
      </x:c>
      <x:c r="G92" s="31">
        <x:v>0.00</x:v>
      </x:c>
      <x:c r="H92" s="31">
        <x:v>0.00</x:v>
      </x:c>
      <x:c r="I92" s="31">
        <x:v>0.00</x:v>
      </x:c>
      <x:c r="J92" s="31">
        <x:v>0.00</x:v>
      </x:c>
      <x:c r="K92" s="33">
        <x:f>SUM(F92:J92)</x:f>
        <x:v>0.00</x:v>
      </x:c>
      <x:c r="L92" s="31"/>
      <x:c r="M92" s="31"/>
      <x:c r="N92" s="31"/>
      <x:c r="O92" s="31"/>
      <x:c r="P92" s="31"/>
      <x:c r="Q92" s="31"/>
      <x:c r="R92" s="19"/>
      <x:c r="S92" s="37"/>
    </x:row>
    <x:row r="93" s="20" customFormat="1">
      <x:c r="A93" s="20">
        <x:v>207</x:v>
      </x:c>
      <x:c r="B93" s="7"/>
      <x:c r="C93" s="8"/>
      <x:c r="D93" s="21"/>
      <x:c r="E93" s="24" t="s">
        <x:v>109</x:v>
      </x:c>
      <x:c r="F93" s="31">
        <x:v>0.00</x:v>
      </x:c>
      <x:c r="G93" s="31">
        <x:v>0.00</x:v>
      </x:c>
      <x:c r="H93" s="31">
        <x:v>0.00</x:v>
      </x:c>
      <x:c r="I93" s="31">
        <x:v>0.00</x:v>
      </x:c>
      <x:c r="J93" s="31">
        <x:v>0.00</x:v>
      </x:c>
      <x:c r="K93" s="33">
        <x:f>SUM(F93:J93)</x:f>
        <x:v>0.00</x:v>
      </x:c>
      <x:c r="L93" s="31"/>
      <x:c r="M93" s="31"/>
      <x:c r="N93" s="31"/>
      <x:c r="O93" s="31"/>
      <x:c r="P93" s="31"/>
      <x:c r="Q93" s="31"/>
      <x:c r="R93" s="19"/>
      <x:c r="S93" s="37"/>
    </x:row>
    <x:row r="94" s="20" customFormat="1">
      <x:c r="A94" s="20">
        <x:v>208</x:v>
      </x:c>
      <x:c r="B94" s="7"/>
      <x:c r="C94" s="8"/>
      <x:c r="D94" s="21"/>
      <x:c r="E94" s="24" t="s">
        <x:v>110</x:v>
      </x:c>
      <x:c r="F94" s="31">
        <x:v>0.00</x:v>
      </x:c>
      <x:c r="G94" s="31">
        <x:v>0.00</x:v>
      </x:c>
      <x:c r="H94" s="31">
        <x:v>0.00</x:v>
      </x:c>
      <x:c r="I94" s="31">
        <x:v>0.00</x:v>
      </x:c>
      <x:c r="J94" s="31">
        <x:v>0.00</x:v>
      </x:c>
      <x:c r="K94" s="33">
        <x:f>SUM(F94:J94)</x:f>
        <x:v>0.00</x:v>
      </x:c>
      <x:c r="L94" s="31"/>
      <x:c r="M94" s="31"/>
      <x:c r="N94" s="31"/>
      <x:c r="O94" s="31"/>
      <x:c r="P94" s="31"/>
      <x:c r="Q94" s="31"/>
      <x:c r="R94" s="19"/>
      <x:c r="S94" s="37"/>
    </x:row>
    <x:row r="95" s="20" customFormat="1">
      <x:c r="A95" s="20">
        <x:v>209</x:v>
      </x:c>
      <x:c r="B95" s="7"/>
      <x:c r="C95" s="8"/>
      <x:c r="D95" s="21"/>
      <x:c r="E95" s="24" t="s">
        <x:v>111</x:v>
      </x:c>
      <x:c r="F95" s="31">
        <x:v>0.00</x:v>
      </x:c>
      <x:c r="G95" s="31">
        <x:v>0.00</x:v>
      </x:c>
      <x:c r="H95" s="31">
        <x:v>0.00</x:v>
      </x:c>
      <x:c r="I95" s="31">
        <x:v>0.00</x:v>
      </x:c>
      <x:c r="J95" s="31">
        <x:v>0.00</x:v>
      </x:c>
      <x:c r="K95" s="33">
        <x:f>SUM(F95:J95)</x:f>
        <x:v>0.00</x:v>
      </x:c>
      <x:c r="L95" s="31"/>
      <x:c r="M95" s="31"/>
      <x:c r="N95" s="31"/>
      <x:c r="O95" s="31"/>
      <x:c r="P95" s="31"/>
      <x:c r="Q95" s="31"/>
      <x:c r="R95" s="19"/>
      <x:c r="S95" s="37"/>
    </x:row>
    <x:row r="96" s="20" customFormat="1">
      <x:c r="A96" s="20">
        <x:v>211</x:v>
      </x:c>
      <x:c r="B96" s="7"/>
      <x:c r="C96" s="8"/>
      <x:c r="D96" s="21"/>
      <x:c r="E96" s="24" t="s">
        <x:v>112</x:v>
      </x:c>
      <x:c r="F96" s="31">
        <x:v>0.00</x:v>
      </x:c>
      <x:c r="G96" s="31">
        <x:v>0.00</x:v>
      </x:c>
      <x:c r="H96" s="31">
        <x:v>0.00</x:v>
      </x:c>
      <x:c r="I96" s="31">
        <x:v>0.00</x:v>
      </x:c>
      <x:c r="J96" s="31">
        <x:v>0.00</x:v>
      </x:c>
      <x:c r="K96" s="33">
        <x:f>SUM(F96:J96)</x:f>
        <x:v>0.00</x:v>
      </x:c>
      <x:c r="L96" s="31"/>
      <x:c r="M96" s="31"/>
      <x:c r="N96" s="31"/>
      <x:c r="O96" s="31"/>
      <x:c r="P96" s="31"/>
      <x:c r="Q96" s="31"/>
      <x:c r="R96" s="19"/>
      <x:c r="S96" s="37"/>
    </x:row>
    <x:row r="97" s="20" customFormat="1">
      <x:c r="A97" s="20">
        <x:v>212</x:v>
      </x:c>
      <x:c r="B97" s="7"/>
      <x:c r="C97" s="8"/>
      <x:c r="D97" s="21"/>
      <x:c r="E97" s="24" t="s">
        <x:v>113</x:v>
      </x:c>
      <x:c r="F97" s="31">
        <x:v>0.00</x:v>
      </x:c>
      <x:c r="G97" s="31">
        <x:v>0.00</x:v>
      </x:c>
      <x:c r="H97" s="31">
        <x:v>0.00</x:v>
      </x:c>
      <x:c r="I97" s="31">
        <x:v>0.00</x:v>
      </x:c>
      <x:c r="J97" s="31">
        <x:v>0.00</x:v>
      </x:c>
      <x:c r="K97" s="33">
        <x:f>SUM(F97:J97)</x:f>
        <x:v>0.00</x:v>
      </x:c>
      <x:c r="L97" s="31"/>
      <x:c r="M97" s="31"/>
      <x:c r="N97" s="31"/>
      <x:c r="O97" s="31"/>
      <x:c r="P97" s="31"/>
      <x:c r="Q97" s="31"/>
      <x:c r="R97" s="19"/>
      <x:c r="S97" s="37"/>
    </x:row>
    <x:row r="98" s="20" customFormat="1">
      <x:c r="A98" s="20">
        <x:v>214</x:v>
      </x:c>
      <x:c r="B98" s="7"/>
      <x:c r="C98" s="8"/>
      <x:c r="D98" s="21"/>
      <x:c r="E98" s="24" t="s">
        <x:v>114</x:v>
      </x:c>
      <x:c r="F98" s="31">
        <x:v>125008360.00</x:v>
      </x:c>
      <x:c r="G98" s="31">
        <x:v>0.00</x:v>
      </x:c>
      <x:c r="H98" s="31">
        <x:v>2563357.00</x:v>
      </x:c>
      <x:c r="I98" s="31">
        <x:v>3299108.00</x:v>
      </x:c>
      <x:c r="J98" s="31">
        <x:v>14516105.00</x:v>
      </x:c>
      <x:c r="K98" s="33">
        <x:f>SUM(F98:J98)</x:f>
        <x:v>145386930.00</x:v>
      </x:c>
      <x:c r="L98" s="31">
        <x:v>77187144.569999993</x:v>
      </x:c>
      <x:c r="M98" s="31"/>
      <x:c r="N98" s="31">
        <x:v>308787.074800491074631137014395909122</x:v>
      </x:c>
      <x:c r="O98" s="31">
        <x:v>950285.309439909854081582699979192346</x:v>
      </x:c>
      <x:c r="P98" s="31">
        <x:v>37264165.195759597071287280285586375294</x:v>
      </x:c>
      <x:c r="Q98" s="31">
        <x:f>N98+O98+P98</x:f>
        <x:v>38523237.579999998</x:v>
      </x:c>
      <x:c r="R98" s="19">
        <x:f>SUM(L98:P98)</x:f>
        <x:v>115710382.149999991</x:v>
      </x:c>
      <x:c r="S98" s="37">
        <x:f>IF(K98=0,0,R98/K98)</x:f>
        <x:v>0.795878846537305595</x:v>
      </x:c>
    </x:row>
    <x:row r="99" s="20" customFormat="1">
      <x:c r="A99" s="20">
        <x:v>215</x:v>
      </x:c>
      <x:c r="B99" s="7"/>
      <x:c r="C99" s="8"/>
      <x:c r="D99" s="21"/>
      <x:c r="E99" s="24" t="s">
        <x:v>115</x:v>
      </x:c>
      <x:c r="F99" s="31">
        <x:v>0.00</x:v>
      </x:c>
      <x:c r="G99" s="31">
        <x:v>0.00</x:v>
      </x:c>
      <x:c r="H99" s="31">
        <x:v>0.00</x:v>
      </x:c>
      <x:c r="I99" s="31">
        <x:v>0.00</x:v>
      </x:c>
      <x:c r="J99" s="31">
        <x:v>0.00</x:v>
      </x:c>
      <x:c r="K99" s="33">
        <x:f>SUM(F99:J99)</x:f>
        <x:v>0.00</x:v>
      </x:c>
      <x:c r="L99" s="31"/>
      <x:c r="M99" s="31"/>
      <x:c r="N99" s="31"/>
      <x:c r="O99" s="31"/>
      <x:c r="P99" s="31"/>
      <x:c r="Q99" s="31"/>
      <x:c r="R99" s="19"/>
      <x:c r="S99" s="37"/>
    </x:row>
    <x:row r="100" s="20" customFormat="1">
      <x:c r="A100" s="20">
        <x:v>216</x:v>
      </x:c>
      <x:c r="B100" s="7"/>
      <x:c r="C100" s="8"/>
      <x:c r="D100" s="21"/>
      <x:c r="E100" s="24" t="s">
        <x:v>116</x:v>
      </x:c>
      <x:c r="F100" s="31">
        <x:v>60618036.00</x:v>
      </x:c>
      <x:c r="G100" s="31">
        <x:v>0.00</x:v>
      </x:c>
      <x:c r="H100" s="31">
        <x:v>1243002.00</x:v>
      </x:c>
      <x:c r="I100" s="31">
        <x:v>1599776.00</x:v>
      </x:c>
      <x:c r="J100" s="31">
        <x:v>7039031.00</x:v>
      </x:c>
      <x:c r="K100" s="33">
        <x:f>SUM(F100:J100)</x:f>
        <x:v>70499845.00</x:v>
      </x:c>
      <x:c r="L100" s="31">
        <x:v>27281751.32</x:v>
      </x:c>
      <x:c r="M100" s="31"/>
      <x:c r="N100" s="31">
        <x:v>96444.716598234216355083698991139668</x:v>
      </x:c>
      <x:c r="O100" s="31">
        <x:v>296806.456085031892753599595521022699</x:v>
      </x:c>
      <x:c r="P100" s="31">
        <x:v>11638867.507316733890891316705475805512</x:v>
      </x:c>
      <x:c r="Q100" s="31">
        <x:f>N100+O100+P100</x:f>
        <x:v>12032118.68</x:v>
      </x:c>
      <x:c r="R100" s="19">
        <x:f>SUM(L100:P100)</x:f>
        <x:v>39313870.00</x:v>
      </x:c>
      <x:c r="S100" s="37">
        <x:f>IF(K100=0,0,R100/K100)</x:f>
        <x:v>0.557644772126803966</x:v>
      </x:c>
    </x:row>
    <x:row r="101" s="20" customFormat="1">
      <x:c r="A101" s="20">
        <x:v>210</x:v>
      </x:c>
      <x:c r="B101" s="7"/>
      <x:c r="C101" s="8"/>
      <x:c r="D101" s="21"/>
      <x:c r="E101" s="24" t="s">
        <x:v>117</x:v>
      </x:c>
      <x:c r="F101" s="31">
        <x:v>0.00</x:v>
      </x:c>
      <x:c r="G101" s="31">
        <x:v>0.00</x:v>
      </x:c>
      <x:c r="H101" s="31">
        <x:v>0.00</x:v>
      </x:c>
      <x:c r="I101" s="31">
        <x:v>0.00</x:v>
      </x:c>
      <x:c r="J101" s="31">
        <x:v>0.00</x:v>
      </x:c>
      <x:c r="K101" s="33">
        <x:f>SUM(F101:J101)</x:f>
        <x:v>0.00</x:v>
      </x:c>
      <x:c r="L101" s="31"/>
      <x:c r="M101" s="31"/>
      <x:c r="N101" s="31"/>
      <x:c r="O101" s="31"/>
      <x:c r="P101" s="31"/>
      <x:c r="Q101" s="31"/>
      <x:c r="R101" s="19"/>
      <x:c r="S101" s="37"/>
    </x:row>
    <x:row r="102" s="20" customFormat="1">
      <x:c r="A102" s="20">
        <x:v>217</x:v>
      </x:c>
      <x:c r="B102" s="7"/>
      <x:c r="C102" s="8"/>
      <x:c r="D102" s="21"/>
      <x:c r="E102" s="24" t="s">
        <x:v>118</x:v>
      </x:c>
      <x:c r="F102" s="31">
        <x:v>118481720.00</x:v>
      </x:c>
      <x:c r="G102" s="31">
        <x:v>0.00</x:v>
      </x:c>
      <x:c r="H102" s="31">
        <x:v>2429525.00</x:v>
      </x:c>
      <x:c r="I102" s="31">
        <x:v>3126862.00</x:v>
      </x:c>
      <x:c r="J102" s="31">
        <x:v>13758224.00</x:v>
      </x:c>
      <x:c r="K102" s="33">
        <x:f>SUM(F102:J102)</x:f>
        <x:v>137796331.00</x:v>
      </x:c>
      <x:c r="L102" s="31">
        <x:v>92315551.840000004</x:v>
      </x:c>
      <x:c r="M102" s="31"/>
      <x:c r="N102" s="31">
        <x:v>314924.179702540949727065173335119722</x:v>
      </x:c>
      <x:c r="O102" s="31">
        <x:v>969172.112375809094580183120677259945</x:v>
      </x:c>
      <x:c r="P102" s="31">
        <x:v>38004785.867921645955692751705948331450</x:v>
      </x:c>
      <x:c r="Q102" s="31">
        <x:f>N102+O102+P102</x:f>
        <x:v>39288882.159999996</x:v>
      </x:c>
      <x:c r="R102" s="19">
        <x:f>SUM(L102:P102)</x:f>
        <x:v>131604434.000000000</x:v>
      </x:c>
      <x:c r="S102" s="37">
        <x:f>IF(K102=0,0,R102/K102)</x:f>
        <x:v>0.955064863084054103</x:v>
      </x:c>
    </x:row>
    <x:row r="103" s="20" customFormat="1">
      <x:c r="A103" s="20">
        <x:v>218</x:v>
      </x:c>
      <x:c r="B103" s="7"/>
      <x:c r="C103" s="8"/>
      <x:c r="D103" s="21"/>
      <x:c r="E103" s="24" t="s">
        <x:v>119</x:v>
      </x:c>
      <x:c r="F103" s="31">
        <x:v>21347985.00</x:v>
      </x:c>
      <x:c r="G103" s="31">
        <x:v>0.00</x:v>
      </x:c>
      <x:c r="H103" s="31">
        <x:v>437751.00</x:v>
      </x:c>
      <x:c r="I103" s="31">
        <x:v>563397.00</x:v>
      </x:c>
      <x:c r="J103" s="31">
        <x:v>2478951.00</x:v>
      </x:c>
      <x:c r="K103" s="33">
        <x:f>SUM(F103:J103)</x:f>
        <x:v>24828084.00</x:v>
      </x:c>
      <x:c r="L103" s="31"/>
      <x:c r="M103" s="31"/>
      <x:c r="N103" s="31"/>
      <x:c r="O103" s="31"/>
      <x:c r="P103" s="31"/>
      <x:c r="Q103" s="31"/>
      <x:c r="R103" s="19"/>
      <x:c r="S103" s="37"/>
    </x:row>
    <x:row r="104" s="20" customFormat="1">
      <x:c r="A104" s="20">
        <x:v>219</x:v>
      </x:c>
      <x:c r="B104" s="7"/>
      <x:c r="C104" s="8"/>
      <x:c r="D104" s="21"/>
      <x:c r="E104" s="24" t="s">
        <x:v>120</x:v>
      </x:c>
      <x:c r="F104" s="31">
        <x:v>0.00</x:v>
      </x:c>
      <x:c r="G104" s="31">
        <x:v>0.00</x:v>
      </x:c>
      <x:c r="H104" s="31">
        <x:v>0.00</x:v>
      </x:c>
      <x:c r="I104" s="31">
        <x:v>0.00</x:v>
      </x:c>
      <x:c r="J104" s="31">
        <x:v>0.00</x:v>
      </x:c>
      <x:c r="K104" s="33">
        <x:f>SUM(F104:J104)</x:f>
        <x:v>0.00</x:v>
      </x:c>
      <x:c r="L104" s="31"/>
      <x:c r="M104" s="31"/>
      <x:c r="N104" s="31"/>
      <x:c r="O104" s="31"/>
      <x:c r="P104" s="31"/>
      <x:c r="Q104" s="31"/>
      <x:c r="R104" s="19"/>
      <x:c r="S104" s="37"/>
    </x:row>
    <x:row r="105" s="20" customFormat="1">
      <x:c r="A105" s="20">
        <x:v>220</x:v>
      </x:c>
      <x:c r="B105" s="7"/>
      <x:c r="C105" s="8"/>
      <x:c r="D105" s="21"/>
      <x:c r="E105" s="24" t="s">
        <x:v>121</x:v>
      </x:c>
      <x:c r="F105" s="31">
        <x:v>0.00</x:v>
      </x:c>
      <x:c r="G105" s="31">
        <x:v>0.00</x:v>
      </x:c>
      <x:c r="H105" s="31">
        <x:v>0.00</x:v>
      </x:c>
      <x:c r="I105" s="31">
        <x:v>0.00</x:v>
      </x:c>
      <x:c r="J105" s="31">
        <x:v>0.00</x:v>
      </x:c>
      <x:c r="K105" s="33">
        <x:f>SUM(F105:J105)</x:f>
        <x:v>0.00</x:v>
      </x:c>
      <x:c r="L105" s="31"/>
      <x:c r="M105" s="31"/>
      <x:c r="N105" s="31"/>
      <x:c r="O105" s="31"/>
      <x:c r="P105" s="31"/>
      <x:c r="Q105" s="31"/>
      <x:c r="R105" s="19"/>
      <x:c r="S105" s="37"/>
    </x:row>
    <x:row r="106" s="20" customFormat="1">
      <x:c r="A106" s="20">
        <x:v>0</x:v>
      </x:c>
      <x:c r="B106" s="7"/>
      <x:c r="C106" s="8"/>
      <x:c r="D106" s="21"/>
      <x:c r="E106" s="24" t="s">
        <x:v>122</x:v>
      </x:c>
      <x:c r="F106" s="31">
        <x:v>0.00</x:v>
      </x:c>
      <x:c r="G106" s="31">
        <x:v>0.00</x:v>
      </x:c>
      <x:c r="H106" s="31">
        <x:v>0.00</x:v>
      </x:c>
      <x:c r="I106" s="31">
        <x:v>0.00</x:v>
      </x:c>
      <x:c r="J106" s="31">
        <x:v>0.00</x:v>
      </x:c>
      <x:c r="K106" s="33">
        <x:f>SUM(F106:J106)</x:f>
        <x:v>0.00</x:v>
      </x:c>
      <x:c r="L106" s="31"/>
      <x:c r="M106" s="31"/>
      <x:c r="N106" s="31"/>
      <x:c r="O106" s="31"/>
      <x:c r="P106" s="31"/>
      <x:c r="Q106" s="31"/>
      <x:c r="R106" s="19"/>
      <x:c r="S106" s="37"/>
    </x:row>
    <x:row r="107" s="20" customFormat="1">
      <x:c r="A107" s="20">
        <x:v>225</x:v>
      </x:c>
      <x:c r="B107" s="7"/>
      <x:c r="C107" s="8"/>
      <x:c r="D107" s="21"/>
      <x:c r="E107" s="24" t="s">
        <x:v>123</x:v>
      </x:c>
      <x:c r="F107" s="31">
        <x:v>0.00</x:v>
      </x:c>
      <x:c r="G107" s="31">
        <x:v>0.00</x:v>
      </x:c>
      <x:c r="H107" s="31">
        <x:v>0.00</x:v>
      </x:c>
      <x:c r="I107" s="31">
        <x:v>0.00</x:v>
      </x:c>
      <x:c r="J107" s="31">
        <x:v>0.00</x:v>
      </x:c>
      <x:c r="K107" s="33">
        <x:f>SUM(F107:J107)</x:f>
        <x:v>0.00</x:v>
      </x:c>
      <x:c r="L107" s="31"/>
      <x:c r="M107" s="31"/>
      <x:c r="N107" s="31"/>
      <x:c r="O107" s="31"/>
      <x:c r="P107" s="31"/>
      <x:c r="Q107" s="31"/>
      <x:c r="R107" s="19"/>
      <x:c r="S107" s="37"/>
    </x:row>
    <x:row r="108" s="20" customFormat="1">
      <x:c r="A108" s="20">
        <x:v>229</x:v>
      </x:c>
      <x:c r="B108" s="7"/>
      <x:c r="C108" s="8"/>
      <x:c r="D108" s="21"/>
      <x:c r="E108" s="24" t="s">
        <x:v>124</x:v>
      </x:c>
      <x:c r="F108" s="31">
        <x:v>0.00</x:v>
      </x:c>
      <x:c r="G108" s="31">
        <x:v>0.00</x:v>
      </x:c>
      <x:c r="H108" s="31">
        <x:v>0.00</x:v>
      </x:c>
      <x:c r="I108" s="31">
        <x:v>0.00</x:v>
      </x:c>
      <x:c r="J108" s="31">
        <x:v>0.00</x:v>
      </x:c>
      <x:c r="K108" s="33">
        <x:f>SUM(F108:J108)</x:f>
        <x:v>0.00</x:v>
      </x:c>
      <x:c r="L108" s="31"/>
      <x:c r="M108" s="31"/>
      <x:c r="N108" s="31"/>
      <x:c r="O108" s="31"/>
      <x:c r="P108" s="31"/>
      <x:c r="Q108" s="31"/>
      <x:c r="R108" s="19"/>
      <x:c r="S108" s="37"/>
    </x:row>
    <x:row r="109" s="20" customFormat="1">
      <x:c r="A109" s="20">
        <x:v>230</x:v>
      </x:c>
      <x:c r="B109" s="7"/>
      <x:c r="C109" s="8"/>
      <x:c r="D109" s="21"/>
      <x:c r="E109" s="24" t="s">
        <x:v>125</x:v>
      </x:c>
      <x:c r="F109" s="31">
        <x:v>0.00</x:v>
      </x:c>
      <x:c r="G109" s="31">
        <x:v>0.00</x:v>
      </x:c>
      <x:c r="H109" s="31">
        <x:v>0.00</x:v>
      </x:c>
      <x:c r="I109" s="31">
        <x:v>0.00</x:v>
      </x:c>
      <x:c r="J109" s="31">
        <x:v>0.00</x:v>
      </x:c>
      <x:c r="K109" s="33">
        <x:f>SUM(F109:J109)</x:f>
        <x:v>0.00</x:v>
      </x:c>
      <x:c r="L109" s="31"/>
      <x:c r="M109" s="31"/>
      <x:c r="N109" s="31"/>
      <x:c r="O109" s="31"/>
      <x:c r="P109" s="31"/>
      <x:c r="Q109" s="31"/>
      <x:c r="R109" s="19"/>
      <x:c r="S109" s="37"/>
    </x:row>
    <x:row r="110" s="20" customFormat="1">
      <x:c r="A110" s="20">
        <x:v>231</x:v>
      </x:c>
      <x:c r="B110" s="7"/>
      <x:c r="C110" s="8"/>
      <x:c r="D110" s="21"/>
      <x:c r="E110" s="24" t="s">
        <x:v>126</x:v>
      </x:c>
      <x:c r="F110" s="31">
        <x:v>42297628.00</x:v>
      </x:c>
      <x:c r="G110" s="31">
        <x:v>0.00</x:v>
      </x:c>
      <x:c r="H110" s="31">
        <x:v>867333.00</x:v>
      </x:c>
      <x:c r="I110" s="31">
        <x:v>1116281.00</x:v>
      </x:c>
      <x:c r="J110" s="31">
        <x:v>4911646.00</x:v>
      </x:c>
      <x:c r="K110" s="33">
        <x:f>SUM(F110:J110)</x:f>
        <x:v>49192888.00</x:v>
      </x:c>
      <x:c r="L110" s="31">
        <x:v>19164976.190000001</x:v>
      </x:c>
      <x:c r="M110" s="31"/>
      <x:c r="N110" s="31">
        <x:v>60350.726646087682270464116285989447</x:v>
      </x:c>
      <x:c r="O110" s="31">
        <x:v>185728.010095161016195586042193095280</x:v>
      </x:c>
      <x:c r="P110" s="31">
        <x:v>7283075.073258750901533949841513386118</x:v>
      </x:c>
      <x:c r="Q110" s="31">
        <x:f>N110+O110+P110</x:f>
        <x:v>7529153.8099999996</x:v>
      </x:c>
      <x:c r="R110" s="19">
        <x:f>SUM(L110:P110)</x:f>
        <x:v>26694130.0000000006</x:v>
      </x:c>
      <x:c r="S110" s="37">
        <x:f>IF(K110=0,0,R110/K110)</x:f>
        <x:v>0.542642058339815312</x:v>
      </x:c>
    </x:row>
    <x:row r="111" s="20" customFormat="1">
      <x:c r="A111" s="20">
        <x:v>255</x:v>
      </x:c>
      <x:c r="B111" s="7"/>
      <x:c r="C111" s="8"/>
      <x:c r="D111" s="21"/>
      <x:c r="E111" s="24" t="s">
        <x:v>127</x:v>
      </x:c>
      <x:c r="F111" s="31">
        <x:v>443098695.00</x:v>
      </x:c>
      <x:c r="G111" s="31">
        <x:v>0.00</x:v>
      </x:c>
      <x:c r="H111" s="31">
        <x:v>9085953.00</x:v>
      </x:c>
      <x:c r="I111" s="31">
        <x:v>11693860.00</x:v>
      </x:c>
      <x:c r="J111" s="31">
        <x:v>51453095.00</x:v>
      </x:c>
      <x:c r="K111" s="33">
        <x:f>SUM(F111:J111)</x:f>
        <x:v>515331603.00</x:v>
      </x:c>
      <x:c r="L111" s="31">
        <x:v>240408487.09</x:v>
      </x:c>
      <x:c r="M111" s="31"/>
      <x:c r="N111" s="31">
        <x:v>1048599.615701355601076785492040440543</x:v>
      </x:c>
      <x:c r="O111" s="31">
        <x:v>3227041.840819136982347801632558682216</x:v>
      </x:c>
      <x:c r="P111" s="31">
        <x:v>126544122.123479507416575412875270057476</x:v>
      </x:c>
      <x:c r="Q111" s="31">
        <x:f>N111+O111+P111</x:f>
        <x:v>130819763.58</x:v>
      </x:c>
      <x:c r="R111" s="19">
        <x:f>SUM(L111:P111)</x:f>
        <x:v>371228250.67</x:v>
      </x:c>
      <x:c r="S111" s="37">
        <x:f>IF(K111=0,0,R111/K111)</x:f>
        <x:v>0.720367717618901785</x:v>
      </x:c>
    </x:row>
    <x:row r="112" s="20" customFormat="1">
      <x:c r="A112" s="20">
        <x:v>200</x:v>
      </x:c>
      <x:c r="B112" s="7"/>
      <x:c r="C112" s="8"/>
      <x:c r="D112" s="21"/>
      <x:c r="E112" s="24" t="s">
        <x:v>128</x:v>
      </x:c>
      <x:c r="F112" s="31">
        <x:v>12704921.00</x:v>
      </x:c>
      <x:c r="G112" s="31">
        <x:v>0.00</x:v>
      </x:c>
      <x:c r="H112" s="31">
        <x:v>260521.00</x:v>
      </x:c>
      <x:c r="I112" s="31">
        <x:v>335297.00</x:v>
      </x:c>
      <x:c r="J112" s="31">
        <x:v>1475309.00</x:v>
      </x:c>
      <x:c r="K112" s="33">
        <x:f>SUM(F112:J112)</x:f>
        <x:v>14776048.00</x:v>
      </x:c>
      <x:c r="L112" s="31">
        <x:v>9157496.4399999995</x:v>
      </x:c>
      <x:c r="M112" s="31"/>
      <x:c r="N112" s="31">
        <x:v>32169.139584122874879559280116768926</x:v>
      </x:c>
      <x:c r="O112" s="31">
        <x:v>98999.806853525861554742307746832073</x:v>
      </x:c>
      <x:c r="P112" s="31">
        <x:v>3882144.783562351263565698412132385686</x:v>
      </x:c>
      <x:c r="Q112" s="31">
        <x:f>N112+O112+P112</x:f>
        <x:v>4013313.73</x:v>
      </x:c>
      <x:c r="R112" s="19">
        <x:f>SUM(L112:P112)</x:f>
        <x:v>13170810.1699999995</x:v>
      </x:c>
      <x:c r="S112" s="37">
        <x:f>IF(K112=0,0,R112/K112)</x:f>
        <x:v>0.891362167340008607</x:v>
      </x:c>
    </x:row>
    <x:row r="113" s="20" customFormat="1">
      <x:c r="A113" s="20">
        <x:v>201</x:v>
      </x:c>
      <x:c r="B113" s="7"/>
      <x:c r="C113" s="8"/>
      <x:c r="D113" s="21"/>
      <x:c r="E113" s="24" t="s">
        <x:v>129</x:v>
      </x:c>
      <x:c r="F113" s="31">
        <x:v>3286503.00</x:v>
      </x:c>
      <x:c r="G113" s="31">
        <x:v>0.00</x:v>
      </x:c>
      <x:c r="H113" s="31">
        <x:v>67391.00</x:v>
      </x:c>
      <x:c r="I113" s="31">
        <x:v>86734.00</x:v>
      </x:c>
      <x:c r="J113" s="31">
        <x:v>381632.00</x:v>
      </x:c>
      <x:c r="K113" s="33">
        <x:f>SUM(F113:J113)</x:f>
        <x:v>3822260.00</x:v>
      </x:c>
      <x:c r="L113" s="31"/>
      <x:c r="M113" s="31"/>
      <x:c r="N113" s="31"/>
      <x:c r="O113" s="31"/>
      <x:c r="P113" s="31"/>
      <x:c r="Q113" s="31"/>
      <x:c r="R113" s="19"/>
      <x:c r="S113" s="37"/>
    </x:row>
    <x:row r="114" s="20" customFormat="1">
      <x:c r="A114" s="20">
        <x:v>223</x:v>
      </x:c>
      <x:c r="B114" s="7"/>
      <x:c r="C114" s="8"/>
      <x:c r="D114" s="21"/>
      <x:c r="E114" s="24" t="s">
        <x:v>130</x:v>
      </x:c>
      <x:c r="F114" s="31">
        <x:v>5376362.00</x:v>
      </x:c>
      <x:c r="G114" s="31">
        <x:v>0.00</x:v>
      </x:c>
      <x:c r="H114" s="31">
        <x:v>110245.00</x:v>
      </x:c>
      <x:c r="I114" s="31">
        <x:v>141888.00</x:v>
      </x:c>
      <x:c r="J114" s="31">
        <x:v>624309.00</x:v>
      </x:c>
      <x:c r="K114" s="33">
        <x:f>SUM(F114:J114)</x:f>
        <x:v>6252804.00</x:v>
      </x:c>
      <x:c r="L114" s="31"/>
      <x:c r="M114" s="31"/>
      <x:c r="N114" s="31"/>
      <x:c r="O114" s="31"/>
      <x:c r="P114" s="31"/>
      <x:c r="Q114" s="31"/>
      <x:c r="R114" s="19"/>
      <x:c r="S114" s="37"/>
    </x:row>
    <x:row r="115" s="20" customFormat="1">
      <x:c r="A115" s="20">
        <x:v>222</x:v>
      </x:c>
      <x:c r="B115" s="7"/>
      <x:c r="C115" s="8"/>
      <x:c r="D115" s="21"/>
      <x:c r="E115" s="24" t="s">
        <x:v>131</x:v>
      </x:c>
      <x:c r="F115" s="31">
        <x:v>1356265.00</x:v>
      </x:c>
      <x:c r="G115" s="31">
        <x:v>0.00</x:v>
      </x:c>
      <x:c r="H115" s="31">
        <x:v>27811.00</x:v>
      </x:c>
      <x:c r="I115" s="31">
        <x:v>35793.00</x:v>
      </x:c>
      <x:c r="J115" s="31">
        <x:v>157491.00</x:v>
      </x:c>
      <x:c r="K115" s="33">
        <x:f>SUM(F115:J115)</x:f>
        <x:v>1577360.00</x:v>
      </x:c>
      <x:c r="L115" s="31"/>
      <x:c r="M115" s="31"/>
      <x:c r="N115" s="31"/>
      <x:c r="O115" s="31"/>
      <x:c r="P115" s="31"/>
      <x:c r="Q115" s="31"/>
      <x:c r="R115" s="19"/>
      <x:c r="S115" s="37"/>
    </x:row>
    <x:row r="116" s="20" customFormat="1">
      <x:c r="A116" s="20">
        <x:v>221</x:v>
      </x:c>
      <x:c r="B116" s="7"/>
      <x:c r="C116" s="8"/>
      <x:c r="D116" s="21"/>
      <x:c r="E116" s="24" t="s">
        <x:v>132</x:v>
      </x:c>
      <x:c r="F116" s="31">
        <x:v>699271.00</x:v>
      </x:c>
      <x:c r="G116" s="31">
        <x:v>0.00</x:v>
      </x:c>
      <x:c r="H116" s="31">
        <x:v>14339.00</x:v>
      </x:c>
      <x:c r="I116" s="31">
        <x:v>18455.00</x:v>
      </x:c>
      <x:c r="J116" s="31">
        <x:v>81200.00</x:v>
      </x:c>
      <x:c r="K116" s="33">
        <x:f>SUM(F116:J116)</x:f>
        <x:v>813265.00</x:v>
      </x:c>
      <x:c r="L116" s="31"/>
      <x:c r="M116" s="31"/>
      <x:c r="N116" s="31"/>
      <x:c r="O116" s="31"/>
      <x:c r="P116" s="31"/>
      <x:c r="Q116" s="31"/>
      <x:c r="R116" s="19"/>
      <x:c r="S116" s="37"/>
    </x:row>
    <x:row r="117" s="20" customFormat="1">
      <x:c r="A117" s="20">
        <x:v>235</x:v>
      </x:c>
      <x:c r="B117" s="7"/>
      <x:c r="C117" s="8"/>
      <x:c r="D117" s="21"/>
      <x:c r="E117" s="24" t="s">
        <x:v>133</x:v>
      </x:c>
      <x:c r="F117" s="31">
        <x:v>0.00</x:v>
      </x:c>
      <x:c r="G117" s="31">
        <x:v>0.00</x:v>
      </x:c>
      <x:c r="H117" s="31">
        <x:v>0.00</x:v>
      </x:c>
      <x:c r="I117" s="31">
        <x:v>0.00</x:v>
      </x:c>
      <x:c r="J117" s="31">
        <x:v>0.00</x:v>
      </x:c>
      <x:c r="K117" s="33">
        <x:f>SUM(F117:J117)</x:f>
        <x:v>0.00</x:v>
      </x:c>
      <x:c r="L117" s="31"/>
      <x:c r="M117" s="31"/>
      <x:c r="N117" s="31"/>
      <x:c r="O117" s="31"/>
      <x:c r="P117" s="31"/>
      <x:c r="Q117" s="31"/>
      <x:c r="R117" s="19"/>
      <x:c r="S117" s="37"/>
    </x:row>
    <x:row r="118" s="20" customFormat="1">
      <x:c r="A118" s="20">
        <x:v>236</x:v>
      </x:c>
      <x:c r="B118" s="7"/>
      <x:c r="C118" s="8"/>
      <x:c r="D118" s="21"/>
      <x:c r="E118" s="24" t="s">
        <x:v>134</x:v>
      </x:c>
      <x:c r="F118" s="31">
        <x:v>3943263.00</x:v>
      </x:c>
      <x:c r="G118" s="31">
        <x:v>0.00</x:v>
      </x:c>
      <x:c r="H118" s="31">
        <x:v>80859.00</x:v>
      </x:c>
      <x:c r="I118" s="31">
        <x:v>104067.00</x:v>
      </x:c>
      <x:c r="J118" s="31">
        <x:v>457896.00</x:v>
      </x:c>
      <x:c r="K118" s="33">
        <x:f>SUM(F118:J118)</x:f>
        <x:v>4586085.00</x:v>
      </x:c>
      <x:c r="L118" s="31">
        <x:v>8106776.96</x:v>
      </x:c>
      <x:c r="M118" s="31"/>
      <x:c r="N118" s="31">
        <x:v>20117.134147262300398924800782597066</x:v>
      </x:c>
      <x:c r="O118" s="31">
        <x:v>61910.029947098452000313155206052909</x:v>
      </x:c>
      <x:c r="P118" s="31">
        <x:v>2427718.875905639247600762044008840278</x:v>
      </x:c>
      <x:c r="Q118" s="31">
        <x:f>N118+O118+P118</x:f>
        <x:v>2509746.04</x:v>
      </x:c>
      <x:c r="R118" s="19">
        <x:f>SUM(L118:P118)</x:f>
        <x:v>10616523.00</x:v>
      </x:c>
      <x:c r="S118" s="37">
        <x:f>IF(K118=0,0,R118/K118)</x:f>
        <x:v>2.314942483621651146</x:v>
      </x:c>
    </x:row>
    <x:row r="119" s="20" customFormat="1">
      <x:c r="A119" s="20">
        <x:v>240</x:v>
      </x:c>
      <x:c r="B119" s="7"/>
      <x:c r="C119" s="8"/>
      <x:c r="D119" s="21"/>
      <x:c r="E119" s="24" t="s">
        <x:v>135</x:v>
      </x:c>
      <x:c r="F119" s="31">
        <x:v>0.00</x:v>
      </x:c>
      <x:c r="G119" s="31">
        <x:v>0.00</x:v>
      </x:c>
      <x:c r="H119" s="31">
        <x:v>0.00</x:v>
      </x:c>
      <x:c r="I119" s="31">
        <x:v>0.00</x:v>
      </x:c>
      <x:c r="J119" s="31">
        <x:v>0.00</x:v>
      </x:c>
      <x:c r="K119" s="33">
        <x:f>SUM(F119:J119)</x:f>
        <x:v>0.00</x:v>
      </x:c>
      <x:c r="L119" s="31"/>
      <x:c r="M119" s="31"/>
      <x:c r="N119" s="31"/>
      <x:c r="O119" s="31"/>
      <x:c r="P119" s="31"/>
      <x:c r="Q119" s="31"/>
      <x:c r="R119" s="19"/>
      <x:c r="S119" s="37"/>
    </x:row>
    <x:row r="120" s="20" customFormat="1">
      <x:c r="A120" s="20">
        <x:v>241</x:v>
      </x:c>
      <x:c r="B120" s="7"/>
      <x:c r="C120" s="8"/>
      <x:c r="D120" s="21"/>
      <x:c r="E120" s="24" t="s">
        <x:v>136</x:v>
      </x:c>
      <x:c r="F120" s="31">
        <x:v>0.00</x:v>
      </x:c>
      <x:c r="G120" s="31">
        <x:v>0.00</x:v>
      </x:c>
      <x:c r="H120" s="31">
        <x:v>0.00</x:v>
      </x:c>
      <x:c r="I120" s="31">
        <x:v>0.00</x:v>
      </x:c>
      <x:c r="J120" s="31">
        <x:v>0.00</x:v>
      </x:c>
      <x:c r="K120" s="33">
        <x:f>SUM(F120:J120)</x:f>
        <x:v>0.00</x:v>
      </x:c>
      <x:c r="L120" s="31"/>
      <x:c r="M120" s="31"/>
      <x:c r="N120" s="31"/>
      <x:c r="O120" s="31"/>
      <x:c r="P120" s="31"/>
      <x:c r="Q120" s="31"/>
      <x:c r="R120" s="19"/>
      <x:c r="S120" s="37"/>
    </x:row>
    <x:row r="121" s="20" customFormat="1">
      <x:c r="A121" s="20">
        <x:v>242</x:v>
      </x:c>
      <x:c r="B121" s="7"/>
      <x:c r="C121" s="8"/>
      <x:c r="D121" s="21"/>
      <x:c r="E121" s="24" t="s">
        <x:v>137</x:v>
      </x:c>
      <x:c r="F121" s="31">
        <x:v>0.00</x:v>
      </x:c>
      <x:c r="G121" s="31">
        <x:v>0.00</x:v>
      </x:c>
      <x:c r="H121" s="31">
        <x:v>0.00</x:v>
      </x:c>
      <x:c r="I121" s="31">
        <x:v>0.00</x:v>
      </x:c>
      <x:c r="J121" s="31">
        <x:v>0.00</x:v>
      </x:c>
      <x:c r="K121" s="33">
        <x:f>SUM(F121:J121)</x:f>
        <x:v>0.00</x:v>
      </x:c>
      <x:c r="L121" s="31"/>
      <x:c r="M121" s="31"/>
      <x:c r="N121" s="31"/>
      <x:c r="O121" s="31"/>
      <x:c r="P121" s="31"/>
      <x:c r="Q121" s="31"/>
      <x:c r="R121" s="19"/>
      <x:c r="S121" s="37"/>
    </x:row>
    <x:row r="122" s="20" customFormat="1">
      <x:c r="A122" s="20">
        <x:v>243</x:v>
      </x:c>
      <x:c r="B122" s="7"/>
      <x:c r="C122" s="8"/>
      <x:c r="D122" s="21"/>
      <x:c r="E122" s="24" t="s">
        <x:v>138</x:v>
      </x:c>
      <x:c r="F122" s="31">
        <x:v>0.00</x:v>
      </x:c>
      <x:c r="G122" s="31">
        <x:v>0.00</x:v>
      </x:c>
      <x:c r="H122" s="31">
        <x:v>0.00</x:v>
      </x:c>
      <x:c r="I122" s="31">
        <x:v>0.00</x:v>
      </x:c>
      <x:c r="J122" s="31">
        <x:v>0.00</x:v>
      </x:c>
      <x:c r="K122" s="33">
        <x:f>SUM(F122:J122)</x:f>
        <x:v>0.00</x:v>
      </x:c>
      <x:c r="L122" s="31"/>
      <x:c r="M122" s="31"/>
      <x:c r="N122" s="31"/>
      <x:c r="O122" s="31"/>
      <x:c r="P122" s="31"/>
      <x:c r="Q122" s="31"/>
      <x:c r="R122" s="19"/>
      <x:c r="S122" s="37"/>
    </x:row>
    <x:row r="123" s="20" customFormat="1">
      <x:c r="A123" s="20">
        <x:v>245</x:v>
      </x:c>
      <x:c r="B123" s="7"/>
      <x:c r="C123" s="8"/>
      <x:c r="D123" s="21"/>
      <x:c r="E123" s="24" t="s">
        <x:v>139</x:v>
      </x:c>
      <x:c r="F123" s="31">
        <x:v>28166746.00</x:v>
      </x:c>
      <x:c r="G123" s="31">
        <x:v>0.00</x:v>
      </x:c>
      <x:c r="H123" s="31">
        <x:v>577573.00</x:v>
      </x:c>
      <x:c r="I123" s="31">
        <x:v>743351.00</x:v>
      </x:c>
      <x:c r="J123" s="31">
        <x:v>3270753.00</x:v>
      </x:c>
      <x:c r="K123" s="33">
        <x:f>SUM(F123:J123)</x:f>
        <x:v>32758423.00</x:v>
      </x:c>
      <x:c r="L123" s="31">
        <x:v>15791408.85</x:v>
      </x:c>
      <x:c r="M123" s="31"/>
      <x:c r="N123" s="31">
        <x:v>58915.519176446657058152662659608594</x:v>
      </x:c>
      <x:c r="O123" s="31">
        <x:v>181311.191239386413405073248603541568</x:v>
      </x:c>
      <x:c r="P123" s="31">
        <x:v>7109875.439584167329536774088729499735</x:v>
      </x:c>
      <x:c r="Q123" s="31">
        <x:f>N123+O123+P123</x:f>
        <x:v>7350102.1500000004</x:v>
      </x:c>
      <x:c r="R123" s="19">
        <x:f>SUM(L123:P123)</x:f>
        <x:v>23141511.0000000004</x:v>
      </x:c>
      <x:c r="S123" s="37">
        <x:f>IF(K123=0,0,R123/K123)</x:f>
        <x:v>0.706429335746717734</x:v>
      </x:c>
    </x:row>
    <x:row r="124" s="20" customFormat="1">
      <x:c r="A124" s="20">
        <x:v>246</x:v>
      </x:c>
      <x:c r="B124" s="7"/>
      <x:c r="C124" s="8"/>
      <x:c r="D124" s="21"/>
      <x:c r="E124" s="24" t="s">
        <x:v>140</x:v>
      </x:c>
      <x:c r="F124" s="31">
        <x:v>0.00</x:v>
      </x:c>
      <x:c r="G124" s="31">
        <x:v>0.00</x:v>
      </x:c>
      <x:c r="H124" s="31">
        <x:v>0.00</x:v>
      </x:c>
      <x:c r="I124" s="31">
        <x:v>0.00</x:v>
      </x:c>
      <x:c r="J124" s="31">
        <x:v>0.00</x:v>
      </x:c>
      <x:c r="K124" s="33">
        <x:f>SUM(F124:J124)</x:f>
        <x:v>0.00</x:v>
      </x:c>
      <x:c r="L124" s="31"/>
      <x:c r="M124" s="31"/>
      <x:c r="N124" s="31"/>
      <x:c r="O124" s="31"/>
      <x:c r="P124" s="31"/>
      <x:c r="Q124" s="31"/>
      <x:c r="R124" s="19"/>
      <x:c r="S124" s="37"/>
    </x:row>
    <x:row r="125" s="20" customFormat="1">
      <x:c r="A125" s="20">
        <x:v>247</x:v>
      </x:c>
      <x:c r="B125" s="7"/>
      <x:c r="C125" s="8"/>
      <x:c r="D125" s="21"/>
      <x:c r="E125" s="24" t="s">
        <x:v>141</x:v>
      </x:c>
      <x:c r="F125" s="31">
        <x:v>10434154.00</x:v>
      </x:c>
      <x:c r="G125" s="31">
        <x:v>0.00</x:v>
      </x:c>
      <x:c r="H125" s="31">
        <x:v>213957.00</x:v>
      </x:c>
      <x:c r="I125" s="31">
        <x:v>275369.00</x:v>
      </x:c>
      <x:c r="J125" s="31">
        <x:v>1211625.00</x:v>
      </x:c>
      <x:c r="K125" s="33">
        <x:f>SUM(F125:J125)</x:f>
        <x:v>12135105.00</x:v>
      </x:c>
      <x:c r="L125" s="31"/>
      <x:c r="M125" s="31"/>
      <x:c r="N125" s="31"/>
      <x:c r="O125" s="31"/>
      <x:c r="P125" s="31"/>
      <x:c r="Q125" s="31"/>
      <x:c r="R125" s="19"/>
      <x:c r="S125" s="37"/>
    </x:row>
    <x:row r="126" s="20" customFormat="1">
      <x:c r="A126" s="20">
        <x:v>248</x:v>
      </x:c>
      <x:c r="B126" s="7"/>
      <x:c r="C126" s="8"/>
      <x:c r="D126" s="21"/>
      <x:c r="E126" s="24" t="s">
        <x:v>142</x:v>
      </x:c>
      <x:c r="F126" s="31">
        <x:v>21603759.00</x:v>
      </x:c>
      <x:c r="G126" s="31">
        <x:v>0.00</x:v>
      </x:c>
      <x:c r="H126" s="31">
        <x:v>442996.00</x:v>
      </x:c>
      <x:c r="I126" s="31">
        <x:v>570147.00</x:v>
      </x:c>
      <x:c r="J126" s="31">
        <x:v>2508652.00</x:v>
      </x:c>
      <x:c r="K126" s="33">
        <x:f>SUM(F126:J126)</x:f>
        <x:v>25125554.00</x:v>
      </x:c>
      <x:c r="L126" s="31">
        <x:v>9269739.9299999997</x:v>
      </x:c>
      <x:c r="M126" s="31"/>
      <x:c r="N126" s="31">
        <x:v>33091.337721536068180216279645083774</x:v>
      </x:c>
      <x:c r="O126" s="31">
        <x:v>101837.850974844151956790201251200012</x:v>
      </x:c>
      <x:c r="P126" s="31">
        <x:v>3993434.881303619779862993519099587848</x:v>
      </x:c>
      <x:c r="Q126" s="31">
        <x:f>N126+O126+P126</x:f>
        <x:v>4128364.07</x:v>
      </x:c>
      <x:c r="R126" s="19">
        <x:f>SUM(L126:P126)</x:f>
        <x:v>13398103.9999999997</x:v>
      </x:c>
      <x:c r="S126" s="37">
        <x:f>IF(K126=0,0,R126/K126)</x:f>
        <x:v>0.533246112702629350</x:v>
      </x:c>
    </x:row>
    <x:row r="127" s="20" customFormat="1">
      <x:c r="A127" s="20">
        <x:v>249</x:v>
      </x:c>
      <x:c r="B127" s="7"/>
      <x:c r="C127" s="8"/>
      <x:c r="D127" s="21"/>
      <x:c r="E127" s="24" t="s">
        <x:v>143</x:v>
      </x:c>
      <x:c r="F127" s="31">
        <x:v>0.00</x:v>
      </x:c>
      <x:c r="G127" s="31">
        <x:v>0.00</x:v>
      </x:c>
      <x:c r="H127" s="31">
        <x:v>0.00</x:v>
      </x:c>
      <x:c r="I127" s="31">
        <x:v>0.00</x:v>
      </x:c>
      <x:c r="J127" s="31">
        <x:v>0.00</x:v>
      </x:c>
      <x:c r="K127" s="33">
        <x:f>SUM(F127:J127)</x:f>
        <x:v>0.00</x:v>
      </x:c>
      <x:c r="L127" s="31"/>
      <x:c r="M127" s="31"/>
      <x:c r="N127" s="31"/>
      <x:c r="O127" s="31"/>
      <x:c r="P127" s="31"/>
      <x:c r="Q127" s="31"/>
      <x:c r="R127" s="19"/>
      <x:c r="S127" s="37"/>
    </x:row>
    <x:row r="128" s="20" customFormat="1">
      <x:c r="A128" s="20">
        <x:v>250</x:v>
      </x:c>
      <x:c r="B128" s="7"/>
      <x:c r="C128" s="8"/>
      <x:c r="D128" s="21"/>
      <x:c r="E128" s="24" t="s">
        <x:v>144</x:v>
      </x:c>
      <x:c r="F128" s="31">
        <x:v>0.00</x:v>
      </x:c>
      <x:c r="G128" s="31">
        <x:v>0.00</x:v>
      </x:c>
      <x:c r="H128" s="31">
        <x:v>0.00</x:v>
      </x:c>
      <x:c r="I128" s="31">
        <x:v>0.00</x:v>
      </x:c>
      <x:c r="J128" s="31">
        <x:v>0.00</x:v>
      </x:c>
      <x:c r="K128" s="33">
        <x:f>SUM(F128:J128)</x:f>
        <x:v>0.00</x:v>
      </x:c>
      <x:c r="L128" s="31"/>
      <x:c r="M128" s="31"/>
      <x:c r="N128" s="31"/>
      <x:c r="O128" s="31"/>
      <x:c r="P128" s="31"/>
      <x:c r="Q128" s="31"/>
      <x:c r="R128" s="19"/>
      <x:c r="S128" s="37"/>
    </x:row>
    <x:row r="129" s="20" customFormat="1">
      <x:c r="A129" s="20">
        <x:v>251</x:v>
      </x:c>
      <x:c r="B129" s="7"/>
      <x:c r="C129" s="8"/>
      <x:c r="D129" s="21"/>
      <x:c r="E129" s="24" t="s">
        <x:v>145</x:v>
      </x:c>
      <x:c r="F129" s="31">
        <x:v>102056461.00</x:v>
      </x:c>
      <x:c r="G129" s="31">
        <x:v>0.00</x:v>
      </x:c>
      <x:c r="H129" s="31">
        <x:v>2092717.00</x:v>
      </x:c>
      <x:c r="I129" s="31">
        <x:v>2693382.00</x:v>
      </x:c>
      <x:c r="J129" s="31">
        <x:v>11850906.00</x:v>
      </x:c>
      <x:c r="K129" s="33">
        <x:f>SUM(F129:J129)</x:f>
        <x:v>118693466.00</x:v>
      </x:c>
      <x:c r="L129" s="31">
        <x:v>56316296.399999999</x:v>
      </x:c>
      <x:c r="M129" s="31"/>
      <x:c r="N129" s="31">
        <x:v>200941.988547935914827481501865099702</x:v>
      </x:c>
      <x:c r="O129" s="31">
        <x:v>618394.470980112491283209510344545209</x:v>
      </x:c>
      <x:c r="P129" s="31">
        <x:v>24249510.640471952593889308987765286241</x:v>
      </x:c>
      <x:c r="Q129" s="31">
        <x:f>N129+O129+P129</x:f>
        <x:v>25068847.100000001</x:v>
      </x:c>
      <x:c r="R129" s="19">
        <x:f>SUM(L129:P129)</x:f>
        <x:v>81385143.500000000</x:v>
      </x:c>
      <x:c r="S129" s="37">
        <x:f>IF(K129=0,0,R129/K129)</x:f>
        <x:v>0.685675010113867599</x:v>
      </x:c>
    </x:row>
    <x:row r="130" s="20" customFormat="1">
      <x:c r="A130" s="20">
        <x:v>252</x:v>
      </x:c>
      <x:c r="B130" s="7"/>
      <x:c r="C130" s="8"/>
      <x:c r="D130" s="21"/>
      <x:c r="E130" s="24" t="s">
        <x:v>146</x:v>
      </x:c>
      <x:c r="F130" s="31">
        <x:v>33123746.00</x:v>
      </x:c>
      <x:c r="G130" s="31">
        <x:v>0.00</x:v>
      </x:c>
      <x:c r="H130" s="31">
        <x:v>679218.00</x:v>
      </x:c>
      <x:c r="I130" s="31">
        <x:v>874172.00</x:v>
      </x:c>
      <x:c r="J130" s="31">
        <x:v>3846365.00</x:v>
      </x:c>
      <x:c r="K130" s="33">
        <x:f>SUM(F130:J130)</x:f>
        <x:v>38523501.00</x:v>
      </x:c>
      <x:c r="L130" s="31">
        <x:v>16620798.390000001</x:v>
      </x:c>
      <x:c r="M130" s="31"/>
      <x:c r="N130" s="31">
        <x:v>58467.081878802910808840001690685648</x:v>
      </x:c>
      <x:c r="O130" s="31">
        <x:v>179931.135495695982706218131070011964</x:v>
      </x:c>
      <x:c r="P130" s="31">
        <x:v>7055758.402625501206484941867232008230</x:v>
      </x:c>
      <x:c r="Q130" s="31">
        <x:f>N130+O130+P130</x:f>
        <x:v>7294156.6200000001</x:v>
      </x:c>
      <x:c r="R130" s="19">
        <x:f>SUM(L130:P130)</x:f>
        <x:v>23914955.0100000011</x:v>
      </x:c>
      <x:c r="S130" s="37">
        <x:f>IF(K130=0,0,R130/K130)</x:f>
        <x:v>0.620788723485957340</x:v>
      </x:c>
    </x:row>
    <x:row r="131" s="20" customFormat="1">
      <x:c r="A131" s="20">
        <x:v>253</x:v>
      </x:c>
      <x:c r="B131" s="7"/>
      <x:c r="C131" s="8"/>
      <x:c r="D131" s="21"/>
      <x:c r="E131" s="24" t="s">
        <x:v>147</x:v>
      </x:c>
      <x:c r="F131" s="31">
        <x:v>7882496.00</x:v>
      </x:c>
      <x:c r="G131" s="31">
        <x:v>0.00</x:v>
      </x:c>
      <x:c r="H131" s="31">
        <x:v>161634.00</x:v>
      </x:c>
      <x:c r="I131" s="31">
        <x:v>208028.00</x:v>
      </x:c>
      <x:c r="J131" s="31">
        <x:v>915324.00</x:v>
      </x:c>
      <x:c r="K131" s="33">
        <x:f>SUM(F131:J131)</x:f>
        <x:v>9167482.00</x:v>
      </x:c>
      <x:c r="L131" s="31">
        <x:v>2515432.77</x:v>
      </x:c>
      <x:c r="M131" s="31"/>
      <x:c r="N131" s="31">
        <x:v>8937.409985224029311519759804103801</x:v>
      </x:c>
      <x:c r="O131" s="31">
        <x:v>27504.679134926181181042974547309136</x:v>
      </x:c>
      <x:c r="P131" s="31">
        <x:v>1078559.140879849789507437265647472061</x:v>
      </x:c>
      <x:c r="Q131" s="31">
        <x:f>N131+O131+P131</x:f>
        <x:v>1115001.23</x:v>
      </x:c>
      <x:c r="R131" s="19">
        <x:f>SUM(L131:P131)</x:f>
        <x:v>3630434.00</x:v>
      </x:c>
      <x:c r="S131" s="37">
        <x:f>IF(K131=0,0,R131/K131)</x:f>
        <x:v>0.396012121976350758</x:v>
      </x:c>
    </x:row>
    <x:row r="132" s="20" customFormat="1">
      <x:c r="A132" s="20">
        <x:v>254</x:v>
      </x:c>
      <x:c r="B132" s="7"/>
      <x:c r="C132" s="8"/>
      <x:c r="D132" s="21"/>
      <x:c r="E132" s="24" t="s">
        <x:v>148</x:v>
      </x:c>
      <x:c r="F132" s="31">
        <x:v>1395176.00</x:v>
      </x:c>
      <x:c r="G132" s="31">
        <x:v>0.00</x:v>
      </x:c>
      <x:c r="H132" s="31">
        <x:v>28609.00</x:v>
      </x:c>
      <x:c r="I132" s="31">
        <x:v>36820.00</x:v>
      </x:c>
      <x:c r="J132" s="31">
        <x:v>162009.00</x:v>
      </x:c>
      <x:c r="K132" s="33">
        <x:f>SUM(F132:J132)</x:f>
        <x:v>1622614.00</x:v>
      </x:c>
      <x:c r="L132" s="31">
        <x:v>612920.59</x:v>
      </x:c>
      <x:c r="M132" s="31"/>
      <x:c r="N132" s="31">
        <x:v>2152.786516396625071025102040477582</x:v>
      </x:c>
      <x:c r="O132" s="31">
        <x:v>6625.152306694862282000662928329803</x:v>
      </x:c>
      <x:c r="P132" s="31">
        <x:v>259796.471176908482646974235030924039</x:v>
      </x:c>
      <x:c r="Q132" s="31">
        <x:f>N132+O132+P132</x:f>
        <x:v>268574.40999999997</x:v>
      </x:c>
      <x:c r="R132" s="19">
        <x:f>SUM(L132:P132)</x:f>
        <x:v>881494.99999999997</x:v>
      </x:c>
      <x:c r="S132" s="37">
        <x:f>IF(K132=0,0,R132/K132)</x:f>
        <x:v>0.543256128691111977</x:v>
      </x:c>
    </x:row>
    <x:row r="133" s="20" customFormat="1">
      <x:c r="A133" s="20">
        <x:v>233</x:v>
      </x:c>
      <x:c r="B133" s="7"/>
      <x:c r="C133" s="8"/>
      <x:c r="D133" s="21"/>
      <x:c r="E133" s="24" t="s">
        <x:v>149</x:v>
      </x:c>
      <x:c r="F133" s="31">
        <x:v>0.00</x:v>
      </x:c>
      <x:c r="G133" s="31">
        <x:v>0.00</x:v>
      </x:c>
      <x:c r="H133" s="31">
        <x:v>0.00</x:v>
      </x:c>
      <x:c r="I133" s="31">
        <x:v>0.00</x:v>
      </x:c>
      <x:c r="J133" s="31">
        <x:v>0.00</x:v>
      </x:c>
      <x:c r="K133" s="33">
        <x:f>SUM(F133:J133)</x:f>
        <x:v>0.00</x:v>
      </x:c>
      <x:c r="L133" s="31"/>
      <x:c r="M133" s="31"/>
      <x:c r="N133" s="31"/>
      <x:c r="O133" s="31"/>
      <x:c r="P133" s="31"/>
      <x:c r="Q133" s="31"/>
      <x:c r="R133" s="19"/>
      <x:c r="S133" s="37"/>
    </x:row>
    <x:row r="134" s="20" customFormat="1">
      <x:c r="A134" s="20">
        <x:v>234</x:v>
      </x:c>
      <x:c r="B134" s="7"/>
      <x:c r="C134" s="8"/>
      <x:c r="D134" s="21"/>
      <x:c r="E134" s="24" t="s">
        <x:v>150</x:v>
      </x:c>
      <x:c r="F134" s="31">
        <x:v>402127.00</x:v>
      </x:c>
      <x:c r="G134" s="31">
        <x:v>0.00</x:v>
      </x:c>
      <x:c r="H134" s="31">
        <x:v>8246.00</x:v>
      </x:c>
      <x:c r="I134" s="31">
        <x:v>10613.00</x:v>
      </x:c>
      <x:c r="J134" s="31">
        <x:v>46695.00</x:v>
      </x:c>
      <x:c r="K134" s="33">
        <x:f>SUM(F134:J134)</x:f>
        <x:v>467681.00</x:v>
      </x:c>
      <x:c r="L134" s="31"/>
      <x:c r="M134" s="31"/>
      <x:c r="N134" s="31"/>
      <x:c r="O134" s="31"/>
      <x:c r="P134" s="31"/>
      <x:c r="Q134" s="31"/>
      <x:c r="R134" s="19"/>
      <x:c r="S134" s="37"/>
    </x:row>
    <x:row r="135" s="20" customFormat="1">
      <x:c r="A135" s="20">
        <x:v>237</x:v>
      </x:c>
      <x:c r="B135" s="7"/>
      <x:c r="C135" s="8"/>
      <x:c r="D135" s="21"/>
      <x:c r="E135" s="24" t="s">
        <x:v>151</x:v>
      </x:c>
      <x:c r="F135" s="31">
        <x:v>0.00</x:v>
      </x:c>
      <x:c r="G135" s="31">
        <x:v>0.00</x:v>
      </x:c>
      <x:c r="H135" s="31">
        <x:v>0.00</x:v>
      </x:c>
      <x:c r="I135" s="31">
        <x:v>0.00</x:v>
      </x:c>
      <x:c r="J135" s="31">
        <x:v>0.00</x:v>
      </x:c>
      <x:c r="K135" s="33">
        <x:f>SUM(F135:J135)</x:f>
        <x:v>0.00</x:v>
      </x:c>
      <x:c r="L135" s="31"/>
      <x:c r="M135" s="31"/>
      <x:c r="N135" s="31"/>
      <x:c r="O135" s="31"/>
      <x:c r="P135" s="31"/>
      <x:c r="Q135" s="31"/>
      <x:c r="R135" s="19"/>
      <x:c r="S135" s="37"/>
    </x:row>
    <x:row r="136" s="20" customFormat="1">
      <x:c r="A136" s="20">
        <x:v>256</x:v>
      </x:c>
      <x:c r="B136" s="7"/>
      <x:c r="C136" s="8"/>
      <x:c r="D136" s="21"/>
      <x:c r="E136" s="24" t="s">
        <x:v>152</x:v>
      </x:c>
      <x:c r="F136" s="31">
        <x:v>207030731.00</x:v>
      </x:c>
      <x:c r="G136" s="31">
        <x:v>0.00</x:v>
      </x:c>
      <x:c r="H136" s="31">
        <x:v>4245265.00</x:v>
      </x:c>
      <x:c r="I136" s="31">
        <x:v>5463768.00</x:v>
      </x:c>
      <x:c r="J136" s="31">
        <x:v>24040630.00</x:v>
      </x:c>
      <x:c r="K136" s="33">
        <x:f>SUM(F136:J136)</x:f>
        <x:v>240780394.00</x:v>
      </x:c>
      <x:c r="L136" s="31">
        <x:v>89478097.290000007</x:v>
      </x:c>
      <x:c r="M136" s="31"/>
      <x:c r="N136" s="31">
        <x:v>302746.493739646276756109318750736361</x:v>
      </x:c>
      <x:c r="O136" s="31">
        <x:v>931695.556464301728897607158700702887</x:v>
      </x:c>
      <x:c r="P136" s="31">
        <x:v>36535192.939796053994346283522510791115</x:v>
      </x:c>
      <x:c r="Q136" s="31">
        <x:f>N136+O136+P136</x:f>
        <x:v>37769634.990000002</x:v>
      </x:c>
      <x:c r="R136" s="19">
        <x:f>SUM(L136:P136)</x:f>
        <x:v>127247732.280000009</x:v>
      </x:c>
      <x:c r="S136" s="37">
        <x:f>IF(K136=0,0,R136/K136)</x:f>
        <x:v>0.528480455431101292</x:v>
      </x:c>
    </x:row>
    <x:row r="137" s="20" customFormat="1">
      <x:c r="A137" s="20">
        <x:v>261</x:v>
      </x:c>
      <x:c r="B137" s="7"/>
      <x:c r="C137" s="8"/>
      <x:c r="D137" s="21"/>
      <x:c r="E137" s="24" t="s">
        <x:v>153</x:v>
      </x:c>
      <x:c r="F137" s="31">
        <x:v>0.00</x:v>
      </x:c>
      <x:c r="G137" s="31">
        <x:v>0.00</x:v>
      </x:c>
      <x:c r="H137" s="31">
        <x:v>0.00</x:v>
      </x:c>
      <x:c r="I137" s="31">
        <x:v>0.00</x:v>
      </x:c>
      <x:c r="J137" s="31">
        <x:v>0.00</x:v>
      </x:c>
      <x:c r="K137" s="33">
        <x:f>SUM(F137:J137)</x:f>
        <x:v>0.00</x:v>
      </x:c>
      <x:c r="L137" s="31"/>
      <x:c r="M137" s="31"/>
      <x:c r="N137" s="31"/>
      <x:c r="O137" s="31"/>
      <x:c r="P137" s="31"/>
      <x:c r="Q137" s="31"/>
      <x:c r="R137" s="19"/>
      <x:c r="S137" s="37"/>
    </x:row>
    <x:row r="138" s="20" customFormat="1">
      <x:c r="A138" s="20">
        <x:v>227</x:v>
      </x:c>
      <x:c r="B138" s="7"/>
      <x:c r="C138" s="8"/>
      <x:c r="D138" s="21"/>
      <x:c r="E138" s="24" t="s">
        <x:v>154</x:v>
      </x:c>
      <x:c r="F138" s="31">
        <x:v>64042191.00</x:v>
      </x:c>
      <x:c r="G138" s="31">
        <x:v>0.00</x:v>
      </x:c>
      <x:c r="H138" s="31">
        <x:v>1313216.00</x:v>
      </x:c>
      <x:c r="I138" s="31">
        <x:v>1690144.00</x:v>
      </x:c>
      <x:c r="J138" s="31">
        <x:v>7436648.00</x:v>
      </x:c>
      <x:c r="K138" s="33">
        <x:f>SUM(F138:J138)</x:f>
        <x:v>74482199.00</x:v>
      </x:c>
      <x:c r="L138" s="31"/>
      <x:c r="M138" s="31"/>
      <x:c r="N138" s="31"/>
      <x:c r="O138" s="31"/>
      <x:c r="P138" s="31"/>
      <x:c r="Q138" s="31"/>
      <x:c r="R138" s="19"/>
      <x:c r="S138" s="37"/>
    </x:row>
    <x:row r="139" s="20" customFormat="1">
      <x:c r="A139" s="20">
        <x:v>226</x:v>
      </x:c>
      <x:c r="B139" s="7"/>
      <x:c r="C139" s="8"/>
      <x:c r="D139" s="21"/>
      <x:c r="E139" s="24" t="s">
        <x:v>155</x:v>
      </x:c>
      <x:c r="F139" s="31">
        <x:v>69301.00</x:v>
      </x:c>
      <x:c r="G139" s="31">
        <x:v>0.00</x:v>
      </x:c>
      <x:c r="H139" s="31">
        <x:v>1421.00</x:v>
      </x:c>
      <x:c r="I139" s="31">
        <x:v>1829.00</x:v>
      </x:c>
      <x:c r="J139" s="31">
        <x:v>8047.00</x:v>
      </x:c>
      <x:c r="K139" s="33">
        <x:f>SUM(F139:J139)</x:f>
        <x:v>80598.00</x:v>
      </x:c>
      <x:c r="L139" s="31"/>
      <x:c r="M139" s="31"/>
      <x:c r="N139" s="31"/>
      <x:c r="O139" s="31"/>
      <x:c r="P139" s="31"/>
      <x:c r="Q139" s="31"/>
      <x:c r="R139" s="19"/>
      <x:c r="S139" s="37"/>
    </x:row>
    <x:row r="140" s="20" customFormat="1">
      <x:c r="A140" s="20">
        <x:v>228</x:v>
      </x:c>
      <x:c r="B140" s="7"/>
      <x:c r="C140" s="8"/>
      <x:c r="D140" s="21"/>
      <x:c r="E140" s="24" t="s">
        <x:v>156</x:v>
      </x:c>
      <x:c r="F140" s="31">
        <x:v>371039.00</x:v>
      </x:c>
      <x:c r="G140" s="31">
        <x:v>0.00</x:v>
      </x:c>
      <x:c r="H140" s="31">
        <x:v>7608.00</x:v>
      </x:c>
      <x:c r="I140" s="31">
        <x:v>9792.00</x:v>
      </x:c>
      <x:c r="J140" s="31">
        <x:v>43085.00</x:v>
      </x:c>
      <x:c r="K140" s="33">
        <x:f>SUM(F140:J140)</x:f>
        <x:v>431524.00</x:v>
      </x:c>
      <x:c r="L140" s="31"/>
      <x:c r="M140" s="31"/>
      <x:c r="N140" s="31"/>
      <x:c r="O140" s="31"/>
      <x:c r="P140" s="31"/>
      <x:c r="Q140" s="31"/>
      <x:c r="R140" s="19"/>
      <x:c r="S140" s="37"/>
    </x:row>
    <x:row r="141" s="20" customFormat="1">
      <x:c r="A141" s="20">
        <x:v>260</x:v>
      </x:c>
      <x:c r="B141" s="7"/>
      <x:c r="C141" s="8"/>
      <x:c r="D141" s="21"/>
      <x:c r="E141" s="24" t="s">
        <x:v>157</x:v>
      </x:c>
      <x:c r="F141" s="31">
        <x:v>0.00</x:v>
      </x:c>
      <x:c r="G141" s="31">
        <x:v>0.00</x:v>
      </x:c>
      <x:c r="H141" s="31">
        <x:v>0.00</x:v>
      </x:c>
      <x:c r="I141" s="31">
        <x:v>0.00</x:v>
      </x:c>
      <x:c r="J141" s="31">
        <x:v>0.00</x:v>
      </x:c>
      <x:c r="K141" s="33">
        <x:f>SUM(F141:J141)</x:f>
        <x:v>0.00</x:v>
      </x:c>
      <x:c r="L141" s="31"/>
      <x:c r="M141" s="31"/>
      <x:c r="N141" s="31"/>
      <x:c r="O141" s="31"/>
      <x:c r="P141" s="31"/>
      <x:c r="Q141" s="31"/>
      <x:c r="R141" s="19"/>
      <x:c r="S141" s="37"/>
    </x:row>
    <x:row r="142" s="20" customFormat="1">
      <x:c r="A142" s="20">
        <x:v>238</x:v>
      </x:c>
      <x:c r="B142" s="7"/>
      <x:c r="C142" s="8"/>
      <x:c r="D142" s="21"/>
      <x:c r="E142" s="24" t="s">
        <x:v>158</x:v>
      </x:c>
      <x:c r="F142" s="31">
        <x:v>0.00</x:v>
      </x:c>
      <x:c r="G142" s="31">
        <x:v>0.00</x:v>
      </x:c>
      <x:c r="H142" s="31">
        <x:v>0.00</x:v>
      </x:c>
      <x:c r="I142" s="31">
        <x:v>0.00</x:v>
      </x:c>
      <x:c r="J142" s="31">
        <x:v>0.00</x:v>
      </x:c>
      <x:c r="K142" s="33">
        <x:f>SUM(F142:J142)</x:f>
        <x:v>0.00</x:v>
      </x:c>
      <x:c r="L142" s="31"/>
      <x:c r="M142" s="31"/>
      <x:c r="N142" s="31"/>
      <x:c r="O142" s="31"/>
      <x:c r="P142" s="31"/>
      <x:c r="Q142" s="31"/>
      <x:c r="R142" s="19"/>
      <x:c r="S142" s="37"/>
    </x:row>
    <x:row r="143" s="23" customFormat="1">
      <x:c r="B143" s="12">
        <x:v>22</x:v>
      </x:c>
      <x:c r="C143" s="8" t="s">
        <x:v>34</x:v>
      </x:c>
      <x:c r="D143" s="14"/>
      <x:c r="E143" s="15" t="s">
        <x:v>159</x:v>
      </x:c>
      <x:c r="F143" s="32">
        <x:f>SUM(F56:F142)</x:f>
        <x:v>2660167736.00</x:v>
      </x:c>
      <x:c r="G143" s="32">
        <x:f>SUM(G56:G142)</x:f>
        <x:v>0.00</x:v>
      </x:c>
      <x:c r="H143" s="32">
        <x:f>SUM(H56:H142)</x:f>
        <x:v>54548026.00</x:v>
      </x:c>
      <x:c r="I143" s="32">
        <x:f>SUM(I56:I142)</x:f>
        <x:v>70204744.00</x:v>
      </x:c>
      <x:c r="J143" s="32">
        <x:f>SUM(J56:J142)</x:f>
        <x:v>308901526.00</x:v>
      </x:c>
      <x:c r="K143" s="32">
        <x:f>SUM(K56:K142)</x:f>
        <x:v>3093822032.00</x:v>
      </x:c>
      <x:c r="L143" s="32">
        <x:f>SUM(L56:L142)</x:f>
        <x:v>1371568475.6500000115</x:v>
      </x:c>
      <x:c r="M143" s="32"/>
      <x:c r="N143" s="32">
        <x:f>SUM(N56:N142)</x:f>
        <x:v>5009370.842930811790314388732736346390</x:v>
      </x:c>
      <x:c r="O143" s="32">
        <x:f>SUM(O56:O142)</x:f>
        <x:v>15416226.617158258162088184769137230542</x:v>
      </x:c>
      <x:c r="P143" s="32">
        <x:f>SUM(P56:P142)</x:f>
        <x:v>604526671.779910925917597426497501470762</x:v>
      </x:c>
      <x:c r="Q143" s="32">
        <x:f>SUM(Q56:Q142)</x:f>
        <x:v>624952269.23999999587</x:v>
      </x:c>
      <x:c r="R143" s="16">
        <x:f>SUM(R56:R142)</x:f>
        <x:v>1996520744.89000000737</x:v>
      </x:c>
      <x:c r="S143" s="37">
        <x:f>IF(K143=0,0,R143/K143)</x:f>
        <x:v>0.645325013604402442</x:v>
      </x:c>
    </x:row>
    <x:row r="144" s="20" customFormat="1">
      <x:c r="B144" s="7"/>
      <x:c r="C144" s="8" t="s">
        <x:v>36</x:v>
      </x:c>
      <x:c r="D144" s="21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19"/>
      <x:c r="S144" s="19"/>
    </x:row>
    <x:row r="145" s="20" customFormat="1">
      <x:c r="B145" s="7"/>
      <x:c r="C145" s="8" t="s">
        <x:v>29</x:v>
      </x:c>
      <x:c r="D145" s="21"/>
      <x:c r="E145" s="22" t="s">
        <x:v>160</x:v>
      </x:c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19"/>
      <x:c r="S145" s="19"/>
    </x:row>
    <x:row r="146" s="20" customFormat="1">
      <x:c r="A146" s="20">
        <x:v>269</x:v>
      </x:c>
      <x:c r="B146" s="7"/>
      <x:c r="C146" s="8"/>
      <x:c r="D146" s="21"/>
      <x:c r="E146" s="24" t="s">
        <x:v>161</x:v>
      </x:c>
      <x:c r="F146" s="31">
        <x:v>74240223.00</x:v>
      </x:c>
      <x:c r="G146" s="31">
        <x:v>0.00</x:v>
      </x:c>
      <x:c r="H146" s="31">
        <x:v>1522332.00</x:v>
      </x:c>
      <x:c r="I146" s="31">
        <x:v>1959281.00</x:v>
      </x:c>
      <x:c r="J146" s="31">
        <x:v>8620854.00</x:v>
      </x:c>
      <x:c r="K146" s="33">
        <x:f>SUM(F146:J146)</x:f>
        <x:v>86342690.00</x:v>
      </x:c>
      <x:c r="L146" s="31">
        <x:v>27167324.829999998</x:v>
      </x:c>
      <x:c r="M146" s="31"/>
      <x:c r="N146" s="31">
        <x:v>95626.865212364192396908871821605556</x:v>
      </x:c>
      <x:c r="O146" s="31">
        <x:v>294289.536755427495595980341314502855</x:v>
      </x:c>
      <x:c r="P146" s="31">
        <x:v>11540169.888032207312007110786851961502</x:v>
      </x:c>
      <x:c r="Q146" s="31">
        <x:f>N146+O146+P146</x:f>
        <x:v>11930086.289999999</x:v>
      </x:c>
      <x:c r="R146" s="19">
        <x:f>SUM(L146:P146)</x:f>
        <x:v>39097411.119999997</x:v>
      </x:c>
      <x:c r="S146" s="37">
        <x:f>IF(K146=0,0,R146/K146)</x:f>
        <x:v>0.452816690330125190</x:v>
      </x:c>
    </x:row>
    <x:row r="147" s="20" customFormat="1">
      <x:c r="A147" s="20">
        <x:v>270</x:v>
      </x:c>
      <x:c r="B147" s="7"/>
      <x:c r="C147" s="8"/>
      <x:c r="D147" s="21"/>
      <x:c r="E147" s="24" t="s">
        <x:v>162</x:v>
      </x:c>
      <x:c r="F147" s="31">
        <x:v>0.00</x:v>
      </x:c>
      <x:c r="G147" s="31">
        <x:v>0.00</x:v>
      </x:c>
      <x:c r="H147" s="31">
        <x:v>0.00</x:v>
      </x:c>
      <x:c r="I147" s="31">
        <x:v>0.00</x:v>
      </x:c>
      <x:c r="J147" s="31">
        <x:v>0.00</x:v>
      </x:c>
      <x:c r="K147" s="33">
        <x:f>SUM(F147:J147)</x:f>
        <x:v>0.00</x:v>
      </x:c>
      <x:c r="L147" s="31"/>
      <x:c r="M147" s="31"/>
      <x:c r="N147" s="31"/>
      <x:c r="O147" s="31"/>
      <x:c r="P147" s="31"/>
      <x:c r="Q147" s="31"/>
      <x:c r="R147" s="19"/>
      <x:c r="S147" s="37"/>
    </x:row>
    <x:row r="148" s="20" customFormat="1">
      <x:c r="A148" s="20">
        <x:v>271</x:v>
      </x:c>
      <x:c r="B148" s="7"/>
      <x:c r="C148" s="8"/>
      <x:c r="D148" s="21"/>
      <x:c r="E148" s="24" t="s">
        <x:v>163</x:v>
      </x:c>
      <x:c r="F148" s="31">
        <x:v>0.00</x:v>
      </x:c>
      <x:c r="G148" s="31">
        <x:v>0.00</x:v>
      </x:c>
      <x:c r="H148" s="31">
        <x:v>0.00</x:v>
      </x:c>
      <x:c r="I148" s="31">
        <x:v>0.00</x:v>
      </x:c>
      <x:c r="J148" s="31">
        <x:v>0.00</x:v>
      </x:c>
      <x:c r="K148" s="33">
        <x:f>SUM(F148:J148)</x:f>
        <x:v>0.00</x:v>
      </x:c>
      <x:c r="L148" s="31"/>
      <x:c r="M148" s="31"/>
      <x:c r="N148" s="31"/>
      <x:c r="O148" s="31"/>
      <x:c r="P148" s="31"/>
      <x:c r="Q148" s="31"/>
      <x:c r="R148" s="19"/>
      <x:c r="S148" s="37"/>
    </x:row>
    <x:row r="149" s="20" customFormat="1">
      <x:c r="A149" s="20">
        <x:v>272</x:v>
      </x:c>
      <x:c r="B149" s="7"/>
      <x:c r="C149" s="8"/>
      <x:c r="D149" s="21"/>
      <x:c r="E149" s="24" t="s">
        <x:v>164</x:v>
      </x:c>
      <x:c r="F149" s="31">
        <x:v>119096055.00</x:v>
      </x:c>
      <x:c r="G149" s="31">
        <x:v>0.00</x:v>
      </x:c>
      <x:c r="H149" s="31">
        <x:v>2442122.00</x:v>
      </x:c>
      <x:c r="I149" s="31">
        <x:v>3143075.00</x:v>
      </x:c>
      <x:c r="J149" s="31">
        <x:v>13829561.00</x:v>
      </x:c>
      <x:c r="K149" s="33">
        <x:f>SUM(F149:J149)</x:f>
        <x:v>138510813.00</x:v>
      </x:c>
      <x:c r="L149" s="31">
        <x:v>133176282.42</x:v>
      </x:c>
      <x:c r="M149" s="31"/>
      <x:c r="N149" s="31">
        <x:v>455314.855325167819685451846216956337</x:v>
      </x:c>
      <x:c r="O149" s="31">
        <x:v>1401221.273477269212286029325268433466</x:v>
      </x:c>
      <x:c r="P149" s="31">
        <x:v>54947014.851197559968028518828457806645</x:v>
      </x:c>
      <x:c r="Q149" s="31">
        <x:f>N149+O149+P149</x:f>
        <x:v>56803550.979999997</x:v>
      </x:c>
      <x:c r="R149" s="19">
        <x:f>SUM(L149:P149)</x:f>
        <x:v>189979833.399999997</x:v>
      </x:c>
      <x:c r="S149" s="37">
        <x:f>IF(K149=0,0,R149/K149)</x:f>
        <x:v>1.371588465082505847</x:v>
      </x:c>
    </x:row>
    <x:row r="150" s="20" customFormat="1">
      <x:c r="A150" s="20">
        <x:v>273</x:v>
      </x:c>
      <x:c r="B150" s="7"/>
      <x:c r="C150" s="8"/>
      <x:c r="D150" s="21"/>
      <x:c r="E150" s="24" t="s">
        <x:v>165</x:v>
      </x:c>
      <x:c r="F150" s="31">
        <x:v>0.00</x:v>
      </x:c>
      <x:c r="G150" s="31">
        <x:v>0.00</x:v>
      </x:c>
      <x:c r="H150" s="31">
        <x:v>0.00</x:v>
      </x:c>
      <x:c r="I150" s="31">
        <x:v>0.00</x:v>
      </x:c>
      <x:c r="J150" s="31">
        <x:v>0.00</x:v>
      </x:c>
      <x:c r="K150" s="33">
        <x:f>SUM(F150:J150)</x:f>
        <x:v>0.00</x:v>
      </x:c>
      <x:c r="L150" s="31">
        <x:v>358514940.73000002</x:v>
      </x:c>
      <x:c r="M150" s="31"/>
      <x:c r="N150" s="31">
        <x:v>1230639.058691197783439447241441472237</x:v>
      </x:c>
      <x:c r="O150" s="31">
        <x:v>3787264.151042582565395057900654933076</x:v>
      </x:c>
      <x:c r="P150" s="31">
        <x:v>148512489.420266219651165494857750064293</x:v>
      </x:c>
      <x:c r="Q150" s="31">
        <x:f>N150+O150+P150</x:f>
        <x:v>153530392.63</x:v>
      </x:c>
      <x:c r="R150" s="19">
        <x:f>SUM(L150:P150)</x:f>
        <x:v>512045333.36000002</x:v>
      </x:c>
      <x:c r="S150" s="37">
        <x:v>0.00</x:v>
      </x:c>
    </x:row>
    <x:row r="151" s="20" customFormat="1">
      <x:c r="A151" s="20">
        <x:v>265</x:v>
      </x:c>
      <x:c r="B151" s="7"/>
      <x:c r="C151" s="8"/>
      <x:c r="D151" s="21"/>
      <x:c r="E151" s="24" t="s">
        <x:v>166</x:v>
      </x:c>
      <x:c r="F151" s="31">
        <x:v>0.00</x:v>
      </x:c>
      <x:c r="G151" s="31">
        <x:v>0.00</x:v>
      </x:c>
      <x:c r="H151" s="31">
        <x:v>0.00</x:v>
      </x:c>
      <x:c r="I151" s="31">
        <x:v>0.00</x:v>
      </x:c>
      <x:c r="J151" s="31">
        <x:v>0.00</x:v>
      </x:c>
      <x:c r="K151" s="33">
        <x:f>SUM(F151:J151)</x:f>
        <x:v>0.00</x:v>
      </x:c>
      <x:c r="L151" s="31"/>
      <x:c r="M151" s="31"/>
      <x:c r="N151" s="31"/>
      <x:c r="O151" s="31"/>
      <x:c r="P151" s="31"/>
      <x:c r="Q151" s="31"/>
      <x:c r="R151" s="19"/>
      <x:c r="S151" s="37"/>
    </x:row>
    <x:row r="152" s="20" customFormat="1">
      <x:c r="A152" s="20">
        <x:v>266</x:v>
      </x:c>
      <x:c r="B152" s="7"/>
      <x:c r="C152" s="8"/>
      <x:c r="D152" s="21"/>
      <x:c r="E152" s="24" t="s">
        <x:v>167</x:v>
      </x:c>
      <x:c r="F152" s="31">
        <x:v>13582251.00</x:v>
      </x:c>
      <x:c r="G152" s="31">
        <x:v>0.00</x:v>
      </x:c>
      <x:c r="H152" s="31">
        <x:v>278511.00</x:v>
      </x:c>
      <x:c r="I152" s="31">
        <x:v>358450.00</x:v>
      </x:c>
      <x:c r="J152" s="31">
        <x:v>1577186.00</x:v>
      </x:c>
      <x:c r="K152" s="33">
        <x:f>SUM(F152:J152)</x:f>
        <x:v>15796398.00</x:v>
      </x:c>
      <x:c r="L152" s="31"/>
      <x:c r="M152" s="31"/>
      <x:c r="N152" s="31"/>
      <x:c r="O152" s="31"/>
      <x:c r="P152" s="31"/>
      <x:c r="Q152" s="31"/>
      <x:c r="R152" s="19"/>
      <x:c r="S152" s="37"/>
    </x:row>
    <x:row r="153" s="20" customFormat="1">
      <x:c r="A153" s="20">
        <x:v>267</x:v>
      </x:c>
      <x:c r="B153" s="7"/>
      <x:c r="C153" s="8"/>
      <x:c r="D153" s="21"/>
      <x:c r="E153" s="24" t="s">
        <x:v>168</x:v>
      </x:c>
      <x:c r="F153" s="31">
        <x:v>13376446.00</x:v>
      </x:c>
      <x:c r="G153" s="31">
        <x:v>0.00</x:v>
      </x:c>
      <x:c r="H153" s="31">
        <x:v>274290.00</x:v>
      </x:c>
      <x:c r="I153" s="31">
        <x:v>353019.00</x:v>
      </x:c>
      <x:c r="J153" s="31">
        <x:v>1553287.00</x:v>
      </x:c>
      <x:c r="K153" s="33">
        <x:f>SUM(F153:J153)</x:f>
        <x:v>15557042.00</x:v>
      </x:c>
      <x:c r="L153" s="31">
        <x:v>4071548.78</x:v>
      </x:c>
      <x:c r="M153" s="31"/>
      <x:c r="N153" s="31">
        <x:v>12774.594557674260845203537152763495</x:v>
      </x:c>
      <x:c r="O153" s="31">
        <x:v>39313.528748093725067471783041255086</x:v>
      </x:c>
      <x:c r="P153" s="31">
        <x:v>1541627.356694232014087324679804387701</x:v>
      </x:c>
      <x:c r="Q153" s="31">
        <x:f>N153+O153+P153</x:f>
        <x:v>1593715.48</x:v>
      </x:c>
      <x:c r="R153" s="19">
        <x:f>SUM(L153:P153)</x:f>
        <x:v>5665264.26</x:v>
      </x:c>
      <x:c r="S153" s="37">
        <x:f>IF(K153=0,0,R153/K153)</x:f>
        <x:v>0.364160761409527595</x:v>
      </x:c>
    </x:row>
    <x:row r="154" s="20" customFormat="1">
      <x:c r="A154" s="20">
        <x:v>268</x:v>
      </x:c>
      <x:c r="B154" s="7"/>
      <x:c r="C154" s="8"/>
      <x:c r="D154" s="21"/>
      <x:c r="E154" s="24" t="s">
        <x:v>169</x:v>
      </x:c>
      <x:c r="F154" s="31">
        <x:v>0.00</x:v>
      </x:c>
      <x:c r="G154" s="31">
        <x:v>0.00</x:v>
      </x:c>
      <x:c r="H154" s="31">
        <x:v>0.00</x:v>
      </x:c>
      <x:c r="I154" s="31">
        <x:v>0.00</x:v>
      </x:c>
      <x:c r="J154" s="31">
        <x:v>0.00</x:v>
      </x:c>
      <x:c r="K154" s="33">
        <x:f>SUM(F154:J154)</x:f>
        <x:v>0.00</x:v>
      </x:c>
      <x:c r="L154" s="31"/>
      <x:c r="M154" s="31"/>
      <x:c r="N154" s="31"/>
      <x:c r="O154" s="31"/>
      <x:c r="P154" s="31"/>
      <x:c r="Q154" s="31"/>
      <x:c r="R154" s="19"/>
      <x:c r="S154" s="37"/>
    </x:row>
    <x:row r="155" s="20" customFormat="1">
      <x:c r="A155" s="20">
        <x:v>274</x:v>
      </x:c>
      <x:c r="B155" s="7"/>
      <x:c r="C155" s="8"/>
      <x:c r="D155" s="21"/>
      <x:c r="E155" s="24" t="s">
        <x:v>170</x:v>
      </x:c>
      <x:c r="F155" s="31">
        <x:v>0.00</x:v>
      </x:c>
      <x:c r="G155" s="31">
        <x:v>0.00</x:v>
      </x:c>
      <x:c r="H155" s="31">
        <x:v>0.00</x:v>
      </x:c>
      <x:c r="I155" s="31">
        <x:v>0.00</x:v>
      </x:c>
      <x:c r="J155" s="31">
        <x:v>0.00</x:v>
      </x:c>
      <x:c r="K155" s="33">
        <x:f>SUM(F155:J155)</x:f>
        <x:v>0.00</x:v>
      </x:c>
      <x:c r="L155" s="31"/>
      <x:c r="M155" s="31"/>
      <x:c r="N155" s="31"/>
      <x:c r="O155" s="31"/>
      <x:c r="P155" s="31"/>
      <x:c r="Q155" s="31"/>
      <x:c r="R155" s="19"/>
      <x:c r="S155" s="37"/>
    </x:row>
    <x:row r="156" s="20" customFormat="1">
      <x:c r="A156" s="20">
        <x:v>275</x:v>
      </x:c>
      <x:c r="B156" s="7"/>
      <x:c r="C156" s="8"/>
      <x:c r="D156" s="21"/>
      <x:c r="E156" s="24" t="s">
        <x:v>171</x:v>
      </x:c>
      <x:c r="F156" s="31">
        <x:v>26832842.00</x:v>
      </x:c>
      <x:c r="G156" s="31">
        <x:v>0.00</x:v>
      </x:c>
      <x:c r="H156" s="31">
        <x:v>550220.00</x:v>
      </x:c>
      <x:c r="I156" s="31">
        <x:v>708148.00</x:v>
      </x:c>
      <x:c r="J156" s="31">
        <x:v>3115858.00</x:v>
      </x:c>
      <x:c r="K156" s="33">
        <x:f>SUM(F156:J156)</x:f>
        <x:v>31207068.00</x:v>
      </x:c>
      <x:c r="L156" s="31">
        <x:v>15434849.17</x:v>
      </x:c>
      <x:c r="M156" s="31"/>
      <x:c r="N156" s="31">
        <x:v>54160.896694218065180991890492525129</x:v>
      </x:c>
      <x:c r="O156" s="31">
        <x:v>166678.946998872742140975086118558604</x:v>
      </x:c>
      <x:c r="P156" s="31">
        <x:v>6536091.586306908892678033023382159334</x:v>
      </x:c>
      <x:c r="Q156" s="31">
        <x:f>N156+O156+P156</x:f>
        <x:v>6756931.4299999997</x:v>
      </x:c>
      <x:c r="R156" s="19">
        <x:f>SUM(L156:P156)</x:f>
        <x:v>22191780.5999999997</x:v>
      </x:c>
      <x:c r="S156" s="37">
        <x:f>IF(K156=0,0,R156/K156)</x:f>
        <x:v>0.711113924576317124</x:v>
      </x:c>
    </x:row>
    <x:row r="157" s="20" customFormat="1">
      <x:c r="A157" s="20">
        <x:v>276</x:v>
      </x:c>
      <x:c r="B157" s="7"/>
      <x:c r="C157" s="8"/>
      <x:c r="D157" s="21"/>
      <x:c r="E157" s="24" t="s">
        <x:v>172</x:v>
      </x:c>
      <x:c r="F157" s="31">
        <x:v>182829014.00</x:v>
      </x:c>
      <x:c r="G157" s="31">
        <x:v>0.00</x:v>
      </x:c>
      <x:c r="H157" s="31">
        <x:v>3748997.00</x:v>
      </x:c>
      <x:c r="I157" s="31">
        <x:v>4825058.00</x:v>
      </x:c>
      <x:c r="J157" s="31">
        <x:v>21230301.00</x:v>
      </x:c>
      <x:c r="K157" s="33">
        <x:f>SUM(F157:J157)</x:f>
        <x:v>212633370.00</x:v>
      </x:c>
      <x:c r="L157" s="31">
        <x:v>84950720.640000001</x:v>
      </x:c>
      <x:c r="M157" s="31"/>
      <x:c r="N157" s="31">
        <x:v>284697.864902627077694726622646727262</x:v>
      </x:c>
      <x:c r="O157" s="31">
        <x:v>876151.305298884770440149443746721186</x:v>
      </x:c>
      <x:c r="P157" s="31">
        <x:v>34357099.549798487151865123933571033602</x:v>
      </x:c>
      <x:c r="Q157" s="31">
        <x:f>N157+O157+P157</x:f>
        <x:v>35517948.719999999</x:v>
      </x:c>
      <x:c r="R157" s="19">
        <x:f>SUM(L157:P157)</x:f>
        <x:v>120468669.360000000</x:v>
      </x:c>
      <x:c r="S157" s="37">
        <x:f>IF(K157=0,0,R157/K157)</x:f>
        <x:v>0.566555801471800968</x:v>
      </x:c>
    </x:row>
    <x:row r="158" s="20" customFormat="1">
      <x:c r="A158" s="20">
        <x:v>277</x:v>
      </x:c>
      <x:c r="B158" s="7"/>
      <x:c r="C158" s="8"/>
      <x:c r="D158" s="21"/>
      <x:c r="E158" s="24" t="s">
        <x:v>173</x:v>
      </x:c>
      <x:c r="F158" s="31">
        <x:v>0.00</x:v>
      </x:c>
      <x:c r="G158" s="31">
        <x:v>0.00</x:v>
      </x:c>
      <x:c r="H158" s="31">
        <x:v>0.00</x:v>
      </x:c>
      <x:c r="I158" s="31">
        <x:v>0.00</x:v>
      </x:c>
      <x:c r="J158" s="31">
        <x:v>0.00</x:v>
      </x:c>
      <x:c r="K158" s="33">
        <x:f>SUM(F158:J158)</x:f>
        <x:v>0.00</x:v>
      </x:c>
      <x:c r="L158" s="31"/>
      <x:c r="M158" s="31"/>
      <x:c r="N158" s="31"/>
      <x:c r="O158" s="31"/>
      <x:c r="P158" s="31"/>
      <x:c r="Q158" s="31"/>
      <x:c r="R158" s="19"/>
      <x:c r="S158" s="37"/>
    </x:row>
    <x:row r="159" s="20" customFormat="1">
      <x:c r="A159" s="20">
        <x:v>278</x:v>
      </x:c>
      <x:c r="B159" s="7"/>
      <x:c r="C159" s="8"/>
      <x:c r="D159" s="21"/>
      <x:c r="E159" s="24" t="s">
        <x:v>174</x:v>
      </x:c>
      <x:c r="F159" s="31">
        <x:v>0.00</x:v>
      </x:c>
      <x:c r="G159" s="31">
        <x:v>0.00</x:v>
      </x:c>
      <x:c r="H159" s="31">
        <x:v>0.00</x:v>
      </x:c>
      <x:c r="I159" s="31">
        <x:v>0.00</x:v>
      </x:c>
      <x:c r="J159" s="31">
        <x:v>0.00</x:v>
      </x:c>
      <x:c r="K159" s="33">
        <x:f>SUM(F159:J159)</x:f>
        <x:v>0.00</x:v>
      </x:c>
      <x:c r="L159" s="31"/>
      <x:c r="M159" s="31"/>
      <x:c r="N159" s="31"/>
      <x:c r="O159" s="31"/>
      <x:c r="P159" s="31"/>
      <x:c r="Q159" s="31"/>
      <x:c r="R159" s="19"/>
      <x:c r="S159" s="37"/>
    </x:row>
    <x:row r="160" s="20" customFormat="1">
      <x:c r="A160" s="20">
        <x:v>279</x:v>
      </x:c>
      <x:c r="B160" s="7"/>
      <x:c r="C160" s="8"/>
      <x:c r="D160" s="21"/>
      <x:c r="E160" s="24" t="s">
        <x:v>175</x:v>
      </x:c>
      <x:c r="F160" s="31">
        <x:v>0.00</x:v>
      </x:c>
      <x:c r="G160" s="31">
        <x:v>0.00</x:v>
      </x:c>
      <x:c r="H160" s="31">
        <x:v>0.00</x:v>
      </x:c>
      <x:c r="I160" s="31">
        <x:v>0.00</x:v>
      </x:c>
      <x:c r="J160" s="31">
        <x:v>0.00</x:v>
      </x:c>
      <x:c r="K160" s="33">
        <x:f>SUM(F160:J160)</x:f>
        <x:v>0.00</x:v>
      </x:c>
      <x:c r="L160" s="31"/>
      <x:c r="M160" s="31"/>
      <x:c r="N160" s="31"/>
      <x:c r="O160" s="31"/>
      <x:c r="P160" s="31"/>
      <x:c r="Q160" s="31"/>
      <x:c r="R160" s="19"/>
      <x:c r="S160" s="37"/>
    </x:row>
    <x:row r="161" s="23" customFormat="1">
      <x:c r="B161" s="12">
        <x:v>23</x:v>
      </x:c>
      <x:c r="C161" s="8" t="s">
        <x:v>34</x:v>
      </x:c>
      <x:c r="D161" s="14"/>
      <x:c r="E161" s="15" t="s">
        <x:v>176</x:v>
      </x:c>
      <x:c r="F161" s="32">
        <x:f>SUM(F146:F160)</x:f>
        <x:v>429956831.00</x:v>
      </x:c>
      <x:c r="G161" s="32">
        <x:f>SUM(G146:G160)</x:f>
        <x:v>0.00</x:v>
      </x:c>
      <x:c r="H161" s="32">
        <x:f>SUM(H146:H160)</x:f>
        <x:v>8816472.00</x:v>
      </x:c>
      <x:c r="I161" s="32">
        <x:f>SUM(I146:I160)</x:f>
        <x:v>11347031.00</x:v>
      </x:c>
      <x:c r="J161" s="32">
        <x:f>SUM(J146:J160)</x:f>
        <x:v>49927047.00</x:v>
      </x:c>
      <x:c r="K161" s="32">
        <x:f>SUM(K146:K160)</x:f>
        <x:v>500047381.00</x:v>
      </x:c>
      <x:c r="L161" s="32">
        <x:f>SUM(L146:L160)</x:f>
        <x:v>623315666.570000019</x:v>
      </x:c>
      <x:c r="M161" s="32"/>
      <x:c r="N161" s="32">
        <x:f>SUM(N146:N160)</x:f>
        <x:v>2133214.135383249199242730009772050016</x:v>
      </x:c>
      <x:c r="O161" s="32">
        <x:f>SUM(O146:O160)</x:f>
        <x:v>6564918.742321130510925663880144404273</x:v>
      </x:c>
      <x:c r="P161" s="32">
        <x:f>SUM(P146:P160)</x:f>
        <x:v>257434492.652295614989831606109817413077</x:v>
      </x:c>
      <x:c r="Q161" s="32">
        <x:f>SUM(Q146:Q160)</x:f>
        <x:v>266132625.5299999947</x:v>
      </x:c>
      <x:c r="R161" s="16">
        <x:f>SUM(R146:R160)</x:f>
        <x:v>889448292.1000000137</x:v>
      </x:c>
      <x:c r="S161" s="37">
        <x:f>IF(K161=0,0,R161/K161)</x:f>
        <x:v>1.778728028374575195</x:v>
      </x:c>
    </x:row>
    <x:row r="162" s="20" customFormat="1">
      <x:c r="B162" s="7"/>
      <x:c r="C162" s="8"/>
      <x:c r="D162" s="21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19"/>
      <x:c r="S162" s="19"/>
    </x:row>
    <x:row r="163" s="23" customFormat="1">
      <x:c r="B163" s="12"/>
      <x:c r="C163" s="8" t="s">
        <x:v>34</x:v>
      </x:c>
      <x:c r="D163" s="14"/>
      <x:c r="E163" s="15" t="s">
        <x:v>177</x:v>
      </x:c>
      <x:c r="F163" s="32">
        <x:f>SUM(F53,F143,F161)</x:f>
        <x:v>8156379708.00</x:v>
      </x:c>
      <x:c r="G163" s="32">
        <x:f>SUM(G53,G143,G161)</x:f>
        <x:v>0.00</x:v>
      </x:c>
      <x:c r="H163" s="32">
        <x:f>SUM(H53,H143,H161)</x:f>
        <x:v>167250506.00</x:v>
      </x:c>
      <x:c r="I163" s="32">
        <x:f>SUM(I53,I143,I161)</x:f>
        <x:v>215255801.00</x:v>
      </x:c>
      <x:c r="J163" s="32">
        <x:f>SUM(J53,J143,J161)</x:f>
        <x:v>947127545.00</x:v>
      </x:c>
      <x:c r="K163" s="32">
        <x:f>SUM(K53,K143,K161)</x:f>
        <x:v>9486013560.00</x:v>
      </x:c>
      <x:c r="L163" s="32">
        <x:f>SUM(L53,L143,L161)</x:f>
        <x:v>3972512858.1000000615</x:v>
      </x:c>
      <x:c r="M163" s="32"/>
      <x:c r="N163" s="32">
        <x:f>SUM(N53,N143,N161)</x:f>
        <x:v>14201907.051233171621944763446918192739</x:v>
      </x:c>
      <x:c r="O163" s="32">
        <x:f>SUM(O53,O143,O161)</x:f>
        <x:v>43706050.991731760307244490490339300103</x:v>
      </x:c>
      <x:c r="P163" s="32">
        <x:f>SUM(P53,P143,P161)</x:f>
        <x:v>1713874231.277035053640810746060970724911</x:v>
      </x:c>
      <x:c r="Q163" s="32">
        <x:f>SUM(Q53,Q143,Q161)</x:f>
        <x:v>1771782189.31999998557</x:v>
      </x:c>
      <x:c r="R163" s="16">
        <x:f>SUM(R161,R143,R53)</x:f>
        <x:v>5744295047.42000004707</x:v>
      </x:c>
      <x:c r="S163" s="37">
        <x:f>IF(K163=0,0,R163/K163)</x:f>
        <x:v>0.605554167837390277</x:v>
      </x:c>
    </x:row>
    <x:row r="164" s="20" customFormat="1">
      <x:c r="B164" s="7"/>
      <x:c r="C164" s="8"/>
      <x:c r="D164" s="21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19"/>
      <x:c r="S164" s="19"/>
    </x:row>
    <x:row r="165" s="23" customFormat="1">
      <x:c r="A165" s="23">
        <x:v>0</x:v>
      </x:c>
      <x:c r="B165" s="12">
        <x:v>25</x:v>
      </x:c>
      <x:c r="C165" s="8" t="s">
        <x:v>27</x:v>
      </x:c>
      <x:c r="D165" s="14" t="s">
        <x:v>178</x:v>
      </x:c>
      <x:c r="E165" s="15"/>
      <x:c r="F165" s="15">
        <x:v>0.00</x:v>
      </x:c>
      <x:c r="G165" s="15">
        <x:v>0.00</x:v>
      </x:c>
      <x:c r="H165" s="15">
        <x:v>0.00</x:v>
      </x:c>
      <x:c r="I165" s="15">
        <x:v>0.00</x:v>
      </x:c>
      <x:c r="J165" s="15">
        <x:v>0.00</x:v>
      </x:c>
      <x:c r="K165" s="15">
        <x:v>0.00</x:v>
      </x:c>
      <x:c r="L165" s="15"/>
      <x:c r="M165" s="15"/>
      <x:c r="N165" s="15">
        <x:v>87265.582082179126979441964719550473</x:v>
      </x:c>
      <x:c r="O165" s="15">
        <x:v>268557.875118306482288235915863594699</x:v>
      </x:c>
      <x:c r="P165" s="15">
        <x:v>10531137.252799514390732322119405967866</x:v>
      </x:c>
      <x:c r="Q165" s="15">
        <x:f>N165+O165+P165</x:f>
        <x:v>10886960.71</x:v>
      </x:c>
      <x:c r="R165" s="16">
        <x:f>SUM(L165:P165)</x:f>
        <x:v>10886960.71</x:v>
      </x:c>
      <x:c r="S165" s="16">
        <x:v>0.00</x:v>
      </x:c>
    </x:row>
    <x:row r="166" s="20" customFormat="1">
      <x:c r="B166" s="7"/>
      <x:c r="C166" s="8"/>
      <x:c r="D166" s="21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19"/>
      <x:c r="S166" s="19"/>
    </x:row>
    <x:row r="167" s="23" customFormat="1">
      <x:c r="B167" s="12"/>
      <x:c r="C167" s="8" t="s">
        <x:v>27</x:v>
      </x:c>
      <x:c r="D167" s="14" t="s">
        <x:v>179</x:v>
      </x:c>
      <x:c r="E167" s="15"/>
      <x:c r="F167" s="32">
        <x:f>F24+F26-F163+F165</x:f>
        <x:v>67246375553.00</x:v>
      </x:c>
      <x:c r="G167" s="32">
        <x:f>G24+G26-G163+G165</x:f>
        <x:v>1118908643.00</x:v>
      </x:c>
      <x:c r="H167" s="32">
        <x:f>H24+H26-H163+H165</x:f>
        <x:v>2062006736.00</x:v>
      </x:c>
      <x:c r="I167" s="32">
        <x:f>I24+I26-I163+I165</x:f>
        <x:v>2359362228.00</x:v>
      </x:c>
      <x:c r="J167" s="32">
        <x:f>J24+J26-J163+J165</x:f>
        <x:v>568706552.00</x:v>
      </x:c>
      <x:c r="K167" s="32">
        <x:f>K24+K26-K163+K165</x:f>
        <x:v>73355359712.00</x:v>
      </x:c>
      <x:c r="L167" s="32">
        <x:f>L24+L26-L163+L165</x:f>
        <x:v>16661743557.2799968195</x:v>
      </x:c>
      <x:c r="M167" s="32">
        <x:f>M24+M26-M163+M165</x:f>
        <x:v>4019047257.34999988</x:v>
      </x:c>
      <x:c r="N167" s="32">
        <x:f>N24+N26-N163+N165</x:f>
        <x:v>195998284.870849001305034678517801357734</x:v>
      </x:c>
      <x:c r="O167" s="32">
        <x:f>O24+O26-O163+O165</x:f>
        <x:v>584646325.963386510075043745425524294596</x:v>
      </x:c>
      <x:c r="P167" s="32">
        <x:f>P24+P26-P163+P165</x:f>
        <x:v>-2602292851.884234669142078423941564757045</x:v>
      </x:c>
      <x:c r="Q167" s="32">
        <x:f>Q24+Q26-Q163+Q165</x:f>
        <x:v>9506392812.400000862238</x:v>
      </x:c>
      <x:c r="R167" s="16">
        <x:f>R24+R26-R163+R165</x:f>
        <x:v>30187183627.029997561738</x:v>
      </x:c>
      <x:c r="S167" s="37">
        <x:f>IF(K167=0,0,R167/K167)</x:f>
        <x:v>0.411519809125709458</x:v>
      </x:c>
    </x:row>
    <x:row r="168" s="7" customFormat="1">
      <x:c r="C168" s="8"/>
      <x:c r="D168" s="25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7"/>
      <x:c r="S168"/>
    </x:row>
    <x:row r="169">
      <x:c r="F169"/>
      <x:c r="G169"/>
      <x:c r="H169"/>
      <x:c r="I169"/>
      <x:c r="J169"/>
      <x:c r="K169" s="48"/>
      <x:c r="L169"/>
      <x:c r="M169"/>
      <x:c r="N169"/>
      <x:c r="O169"/>
      <x:c r="P169"/>
      <x:c r="Q169"/>
      <x:c r="R169"/>
      <x:c r="S169"/>
    </x:row>
    <x:row r="170">
      <x:c r="F170"/>
      <x:c r="G170"/>
      <x:c r="H170"/>
      <x:c r="I170"/>
      <x:c r="J170" s="45"/>
      <x:c r="K170" s="66"/>
      <x:c r="L170"/>
      <x:c r="M170"/>
      <x:c r="N170"/>
      <x:c r="O170" s="45"/>
      <x:c r="P170" s="45"/>
      <x:c r="Q170" s="45"/>
      <x:c r="R170" s="66"/>
      <x:c r="S170" s="37"/>
    </x:row>
    <x:row r="171"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</x:row>
    <x:row r="172"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</x:row>
    <x:row r="173"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</x:row>
    <x:row r="174"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</x:row>
    <x:row r="175"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</x:row>
    <x:row r="176"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</x:row>
  </x:sheetData>
  <x:mergeCells>
    <x:mergeCell ref="D5:E7"/>
    <x:mergeCell ref="F5:K5"/>
    <x:mergeCell ref="L5:R5"/>
  </x:mergeCells>
  <x:conditionalFormatting sqref="A1:A1048576">
    <x:cfRule type="duplicateValues" dxfId="35" priority="15"/>
  </x:conditionalFormatting>
  <x:conditionalFormatting sqref="D8:R168">
    <x:cfRule type="expression" dxfId="34" priority="14">
      <x:formula>IF(MOD(ROW(),2)=0,TRUE,FALSE)</x:formula>
    </x:cfRule>
  </x:conditionalFormatting>
  <x:conditionalFormatting sqref="D9:S167">
    <x:cfRule type="expression" dxfId="33" priority="7">
      <x:formula>IF($C9="Y2",1,0)</x:formula>
    </x:cfRule>
    <x:cfRule type="expression" dxfId="32" priority="8">
      <x:formula>IF($C9="X2",1,0)</x:formula>
    </x:cfRule>
    <x:cfRule type="expression" dxfId="31" priority="9">
      <x:formula>IF($C9="X1",1,0)</x:formula>
    </x:cfRule>
  </x:conditionalFormatting>
  <x:conditionalFormatting sqref="S8:S167">
    <x:cfRule type="expression" dxfId="30" priority="10">
      <x:formula>IF(MOD(ROW(),2)=0,TRUE,FALSE)</x:formula>
    </x:cfRule>
  </x:conditionalFormatting>
  <x:conditionalFormatting sqref="S13:S13">
    <x:cfRule type="cellIs" dxfId="29" priority="5" operator="greaterThan">
      <x:formula>1</x:formula>
    </x:cfRule>
  </x:conditionalFormatting>
  <x:conditionalFormatting sqref="S30:S53 S56:S143 S146:S163">
    <x:cfRule type="cellIs" dxfId="28" priority="6" operator="greaterThan">
      <x:formula>1</x:formula>
    </x:cfRule>
  </x:conditionalFormatting>
  <x:conditionalFormatting sqref="S170:S170">
    <x:cfRule type="expression" dxfId="27" priority="1">
      <x:formula>IF($C170="Y2",1,0)</x:formula>
    </x:cfRule>
    <x:cfRule type="expression" dxfId="26" priority="2">
      <x:formula>IF($C170="X2",1,0)</x:formula>
    </x:cfRule>
    <x:cfRule type="expression" dxfId="25" priority="3">
      <x:formula>IF($C170="X1",1,0)</x:formula>
    </x:cfRule>
    <x:cfRule type="expression" dxfId="24" priority="4">
      <x:formula>IF(MOD(ROW(),2)=0,TRUE,FALSE)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B4D0CB"/>
  </x:sheetPr>
  <x:sheetViews>
    <x:sheetView showGridLines="0" workbookViewId="0">
      <x:pane xSplit="5" ySplit="7" topLeftCell="F8" activePane="bottomRight" state="frozen"/>
    </x:sheetView>
  </x:sheetViews>
  <x:sheetFormatPr defaultColWidth="8.85546875" defaultRowHeight="16.5"/>
  <x:cols>
    <x:col min="1" max="1" width="9" style="1" hidden="1" customWidth="1"/>
    <x:col min="2" max="2" width="3.85546875" style="1" hidden="1" customWidth="1"/>
    <x:col min="3" max="3" width="12" style="2" hidden="1" customWidth="1"/>
    <x:col min="4" max="4" width="4" style="1" customWidth="1"/>
    <x:col min="5" max="5" width="66.140625" style="1" customWidth="1"/>
    <x:col min="6" max="6" width="26.28515625" style="1" customWidth="1"/>
    <x:col min="7" max="7" width="22.28515625" style="1" customWidth="1"/>
    <x:col min="8" max="10" width="23.5703125" style="1" customWidth="1"/>
    <x:col min="11" max="12" width="26.28515625" style="1" customWidth="1"/>
    <x:col min="13" max="13" width="22.28515625" style="1" customWidth="1"/>
    <x:col min="14" max="14" width="23.5703125" style="1" customWidth="1"/>
    <x:col min="15" max="17" width="23.5703125" style="1" customWidth="1"/>
    <x:col min="18" max="18" width="27.5703125" style="3" customWidth="1"/>
    <x:col min="19" max="19" width="9.5703125" style="1" customWidth="1"/>
    <x:col min="20" max="16384" width="8.85546875" style="1" customWidth="0"/>
  </x:cols>
  <x:sheetData>
    <x:row r="1">
      <x:c r="D1" s="1" t="s">
        <x:v>0</x:v>
      </x:c>
    </x:row>
    <x:row r="2">
      <x:c r="D2" s="1" t="inlineStr">
        <x:is>
          <x:t>LABA RUGI RKA TAHUN 2026</x:t>
        </x:is>
      </x:c>
    </x:row>
    <x:row r="4" s="2" customFormat="1" ht="16.5" hidden="1" customHeight="1">
      <x:c r="R4" s="4"/>
    </x:row>
    <x:row r="5" s="5" customFormat="1" ht="33" customHeight="1">
      <x:c r="C5" s="6"/>
      <x:c r="D5" s="67" t="s">
        <x:v>2</x:v>
      </x:c>
      <x:c r="E5" s="67"/>
      <x:c r="F5" s="69" t="s">
        <x:v>188</x:v>
      </x:c>
      <x:c r="G5" s="70"/>
      <x:c r="H5" s="70"/>
      <x:c r="I5" s="70"/>
      <x:c r="J5" s="70"/>
      <x:c r="K5" s="70"/>
      <x:c r="L5" s="73" t="s">
        <x:v>189</x:v>
      </x:c>
      <x:c r="M5" s="70"/>
      <x:c r="N5" s="70"/>
      <x:c r="O5" s="70"/>
      <x:c r="P5" s="70"/>
      <x:c r="Q5" s="70"/>
      <x:c r="R5" s="72"/>
      <x:c r="S5" s="30" t="s">
        <x:v>5</x:v>
      </x:c>
    </x:row>
    <x:row r="6" s="5" customFormat="1">
      <x:c r="C6" s="6"/>
      <x:c r="D6" s="68"/>
      <x:c r="E6" s="68"/>
      <x:c r="F6" s="29" t="s">
        <x:v>6</x:v>
      </x:c>
      <x:c r="G6" s="29" t="s">
        <x:v>7</x:v>
      </x:c>
      <x:c r="H6" s="29" t="s">
        <x:v>8</x:v>
      </x:c>
      <x:c r="I6" s="29" t="s">
        <x:v>9</x:v>
      </x:c>
      <x:c r="J6" s="29" t="s">
        <x:v>10</x:v>
      </x:c>
      <x:c r="K6" s="29" t="s">
        <x:v>11</x:v>
      </x:c>
      <x:c r="L6" s="29" t="s">
        <x:v>6</x:v>
      </x:c>
      <x:c r="M6" s="29" t="s">
        <x:v>7</x:v>
      </x:c>
      <x:c r="N6" s="29" t="s">
        <x:v>8</x:v>
      </x:c>
      <x:c r="O6" s="29" t="s">
        <x:v>9</x:v>
      </x:c>
      <x:c r="P6" s="29" t="s">
        <x:v>10</x:v>
      </x:c>
      <x:c r="Q6" s="29" t="s">
        <x:v>12</x:v>
      </x:c>
      <x:c r="R6" s="29" t="s">
        <x:v>11</x:v>
      </x:c>
      <x:c r="S6" s="29" t="s">
        <x:v>5</x:v>
      </x:c>
    </x:row>
    <x:row r="7">
      <x:c r="D7" s="68"/>
      <x:c r="E7" s="68"/>
      <x:c r="F7" s="29" t="s">
        <x:v>13</x:v>
      </x:c>
      <x:c r="G7" s="29" t="s">
        <x:v>14</x:v>
      </x:c>
      <x:c r="H7" s="29" t="s">
        <x:v>15</x:v>
      </x:c>
      <x:c r="I7" s="29" t="s">
        <x:v>16</x:v>
      </x:c>
      <x:c r="J7" s="29" t="s">
        <x:v>17</x:v>
      </x:c>
      <x:c r="K7" s="29" t="s">
        <x:v>18</x:v>
      </x:c>
      <x:c r="L7" s="29" t="s">
        <x:v>19</x:v>
      </x:c>
      <x:c r="M7" s="29" t="s">
        <x:v>20</x:v>
      </x:c>
      <x:c r="N7" s="29" t="s">
        <x:v>21</x:v>
      </x:c>
      <x:c r="O7" s="29" t="s">
        <x:v>22</x:v>
      </x:c>
      <x:c r="P7" s="29" t="s">
        <x:v>23</x:v>
      </x:c>
      <x:c r="Q7" s="29" t="s">
        <x:v>24</x:v>
      </x:c>
      <x:c r="R7" s="29" t="s">
        <x:v>25</x:v>
      </x:c>
      <x:c r="S7" s="29" t="s">
        <x:v>26</x:v>
      </x:c>
    </x:row>
    <x:row r="8" s="7" customFormat="1">
      <x:c r="C8" s="8"/>
      <x:c r="D8" s="9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1"/>
      <x:c r="S8" s="11"/>
    </x:row>
    <x:row r="9" s="12" customFormat="1">
      <x:c r="C9" s="13" t="s">
        <x:v>27</x:v>
      </x:c>
      <x:c r="D9" s="14" t="s">
        <x:v>28</x:v>
      </x:c>
      <x:c r="E9" s="15"/>
      <x:c r="F9" s="32">
        <x:v>4373360134287.00</x:v>
      </x:c>
      <x:c r="G9" s="32">
        <x:v>0.00</x:v>
      </x:c>
      <x:c r="H9" s="32">
        <x:v>596979491872.00</x:v>
      </x:c>
      <x:c r="I9" s="32">
        <x:v>429946561406.00</x:v>
      </x:c>
      <x:c r="J9" s="32">
        <x:v>797362922440.00</x:v>
      </x:c>
      <x:c r="K9" s="32">
        <x:f>SUM(F9:J9)</x:f>
        <x:v>6197649110005.00</x:v>
      </x:c>
      <x:c r="L9" s="32"/>
      <x:c r="M9" s="15"/>
      <x:c r="N9" s="32"/>
      <x:c r="O9" s="32"/>
      <x:c r="P9" s="32"/>
      <x:c r="Q9" s="32"/>
      <x:c r="R9" s="16"/>
      <x:c r="S9" s="37"/>
    </x:row>
    <x:row r="10" s="7" customFormat="1">
      <x:c r="C10" s="8"/>
      <x:c r="D10" s="17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9"/>
      <x:c r="S10" s="19"/>
    </x:row>
    <x:row r="11" s="12" customFormat="1">
      <x:c r="C11" s="13" t="s">
        <x:v>29</x:v>
      </x:c>
      <x:c r="D11" s="14" t="s">
        <x:v>30</x:v>
      </x:c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6"/>
      <x:c r="S11" s="16"/>
    </x:row>
    <x:row r="12" s="20" customFormat="1">
      <x:c r="A12" s="20">
        <x:v>7</x:v>
      </x:c>
      <x:c r="B12" s="7">
        <x:v>8</x:v>
      </x:c>
      <x:c r="C12" s="8"/>
      <x:c r="D12" s="21"/>
      <x:c r="E12" s="22" t="s">
        <x:v>31</x:v>
      </x:c>
      <x:c r="F12" s="33">
        <x:v>158130782723.00</x:v>
      </x:c>
      <x:c r="G12" s="33">
        <x:v>0.00</x:v>
      </x:c>
      <x:c r="H12" s="33">
        <x:v>1945528854.00</x:v>
      </x:c>
      <x:c r="I12" s="33">
        <x:v>4173244726.00</x:v>
      </x:c>
      <x:c r="J12" s="33">
        <x:v>18113455973.00</x:v>
      </x:c>
      <x:c r="K12" s="33">
        <x:f>SUM(F12:J12)</x:f>
        <x:v>182363012276.00</x:v>
      </x:c>
      <x:c r="L12" s="33">
        <x:v>91722602001.90000601</x:v>
      </x:c>
      <x:c r="M12" s="33">
        <x:v>400000.00</x:v>
      </x:c>
      <x:c r="N12" s="33">
        <x:v>261996784.400000010</x:v>
      </x:c>
      <x:c r="O12" s="33">
        <x:v>495175408.7199999801</x:v>
      </x:c>
      <x:c r="P12" s="33">
        <x:v>35692502612.6599990063</x:v>
      </x:c>
      <x:c r="Q12" s="33">
        <x:f>N12+O12+P12</x:f>
        <x:v>36449674805.7799989964</x:v>
      </x:c>
      <x:c r="R12" s="19">
        <x:f>SUM(L12:P12)</x:f>
        <x:v>128172676807.6800050064</x:v>
      </x:c>
      <x:c r="S12" s="37">
        <x:f>IF(K12=0,0,R12/K12)</x:f>
        <x:v>0.702843604127876382</x:v>
      </x:c>
    </x:row>
    <x:row r="13" s="20" customFormat="1">
      <x:c r="A13" s="20">
        <x:v>12</x:v>
      </x:c>
      <x:c r="B13" s="7">
        <x:v>10</x:v>
      </x:c>
      <x:c r="C13" s="8"/>
      <x:c r="D13" s="21"/>
      <x:c r="E13" s="22" t="s">
        <x:v>32</x:v>
      </x:c>
      <x:c r="F13" s="33">
        <x:v>0.00</x:v>
      </x:c>
      <x:c r="G13" s="33">
        <x:v>0.00</x:v>
      </x:c>
      <x:c r="H13" s="33">
        <x:v>0.00</x:v>
      </x:c>
      <x:c r="I13" s="33">
        <x:v>0.00</x:v>
      </x:c>
      <x:c r="J13" s="33">
        <x:v>0.00</x:v>
      </x:c>
      <x:c r="K13" s="33">
        <x:f>SUM(F13:J13)</x:f>
        <x:v>0.00</x:v>
      </x:c>
      <x:c r="L13" s="33"/>
      <x:c r="M13" s="33"/>
      <x:c r="N13" s="33"/>
      <x:c r="O13" s="33"/>
      <x:c r="P13" s="33"/>
      <x:c r="Q13" s="33"/>
      <x:c r="R13" s="19"/>
      <x:c r="S13" s="37"/>
    </x:row>
    <x:row r="14" s="20" customFormat="1">
      <x:c r="A14" s="20">
        <x:v>9</x:v>
      </x:c>
      <x:c r="B14" s="7">
        <x:v>9</x:v>
      </x:c>
      <x:c r="C14" s="8"/>
      <x:c r="D14" s="21"/>
      <x:c r="E14" s="22" t="s">
        <x:v>33</x:v>
      </x:c>
      <x:c r="F14" s="33">
        <x:v>14239056917.00</x:v>
      </x:c>
      <x:c r="G14" s="33">
        <x:v>0.00</x:v>
      </x:c>
      <x:c r="H14" s="33">
        <x:v>236222877.00</x:v>
      </x:c>
      <x:c r="I14" s="33">
        <x:v>622763053.00</x:v>
      </x:c>
      <x:c r="J14" s="33">
        <x:v>10794828562.00</x:v>
      </x:c>
      <x:c r="K14" s="33">
        <x:f>SUM(F14:J14)</x:f>
        <x:v>25892871409.00</x:v>
      </x:c>
      <x:c r="L14" s="33">
        <x:v>9888431946.739999779</x:v>
      </x:c>
      <x:c r="M14" s="33"/>
      <x:c r="N14" s="33">
        <x:v>25513308.1199999995</x:v>
      </x:c>
      <x:c r="O14" s="33">
        <x:v>83337807.869999999093</x:v>
      </x:c>
      <x:c r="P14" s="33">
        <x:v>4521923014.1099996995</x:v>
      </x:c>
      <x:c r="Q14" s="33">
        <x:f>N14+O14+P14</x:f>
        <x:v>4630774130.099999698093</x:v>
      </x:c>
      <x:c r="R14" s="19">
        <x:f>SUM(L14:P14)</x:f>
        <x:v>14519206076.839999477093</x:v>
      </x:c>
      <x:c r="S14" s="37">
        <x:f>IF(K14=0,0,R14/K14)</x:f>
        <x:v>0.560741442982384969</x:v>
      </x:c>
    </x:row>
    <x:row r="15" s="23" customFormat="1">
      <x:c r="B15" s="12"/>
      <x:c r="C15" s="13" t="s">
        <x:v>34</x:v>
      </x:c>
      <x:c r="D15" s="14"/>
      <x:c r="E15" s="15" t="s">
        <x:v>35</x:v>
      </x:c>
      <x:c r="F15" s="32">
        <x:f>F12-F13-F14</x:f>
        <x:v>143891725806.00</x:v>
      </x:c>
      <x:c r="G15" s="32">
        <x:f>G12-G13-G14</x:f>
        <x:v>0.00</x:v>
      </x:c>
      <x:c r="H15" s="32">
        <x:f>H12-H13-H14</x:f>
        <x:v>1709305977.00</x:v>
      </x:c>
      <x:c r="I15" s="32">
        <x:f>I12-I13-I14</x:f>
        <x:v>3550481673.00</x:v>
      </x:c>
      <x:c r="J15" s="32">
        <x:f>J12-J13-J14</x:f>
        <x:v>7318627411.00</x:v>
      </x:c>
      <x:c r="K15" s="32">
        <x:f>K12-K13-K14</x:f>
        <x:v>156470140867.00</x:v>
      </x:c>
      <x:c r="L15" s="16">
        <x:f>L12-L13-L14</x:f>
        <x:v>81834170055.160006231</x:v>
      </x:c>
      <x:c r="M15" s="16">
        <x:f>M12-M13-M14</x:f>
        <x:v>400000.00</x:v>
      </x:c>
      <x:c r="N15" s="16">
        <x:f>N12-N13-N14</x:f>
        <x:v>236483476.2800000105</x:v>
      </x:c>
      <x:c r="O15" s="16">
        <x:f>O12-O13-O14</x:f>
        <x:v>411837600.849999981007</x:v>
      </x:c>
      <x:c r="P15" s="16">
        <x:f>P12-P13-P14</x:f>
        <x:v>31170579598.5499993068</x:v>
      </x:c>
      <x:c r="Q15" s="16">
        <x:f>Q12-Q13-Q14</x:f>
        <x:v>31818900675.679999298307</x:v>
      </x:c>
      <x:c r="R15" s="16">
        <x:f>R12-R13-R14</x:f>
        <x:v>113653470730.840005529307</x:v>
      </x:c>
      <x:c r="S15" s="37">
        <x:f>IF(K15=0,0,R15/K15)</x:f>
        <x:v>0.726358844576267952</x:v>
      </x:c>
    </x:row>
    <x:row r="16" s="20" customFormat="1">
      <x:c r="B16" s="7"/>
      <x:c r="C16" s="8" t="s">
        <x:v>36</x:v>
      </x:c>
      <x:c r="D16" s="21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19"/>
      <x:c r="S16" s="19"/>
    </x:row>
    <x:row r="17" s="23" customFormat="1">
      <x:c r="B17" s="12"/>
      <x:c r="C17" s="13" t="s">
        <x:v>29</x:v>
      </x:c>
      <x:c r="D17" s="14" t="s">
        <x:v>37</x:v>
      </x:c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6"/>
      <x:c r="S17" s="16"/>
    </x:row>
    <x:row r="18" s="20" customFormat="1">
      <x:c r="A18" s="20">
        <x:v>22</x:v>
      </x:c>
      <x:c r="B18" s="7">
        <x:v>13</x:v>
      </x:c>
      <x:c r="C18" s="8"/>
      <x:c r="D18" s="21"/>
      <x:c r="E18" s="22" t="s">
        <x:v>38</x:v>
      </x:c>
      <x:c r="F18" s="33">
        <x:v>114016714018.00</x:v>
      </x:c>
      <x:c r="G18" s="33">
        <x:v>862699986.00</x:v>
      </x:c>
      <x:c r="H18" s="33">
        <x:v>65000000.00</x:v>
      </x:c>
      <x:c r="I18" s="33">
        <x:v>681243458.00</x:v>
      </x:c>
      <x:c r="J18" s="33">
        <x:v>6355201369.00</x:v>
      </x:c>
      <x:c r="K18" s="33">
        <x:f>SUM(F18:J18)</x:f>
        <x:v>121980858831.00</x:v>
      </x:c>
      <x:c r="L18" s="33">
        <x:v>24497857655.86000000002</x:v>
      </x:c>
      <x:c r="M18" s="33">
        <x:v>1050000000.00</x:v>
      </x:c>
      <x:c r="N18" s="33"/>
      <x:c r="O18" s="33"/>
      <x:c r="P18" s="33">
        <x:v>25627569262.9499984</x:v>
      </x:c>
      <x:c r="Q18" s="33">
        <x:f>N18+O18+P18</x:f>
        <x:v>25627569262.9499984</x:v>
      </x:c>
      <x:c r="R18" s="19">
        <x:f>SUM(L18:P18)</x:f>
        <x:v>51175426918.80999840002</x:v>
      </x:c>
      <x:c r="S18" s="37">
        <x:f>IF(K18=0,0,R18/K18)</x:f>
        <x:v>0.419536535561793944</x:v>
      </x:c>
    </x:row>
    <x:row r="19" s="20" customFormat="1">
      <x:c r="A19" s="20">
        <x:v>24</x:v>
      </x:c>
      <x:c r="B19" s="7">
        <x:v>14</x:v>
      </x:c>
      <x:c r="C19" s="8"/>
      <x:c r="D19" s="21"/>
      <x:c r="E19" s="22" t="s">
        <x:v>39</x:v>
      </x:c>
      <x:c r="F19" s="33">
        <x:v>1226655107.00</x:v>
      </x:c>
      <x:c r="G19" s="33">
        <x:v>-1050000000.00</x:v>
      </x:c>
      <x:c r="H19" s="33">
        <x:v>17700890.00</x:v>
      </x:c>
      <x:c r="I19" s="33">
        <x:v>0.00</x:v>
      </x:c>
      <x:c r="J19" s="33">
        <x:v>7006457653.00</x:v>
      </x:c>
      <x:c r="K19" s="33">
        <x:f>SUM(F19:J19)</x:f>
        <x:v>7200813650.00</x:v>
      </x:c>
      <x:c r="L19" s="33">
        <x:v>37858644394.00</x:v>
      </x:c>
      <x:c r="M19" s="33">
        <x:v>-1050000000.00</x:v>
      </x:c>
      <x:c r="N19" s="33">
        <x:v>0.00</x:v>
      </x:c>
      <x:c r="O19" s="33">
        <x:v>0.00</x:v>
      </x:c>
      <x:c r="P19" s="33">
        <x:v>0.00</x:v>
      </x:c>
      <x:c r="Q19" s="33">
        <x:v>11324597939.00</x:v>
      </x:c>
      <x:c r="R19" s="19">
        <x:f>SUM(L19:Q19)</x:f>
        <x:v>48133242333.00</x:v>
      </x:c>
      <x:c r="S19" s="37">
        <x:f>IF(K19=0,0,R19/K19)</x:f>
        <x:v>6.684417160691278269</x:v>
      </x:c>
    </x:row>
    <x:row r="20" s="20" customFormat="1">
      <x:c r="A20" s="20">
        <x:v>32</x:v>
      </x:c>
      <x:c r="B20" s="7">
        <x:v>15</x:v>
      </x:c>
      <x:c r="C20" s="8"/>
      <x:c r="D20" s="21"/>
      <x:c r="E20" s="22" t="s">
        <x:v>40</x:v>
      </x:c>
      <x:c r="F20" s="33">
        <x:v>14796402193.00</x:v>
      </x:c>
      <x:c r="G20" s="33">
        <x:v>1780216045.00</x:v>
      </x:c>
      <x:c r="H20" s="33">
        <x:v>10434947.00</x:v>
      </x:c>
      <x:c r="I20" s="33">
        <x:v>21292932.00</x:v>
      </x:c>
      <x:c r="J20" s="33">
        <x:v>6451123904.00</x:v>
      </x:c>
      <x:c r="K20" s="33">
        <x:f>SUM(F20:J20)</x:f>
        <x:v>23059470021.00</x:v>
      </x:c>
      <x:c r="L20" s="33">
        <x:v>9442402504.91000030</x:v>
      </x:c>
      <x:c r="M20" s="33">
        <x:v>42441861.00</x:v>
      </x:c>
      <x:c r="N20" s="33"/>
      <x:c r="O20" s="33">
        <x:v>52995287.00</x:v>
      </x:c>
      <x:c r="P20" s="33">
        <x:v>3499947001.119999997</x:v>
      </x:c>
      <x:c r="Q20" s="33">
        <x:v>3113727240.990000002</x:v>
      </x:c>
      <x:c r="R20" s="19">
        <x:v>12598571606.900000302</x:v>
      </x:c>
      <x:c r="S20" s="37">
        <x:f>IF(K20=0,0,R20/K20)</x:f>
        <x:v>0.546351307962699178</x:v>
      </x:c>
    </x:row>
    <x:row r="21" s="20" customFormat="1">
      <x:c r="A21" s="20">
        <x:v>37</x:v>
      </x:c>
      <x:c r="B21" s="7">
        <x:v>16</x:v>
      </x:c>
      <x:c r="C21" s="8"/>
      <x:c r="D21" s="21"/>
      <x:c r="E21" s="22" t="s">
        <x:v>41</x:v>
      </x:c>
      <x:c r="F21" s="33">
        <x:v>2246928935.00</x:v>
      </x:c>
      <x:c r="G21" s="33">
        <x:v>0.00</x:v>
      </x:c>
      <x:c r="H21" s="33">
        <x:v>41053154.00</x:v>
      </x:c>
      <x:c r="I21" s="33">
        <x:v>95186607.00</x:v>
      </x:c>
      <x:c r="J21" s="33">
        <x:v>1647108492.00</x:v>
      </x:c>
      <x:c r="K21" s="33">
        <x:f>SUM(F21:J21)</x:f>
        <x:v>4030277188.00</x:v>
      </x:c>
      <x:c r="L21" s="33">
        <x:v>1626939557.12000007</x:v>
      </x:c>
      <x:c r="M21" s="33"/>
      <x:c r="N21" s="33">
        <x:v>3896173.36</x:v>
      </x:c>
      <x:c r="O21" s="33">
        <x:v>-8205515.930000001</x:v>
      </x:c>
      <x:c r="P21" s="33">
        <x:v>672554148.549999999639</x:v>
      </x:c>
      <x:c r="Q21" s="33">
        <x:f>N21+O21+P21</x:f>
        <x:v>668244805.979999998639</x:v>
      </x:c>
      <x:c r="R21" s="19">
        <x:f>SUM(L21:P21)</x:f>
        <x:v>2295184363.100000068639</x:v>
      </x:c>
      <x:c r="S21" s="37">
        <x:f>IF(K21=0,0,R21/K21)</x:f>
        <x:v>0.569485485994319671</x:v>
      </x:c>
    </x:row>
    <x:row r="22" s="23" customFormat="1">
      <x:c r="B22" s="12"/>
      <x:c r="C22" s="13" t="s">
        <x:v>34</x:v>
      </x:c>
      <x:c r="D22" s="14"/>
      <x:c r="E22" s="15" t="s">
        <x:v>42</x:v>
      </x:c>
      <x:c r="F22" s="32">
        <x:f>F18+F19-F20-F21</x:f>
        <x:v>98200037997.00</x:v>
      </x:c>
      <x:c r="G22" s="32">
        <x:f>G18+G19-G20-G21</x:f>
        <x:v>-1967516059.00</x:v>
      </x:c>
      <x:c r="H22" s="32">
        <x:f>H18+H19-H20-H21</x:f>
        <x:v>31212789.00</x:v>
      </x:c>
      <x:c r="I22" s="32">
        <x:f>I18+I19-I20-I21</x:f>
        <x:v>564763919.00</x:v>
      </x:c>
      <x:c r="J22" s="32">
        <x:f>J18+J19-J20-J21</x:f>
        <x:v>5263426626.00</x:v>
      </x:c>
      <x:c r="K22" s="32">
        <x:f>K18+K19-K20-K21</x:f>
        <x:v>102091925272.00</x:v>
      </x:c>
      <x:c r="L22" s="32">
        <x:f>L18+L19-L20-L21</x:f>
        <x:v>51287159987.82999963002</x:v>
      </x:c>
      <x:c r="M22" s="32">
        <x:f>M18+M19-M20-M21</x:f>
        <x:v>-42441861.00</x:v>
      </x:c>
      <x:c r="N22" s="32">
        <x:f>N18+N19-N20-N21</x:f>
        <x:v>-3896173.36</x:v>
      </x:c>
      <x:c r="O22" s="32">
        <x:f>O18+O19-O20-O21</x:f>
        <x:v>-44789771.069999999</x:v>
      </x:c>
      <x:c r="P22" s="32">
        <x:f>P18+P19-P20-P21</x:f>
        <x:v>21455068113.279998403361</x:v>
      </x:c>
      <x:c r="Q22" s="32">
        <x:f>Q18+Q19-Q20-Q21</x:f>
        <x:v>33170195154.979998399361</x:v>
      </x:c>
      <x:c r="R22" s="16">
        <x:f>R18+R19-R20-R21</x:f>
        <x:v>84414913281.809998029381</x:v>
      </x:c>
      <x:c r="S22" s="37">
        <x:f>IF(K22=0,0,R22/K22)</x:f>
        <x:v>0.826852006727331786</x:v>
      </x:c>
    </x:row>
    <x:row r="23" s="20" customFormat="1">
      <x:c r="B23" s="7"/>
      <x:c r="C23" s="8"/>
      <x:c r="D23" s="21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19"/>
      <x:c r="S23" s="19"/>
    </x:row>
    <x:row r="24" s="23" customFormat="1">
      <x:c r="B24" s="12"/>
      <x:c r="C24" s="13" t="s">
        <x:v>27</x:v>
      </x:c>
      <x:c r="D24" s="14" t="s">
        <x:v>43</x:v>
      </x:c>
      <x:c r="E24" s="15"/>
      <x:c r="F24" s="32">
        <x:f>F15-F22</x:f>
        <x:v>45691687809.00</x:v>
      </x:c>
      <x:c r="G24" s="32">
        <x:f>G15-G22</x:f>
        <x:v>1967516059.00</x:v>
      </x:c>
      <x:c r="H24" s="32">
        <x:f>H15-H22</x:f>
        <x:v>1678093188.00</x:v>
      </x:c>
      <x:c r="I24" s="32">
        <x:f>I15-I22</x:f>
        <x:v>2985717754.00</x:v>
      </x:c>
      <x:c r="J24" s="32">
        <x:f>J15-J22</x:f>
        <x:v>2055200785.00</x:v>
      </x:c>
      <x:c r="K24" s="32">
        <x:f>K15-K22</x:f>
        <x:v>54378215595.00</x:v>
      </x:c>
      <x:c r="L24" s="32">
        <x:f>L15-L22</x:f>
        <x:v>30547010067.33000660098</x:v>
      </x:c>
      <x:c r="M24" s="32">
        <x:f>M15-M22</x:f>
        <x:v>42841861.00</x:v>
      </x:c>
      <x:c r="N24" s="32">
        <x:f>N15-N22</x:f>
        <x:v>240379649.6400000105</x:v>
      </x:c>
      <x:c r="O24" s="32">
        <x:f>O15-O22</x:f>
        <x:v>456627371.919999980007</x:v>
      </x:c>
      <x:c r="P24" s="32">
        <x:f>P15-P22</x:f>
        <x:v>9715511485.270000903439</x:v>
      </x:c>
      <x:c r="Q24" s="32">
        <x:f>Q15-Q22</x:f>
        <x:v>-1351294479.299999101054</x:v>
      </x:c>
      <x:c r="R24" s="16">
        <x:f>R15-R22</x:f>
        <x:v>29238557449.030007499926</x:v>
      </x:c>
      <x:c r="S24" s="37">
        <x:f>IF(K24=0,0,R24/K24)</x:f>
        <x:v>0.537688799257297650</x:v>
      </x:c>
    </x:row>
    <x:row r="25" s="20" customFormat="1">
      <x:c r="B25" s="7"/>
      <x:c r="C25" s="8"/>
      <x:c r="D25" s="21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19"/>
      <x:c r="S25" s="19"/>
    </x:row>
    <x:row r="26" s="23" customFormat="1">
      <x:c r="B26" s="12">
        <x:v>19</x:v>
      </x:c>
      <x:c r="C26" s="13" t="s">
        <x:v>27</x:v>
      </x:c>
      <x:c r="D26" s="14" t="s">
        <x:v>44</x:v>
      </x:c>
      <x:c r="E26" s="15"/>
      <x:c r="F26" s="15">
        <x:v>0.00</x:v>
      </x:c>
      <x:c r="G26" s="15">
        <x:v>0.00</x:v>
      </x:c>
      <x:c r="H26" s="15">
        <x:v>0.00</x:v>
      </x:c>
      <x:c r="I26" s="15">
        <x:v>0.00</x:v>
      </x:c>
      <x:c r="J26" s="15">
        <x:v>0.00</x:v>
      </x:c>
      <x:c r="K26" s="15">
        <x:v>0.00</x:v>
      </x:c>
      <x:c r="L26" s="15"/>
      <x:c r="M26" s="15"/>
      <x:c r="N26" s="15"/>
      <x:c r="O26" s="15"/>
      <x:c r="P26" s="15"/>
      <x:c r="Q26" s="15"/>
      <x:c r="R26" s="19"/>
      <x:c r="S26" s="19"/>
    </x:row>
    <x:row r="27" s="20" customFormat="1">
      <x:c r="B27" s="7"/>
      <x:c r="C27" s="8"/>
      <x:c r="D27" s="21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19"/>
      <x:c r="S27" s="19"/>
    </x:row>
    <x:row r="28" s="23" customFormat="1">
      <x:c r="B28" s="12"/>
      <x:c r="C28" s="13" t="s">
        <x:v>27</x:v>
      </x:c>
      <x:c r="D28" s="14" t="s">
        <x:v>45</x:v>
      </x:c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6"/>
      <x:c r="S28" s="16"/>
    </x:row>
    <x:row r="29" s="23" customFormat="1">
      <x:c r="B29" s="12"/>
      <x:c r="C29" s="13" t="s">
        <x:v>29</x:v>
      </x:c>
      <x:c r="D29" s="14"/>
      <x:c r="E29" s="15" t="s">
        <x:v>46</x:v>
      </x:c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6"/>
      <x:c r="S29" s="16"/>
    </x:row>
    <x:row r="30" s="20" customFormat="1">
      <x:c r="A30" s="20">
        <x:v>94</x:v>
      </x:c>
      <x:c r="B30" s="7"/>
      <x:c r="C30" s="8"/>
      <x:c r="D30" s="21"/>
      <x:c r="E30" s="24" t="s">
        <x:v>47</x:v>
      </x:c>
      <x:c r="F30" s="31">
        <x:v>1050396120.00</x:v>
      </x:c>
      <x:c r="G30" s="31">
        <x:v>0.00</x:v>
      </x:c>
      <x:c r="H30" s="31">
        <x:v>21538880.00</x:v>
      </x:c>
      <x:c r="I30" s="31">
        <x:v>27721105.00</x:v>
      </x:c>
      <x:c r="J30" s="31">
        <x:v>121973122.00</x:v>
      </x:c>
      <x:c r="K30" s="33">
        <x:f>SUM(F30:J30)</x:f>
        <x:v>1221629227.00</x:v>
      </x:c>
      <x:c r="L30" s="31">
        <x:v>457289313.43000001</x:v>
      </x:c>
      <x:c r="M30" s="31"/>
      <x:c r="N30" s="31">
        <x:v>1438833.239543212226662381477052687360</x:v>
      </x:c>
      <x:c r="O30" s="31">
        <x:v>2719402.984667821459767636429776011246</x:v>
      </x:c>
      <x:c r="P30" s="31">
        <x:v>196015990.345788956313569982092971127166</x:v>
      </x:c>
      <x:c r="Q30" s="31">
        <x:f>N30+O30+P30</x:f>
        <x:v>200174226.56999999</x:v>
      </x:c>
      <x:c r="R30" s="19">
        <x:f>SUM(L30:P30)</x:f>
        <x:v>657463540.00000000</x:v>
      </x:c>
      <x:c r="S30" s="37">
        <x:f>IF(K30=0,0,R30/K30)</x:f>
        <x:v>0.538185830421360735</x:v>
      </x:c>
    </x:row>
    <x:row r="31" s="20" customFormat="1">
      <x:c r="A31" s="20">
        <x:v>95</x:v>
      </x:c>
      <x:c r="B31" s="7"/>
      <x:c r="C31" s="8"/>
      <x:c r="D31" s="21"/>
      <x:c r="E31" s="24" t="s">
        <x:v>48</x:v>
      </x:c>
      <x:c r="F31" s="31">
        <x:v>20238850.00</x:v>
      </x:c>
      <x:c r="G31" s="31">
        <x:v>0.00</x:v>
      </x:c>
      <x:c r="H31" s="31">
        <x:v>415007.00</x:v>
      </x:c>
      <x:c r="I31" s="31">
        <x:v>534125.00</x:v>
      </x:c>
      <x:c r="J31" s="31">
        <x:v>2350157.00</x:v>
      </x:c>
      <x:c r="K31" s="33">
        <x:f>SUM(F31:J31)</x:f>
        <x:v>23538139.00</x:v>
      </x:c>
      <x:c r="L31" s="31">
        <x:v>13343676.01</x:v>
      </x:c>
      <x:c r="M31" s="31"/>
      <x:c r="N31" s="31">
        <x:v>37993.617496834334935037663595563629</x:v>
      </x:c>
      <x:c r="O31" s="31">
        <x:v>71808.152591762433987461319451529190</x:v>
      </x:c>
      <x:c r="P31" s="31">
        <x:v>5175969.219911403231077501016947621408</x:v>
      </x:c>
      <x:c r="Q31" s="31">
        <x:f>N31+O31+P31</x:f>
        <x:v>5285770.99</x:v>
      </x:c>
      <x:c r="R31" s="19">
        <x:f>SUM(L31:P31)</x:f>
        <x:v>18629447.00</x:v>
      </x:c>
      <x:c r="S31" s="37">
        <x:f>IF(K31=0,0,R31/K31)</x:f>
        <x:v>0.791457939814188368</x:v>
      </x:c>
    </x:row>
    <x:row r="32" s="20" customFormat="1">
      <x:c r="A32" s="20">
        <x:v>96</x:v>
      </x:c>
      <x:c r="B32" s="7"/>
      <x:c r="C32" s="8"/>
      <x:c r="D32" s="21"/>
      <x:c r="E32" s="24" t="s">
        <x:v>49</x:v>
      </x:c>
      <x:c r="F32" s="31">
        <x:v>132339791.00</x:v>
      </x:c>
      <x:c r="G32" s="31">
        <x:v>0.00</x:v>
      </x:c>
      <x:c r="H32" s="31">
        <x:v>2713691.00</x:v>
      </x:c>
      <x:c r="I32" s="31">
        <x:v>3492592.00</x:v>
      </x:c>
      <x:c r="J32" s="31">
        <x:v>15367438.00</x:v>
      </x:c>
      <x:c r="K32" s="33">
        <x:f>SUM(F32:J32)</x:f>
        <x:v>153913512.00</x:v>
      </x:c>
      <x:c r="L32" s="31">
        <x:v>6261080.00</x:v>
      </x:c>
      <x:c r="M32" s="31"/>
      <x:c r="N32" s="31">
        <x:v>18249.514690961408763807571779807360</x:v>
      </x:c>
      <x:c r="O32" s="31">
        <x:v>34491.686288186594118684149269561240</x:v>
      </x:c>
      <x:c r="P32" s="31">
        <x:v>2486178.799020851997117508278948092480</x:v>
      </x:c>
      <x:c r="Q32" s="31">
        <x:f>N32+O32+P32</x:f>
        <x:v>2538920.00</x:v>
      </x:c>
      <x:c r="R32" s="19">
        <x:f>SUM(L32:P32)</x:f>
        <x:v>8800000.00</x:v>
      </x:c>
      <x:c r="S32" s="37">
        <x:f>IF(K32=0,0,R32/K32)</x:f>
        <x:v>0.057174967198461432</x:v>
      </x:c>
    </x:row>
    <x:row r="33" s="20" customFormat="1">
      <x:c r="A33" s="20">
        <x:v>97</x:v>
      </x:c>
      <x:c r="B33" s="7"/>
      <x:c r="C33" s="8"/>
      <x:c r="D33" s="21"/>
      <x:c r="E33" s="24" t="s">
        <x:v>50</x:v>
      </x:c>
      <x:c r="F33" s="31">
        <x:v>6063239.00</x:v>
      </x:c>
      <x:c r="G33" s="31">
        <x:v>0.00</x:v>
      </x:c>
      <x:c r="H33" s="31">
        <x:v>124330.00</x:v>
      </x:c>
      <x:c r="I33" s="31">
        <x:v>160016.00</x:v>
      </x:c>
      <x:c r="J33" s="31">
        <x:v>704070.00</x:v>
      </x:c>
      <x:c r="K33" s="33">
        <x:f>SUM(F33:J33)</x:f>
        <x:v>7051655.00</x:v>
      </x:c>
      <x:c r="L33" s="31"/>
      <x:c r="M33" s="31"/>
      <x:c r="N33" s="31"/>
      <x:c r="O33" s="31"/>
      <x:c r="P33" s="31"/>
      <x:c r="Q33" s="31"/>
      <x:c r="R33" s="19"/>
      <x:c r="S33" s="37"/>
    </x:row>
    <x:row r="34" s="20" customFormat="1">
      <x:c r="A34" s="20">
        <x:v>100</x:v>
      </x:c>
      <x:c r="B34" s="7"/>
      <x:c r="C34" s="8"/>
      <x:c r="D34" s="21"/>
      <x:c r="E34" s="24" t="s">
        <x:v>51</x:v>
      </x:c>
      <x:c r="F34" s="31">
        <x:v>96099909.00</x:v>
      </x:c>
      <x:c r="G34" s="31">
        <x:v>0.00</x:v>
      </x:c>
      <x:c r="H34" s="31">
        <x:v>1970575.00</x:v>
      </x:c>
      <x:c r="I34" s="31">
        <x:v>2536182.00</x:v>
      </x:c>
      <x:c r="J34" s="31">
        <x:v>11159224.00</x:v>
      </x:c>
      <x:c r="K34" s="33">
        <x:f>SUM(F34:J34)</x:f>
        <x:v>111765890.00</x:v>
      </x:c>
      <x:c r="L34" s="31"/>
      <x:c r="M34" s="31"/>
      <x:c r="N34" s="31"/>
      <x:c r="O34" s="31"/>
      <x:c r="P34" s="31"/>
      <x:c r="Q34" s="31"/>
      <x:c r="R34" s="19"/>
      <x:c r="S34" s="37"/>
    </x:row>
    <x:row r="35" s="20" customFormat="1">
      <x:c r="A35" s="20">
        <x:v>101</x:v>
      </x:c>
      <x:c r="B35" s="7"/>
      <x:c r="C35" s="8"/>
      <x:c r="D35" s="21"/>
      <x:c r="E35" s="24" t="s">
        <x:v>52</x:v>
      </x:c>
      <x:c r="F35" s="31">
        <x:v>1386873266.00</x:v>
      </x:c>
      <x:c r="G35" s="31">
        <x:v>0.00</x:v>
      </x:c>
      <x:c r="H35" s="31">
        <x:v>28438506.00</x:v>
      </x:c>
      <x:c r="I35" s="31">
        <x:v>36601106.00</x:v>
      </x:c>
      <x:c r="J35" s="31">
        <x:v>161045208.00</x:v>
      </x:c>
      <x:c r="K35" s="33">
        <x:f>SUM(F35:J35)</x:f>
        <x:v>1612958086.00</x:v>
      </x:c>
      <x:c r="L35" s="31">
        <x:v>513928621.61000001</x:v>
      </x:c>
      <x:c r="M35" s="31"/>
      <x:c r="N35" s="31">
        <x:v>1622190.363851278565749266277331539612</x:v>
      </x:c>
      <x:c r="O35" s="31">
        <x:v>3065948.989722418570830330328613498444</x:v>
      </x:c>
      <x:c r="P35" s="31">
        <x:v>220995207.756426312863420403393829278595</x:v>
      </x:c>
      <x:c r="Q35" s="31">
        <x:f>N35+O35+P35</x:f>
        <x:v>225683347.11000001</x:v>
      </x:c>
      <x:c r="R35" s="19">
        <x:f>SUM(L35:P35)</x:f>
        <x:v>739611968.72000002</x:v>
      </x:c>
      <x:c r="S35" s="37">
        <x:f>IF(K35=0,0,R35/K35)</x:f>
        <x:v>0.458543824008579984</x:v>
      </x:c>
    </x:row>
    <x:row r="36" s="20" customFormat="1">
      <x:c r="A36" s="20">
        <x:v>102</x:v>
      </x:c>
      <x:c r="B36" s="7"/>
      <x:c r="C36" s="8"/>
      <x:c r="D36" s="21"/>
      <x:c r="E36" s="24" t="s">
        <x:v>53</x:v>
      </x:c>
      <x:c r="F36" s="31">
        <x:v>0.00</x:v>
      </x:c>
      <x:c r="G36" s="31">
        <x:v>0.00</x:v>
      </x:c>
      <x:c r="H36" s="31">
        <x:v>0.00</x:v>
      </x:c>
      <x:c r="I36" s="31">
        <x:v>0.00</x:v>
      </x:c>
      <x:c r="J36" s="31">
        <x:v>0.00</x:v>
      </x:c>
      <x:c r="K36" s="33">
        <x:f>SUM(F36:J36)</x:f>
        <x:v>0.00</x:v>
      </x:c>
      <x:c r="L36" s="31"/>
      <x:c r="M36" s="31"/>
      <x:c r="N36" s="31"/>
      <x:c r="O36" s="31"/>
      <x:c r="P36" s="31"/>
      <x:c r="Q36" s="31"/>
      <x:c r="R36" s="19"/>
      <x:c r="S36" s="37"/>
    </x:row>
    <x:row r="37" s="20" customFormat="1">
      <x:c r="A37" s="20">
        <x:v>103</x:v>
      </x:c>
      <x:c r="B37" s="7"/>
      <x:c r="C37" s="8"/>
      <x:c r="D37" s="21"/>
      <x:c r="E37" s="24" t="s">
        <x:v>54</x:v>
      </x:c>
      <x:c r="F37" s="31">
        <x:v>0.00</x:v>
      </x:c>
      <x:c r="G37" s="31">
        <x:v>0.00</x:v>
      </x:c>
      <x:c r="H37" s="31">
        <x:v>0.00</x:v>
      </x:c>
      <x:c r="I37" s="31">
        <x:v>0.00</x:v>
      </x:c>
      <x:c r="J37" s="31">
        <x:v>0.00</x:v>
      </x:c>
      <x:c r="K37" s="33">
        <x:f>SUM(F37:J37)</x:f>
        <x:v>0.00</x:v>
      </x:c>
      <x:c r="L37" s="31"/>
      <x:c r="M37" s="31"/>
      <x:c r="N37" s="31"/>
      <x:c r="O37" s="31"/>
      <x:c r="P37" s="31"/>
      <x:c r="Q37" s="31"/>
      <x:c r="R37" s="19"/>
      <x:c r="S37" s="37"/>
    </x:row>
    <x:row r="38" s="20" customFormat="1">
      <x:c r="A38" s="20">
        <x:v>104</x:v>
      </x:c>
      <x:c r="B38" s="7"/>
      <x:c r="C38" s="8"/>
      <x:c r="D38" s="21"/>
      <x:c r="E38" s="24" t="s">
        <x:v>55</x:v>
      </x:c>
      <x:c r="F38" s="31">
        <x:v>145312835.00</x:v>
      </x:c>
      <x:c r="G38" s="31">
        <x:v>0.00</x:v>
      </x:c>
      <x:c r="H38" s="31">
        <x:v>2979710.00</x:v>
      </x:c>
      <x:c r="I38" s="31">
        <x:v>3834965.00</x:v>
      </x:c>
      <x:c r="J38" s="31">
        <x:v>16873882.00</x:v>
      </x:c>
      <x:c r="K38" s="33">
        <x:f>SUM(F38:J38)</x:f>
        <x:v>169001392.00</x:v>
      </x:c>
      <x:c r="L38" s="31"/>
      <x:c r="M38" s="31"/>
      <x:c r="N38" s="31"/>
      <x:c r="O38" s="31"/>
      <x:c r="P38" s="31"/>
      <x:c r="Q38" s="31"/>
      <x:c r="R38" s="19"/>
      <x:c r="S38" s="37"/>
    </x:row>
    <x:row r="39" s="20" customFormat="1">
      <x:c r="A39" s="20">
        <x:v>105</x:v>
      </x:c>
      <x:c r="B39" s="7"/>
      <x:c r="C39" s="8"/>
      <x:c r="D39" s="21"/>
      <x:c r="E39" s="24" t="s">
        <x:v>56</x:v>
      </x:c>
      <x:c r="F39" s="31">
        <x:v>36880463.00</x:v>
      </x:c>
      <x:c r="G39" s="31">
        <x:v>0.00</x:v>
      </x:c>
      <x:c r="H39" s="31">
        <x:v>756252.00</x:v>
      </x:c>
      <x:c r="I39" s="31">
        <x:v>973316.00</x:v>
      </x:c>
      <x:c r="J39" s="31">
        <x:v>4282599.00</x:v>
      </x:c>
      <x:c r="K39" s="33">
        <x:f>SUM(F39:J39)</x:f>
        <x:v>42892630.00</x:v>
      </x:c>
      <x:c r="L39" s="31"/>
      <x:c r="M39" s="31"/>
      <x:c r="N39" s="31"/>
      <x:c r="O39" s="31"/>
      <x:c r="P39" s="31"/>
      <x:c r="Q39" s="31"/>
      <x:c r="R39" s="19"/>
      <x:c r="S39" s="37"/>
    </x:row>
    <x:row r="40" s="20" customFormat="1">
      <x:c r="A40" s="20">
        <x:v>106</x:v>
      </x:c>
      <x:c r="B40" s="7"/>
      <x:c r="C40" s="8"/>
      <x:c r="D40" s="21"/>
      <x:c r="E40" s="24" t="s">
        <x:v>57</x:v>
      </x:c>
      <x:c r="F40" s="31">
        <x:v>52318588.00</x:v>
      </x:c>
      <x:c r="G40" s="31">
        <x:v>0.00</x:v>
      </x:c>
      <x:c r="H40" s="31">
        <x:v>1072818.00</x:v>
      </x:c>
      <x:c r="I40" s="31">
        <x:v>1380745.00</x:v>
      </x:c>
      <x:c r="J40" s="31">
        <x:v>6075290.00</x:v>
      </x:c>
      <x:c r="K40" s="33">
        <x:f>SUM(F40:J40)</x:f>
        <x:v>60847441.00</x:v>
      </x:c>
      <x:c r="L40" s="31"/>
      <x:c r="M40" s="31"/>
      <x:c r="N40" s="31"/>
      <x:c r="O40" s="31"/>
      <x:c r="P40" s="31"/>
      <x:c r="Q40" s="31"/>
      <x:c r="R40" s="19"/>
      <x:c r="S40" s="37"/>
    </x:row>
    <x:row r="41" s="20" customFormat="1">
      <x:c r="A41" s="20">
        <x:v>107</x:v>
      </x:c>
      <x:c r="B41" s="7"/>
      <x:c r="C41" s="8"/>
      <x:c r="D41" s="21"/>
      <x:c r="E41" s="24" t="s">
        <x:v>58</x:v>
      </x:c>
      <x:c r="F41" s="31">
        <x:v>7593140.00</x:v>
      </x:c>
      <x:c r="G41" s="31">
        <x:v>0.00</x:v>
      </x:c>
      <x:c r="H41" s="31">
        <x:v>155701.00</x:v>
      </x:c>
      <x:c r="I41" s="31">
        <x:v>200391.00</x:v>
      </x:c>
      <x:c r="J41" s="31">
        <x:v>881724.00</x:v>
      </x:c>
      <x:c r="K41" s="33">
        <x:f>SUM(F41:J41)</x:f>
        <x:v>8830956.00</x:v>
      </x:c>
      <x:c r="L41" s="31"/>
      <x:c r="M41" s="31"/>
      <x:c r="N41" s="31"/>
      <x:c r="O41" s="31"/>
      <x:c r="P41" s="31"/>
      <x:c r="Q41" s="31"/>
      <x:c r="R41" s="19"/>
      <x:c r="S41" s="37"/>
    </x:row>
    <x:row r="42" s="20" customFormat="1">
      <x:c r="A42" s="20">
        <x:v>108</x:v>
      </x:c>
      <x:c r="B42" s="7"/>
      <x:c r="C42" s="8"/>
      <x:c r="D42" s="21"/>
      <x:c r="E42" s="24" t="s">
        <x:v>59</x:v>
      </x:c>
      <x:c r="F42" s="31">
        <x:v>17593861.00</x:v>
      </x:c>
      <x:c r="G42" s="31">
        <x:v>0.00</x:v>
      </x:c>
      <x:c r="H42" s="31">
        <x:v>360771.00</x:v>
      </x:c>
      <x:c r="I42" s="31">
        <x:v>464321.00</x:v>
      </x:c>
      <x:c r="J42" s="31">
        <x:v>2043018.00</x:v>
      </x:c>
      <x:c r="K42" s="33">
        <x:f>SUM(F42:J42)</x:f>
        <x:v>20461971.00</x:v>
      </x:c>
      <x:c r="L42" s="31"/>
      <x:c r="M42" s="31"/>
      <x:c r="N42" s="31"/>
      <x:c r="O42" s="31"/>
      <x:c r="P42" s="31"/>
      <x:c r="Q42" s="31"/>
      <x:c r="R42" s="19"/>
      <x:c r="S42" s="37"/>
    </x:row>
    <x:row r="43" s="20" customFormat="1">
      <x:c r="A43" s="20">
        <x:v>109</x:v>
      </x:c>
      <x:c r="B43" s="7"/>
      <x:c r="C43" s="8"/>
      <x:c r="D43" s="21"/>
      <x:c r="E43" s="24" t="s">
        <x:v>60</x:v>
      </x:c>
      <x:c r="F43" s="31">
        <x:v>292490206.00</x:v>
      </x:c>
      <x:c r="G43" s="31">
        <x:v>0.00</x:v>
      </x:c>
      <x:c r="H43" s="31">
        <x:v>5997653.00</x:v>
      </x:c>
      <x:c r="I43" s="31">
        <x:v>7719137.00</x:v>
      </x:c>
      <x:c r="J43" s="31">
        <x:v>33964276.00</x:v>
      </x:c>
      <x:c r="K43" s="33">
        <x:f>SUM(F43:J43)</x:f>
        <x:v>340171272.00</x:v>
      </x:c>
      <x:c r="L43" s="31">
        <x:v>155231228.52000001</x:v>
      </x:c>
      <x:c r="M43" s="31"/>
      <x:c r="N43" s="31">
        <x:v>510329.707924379544817515557166934817</x:v>
      </x:c>
      <x:c r="O43" s="31">
        <x:v>964526.042875405779814598393965605881</x:v>
      </x:c>
      <x:c r="P43" s="31">
        <x:v>69523541.959200207675367886048796460903</x:v>
      </x:c>
      <x:c r="Q43" s="31">
        <x:f>N43+O43+P43</x:f>
        <x:v>70998397.709999993</x:v>
      </x:c>
      <x:c r="R43" s="19">
        <x:f>SUM(L43:P43)</x:f>
        <x:v>226229626.230000003</x:v>
      </x:c>
      <x:c r="S43" s="37">
        <x:f>IF(K43=0,0,R43/K43)</x:f>
        <x:v>0.665046242441072457</x:v>
      </x:c>
    </x:row>
    <x:row r="44" s="20" customFormat="1">
      <x:c r="A44" s="20">
        <x:v>110</x:v>
      </x:c>
      <x:c r="B44" s="7"/>
      <x:c r="C44" s="8"/>
      <x:c r="D44" s="21"/>
      <x:c r="E44" s="24" t="s">
        <x:v>61</x:v>
      </x:c>
      <x:c r="F44" s="31">
        <x:v>1385260694.00</x:v>
      </x:c>
      <x:c r="G44" s="31">
        <x:v>0.00</x:v>
      </x:c>
      <x:c r="H44" s="31">
        <x:v>28405440.00</x:v>
      </x:c>
      <x:c r="I44" s="31">
        <x:v>36558548.00</x:v>
      </x:c>
      <x:c r="J44" s="31">
        <x:v>160857955.00</x:v>
      </x:c>
      <x:c r="K44" s="33">
        <x:f>SUM(F44:J44)</x:f>
        <x:v>1611082637.00</x:v>
      </x:c>
      <x:c r="L44" s="31">
        <x:v>130476964.18000001</x:v>
      </x:c>
      <x:c r="M44" s="31"/>
      <x:c r="N44" s="31">
        <x:v>455582.629824634005971093649824019434</x:v>
      </x:c>
      <x:c r="O44" s="31">
        <x:v>861053.754708394001779646796200257864</x:v>
      </x:c>
      <x:c r="P44" s="31">
        <x:v>62065205.275466967992249259553912340860</x:v>
      </x:c>
      <x:c r="Q44" s="31">
        <x:f>N44+O44+P44</x:f>
        <x:v>63381841.659999996</x:v>
      </x:c>
      <x:c r="R44" s="19">
        <x:f>SUM(L44:P44)</x:f>
        <x:v>193858805.840000006</x:v>
      </x:c>
      <x:c r="S44" s="37">
        <x:f>IF(K44=0,0,R44/K44)</x:f>
        <x:v>0.120328281981230243</x:v>
      </x:c>
    </x:row>
    <x:row r="45" s="20" customFormat="1">
      <x:c r="A45" s="20">
        <x:v>111</x:v>
      </x:c>
      <x:c r="B45" s="7"/>
      <x:c r="C45" s="8"/>
      <x:c r="D45" s="21"/>
      <x:c r="E45" s="24" t="s">
        <x:v>62</x:v>
      </x:c>
      <x:c r="F45" s="31">
        <x:v>29986962.00</x:v>
      </x:c>
      <x:c r="G45" s="31">
        <x:v>0.00</x:v>
      </x:c>
      <x:c r="H45" s="31">
        <x:v>614897.00</x:v>
      </x:c>
      <x:c r="I45" s="31">
        <x:v>791389.00</x:v>
      </x:c>
      <x:c r="J45" s="31">
        <x:v>3482118.00</x:v>
      </x:c>
      <x:c r="K45" s="33">
        <x:f>SUM(F45:J45)</x:f>
        <x:v>34875366.00</x:v>
      </x:c>
      <x:c r="L45" s="31">
        <x:v>26393900.00</x:v>
      </x:c>
      <x:c r="M45" s="31"/>
      <x:c r="N45" s="31">
        <x:v>83423.539321745941681355481399028800</x:v>
      </x:c>
      <x:c r="O45" s="31">
        <x:v>157670.962546800383628022980179546700</x:v>
      </x:c>
      <x:c r="P45" s="31">
        <x:v>11365005.498131453674690621538409818400</x:v>
      </x:c>
      <x:c r="Q45" s="31">
        <x:f>N45+O45+P45</x:f>
        <x:v>11606100.00</x:v>
      </x:c>
      <x:c r="R45" s="19">
        <x:f>SUM(L45:P45)</x:f>
        <x:v>38000000.00</x:v>
      </x:c>
      <x:c r="S45" s="37">
        <x:f>IF(K45=0,0,R45/K45)</x:f>
        <x:v>1.089594299884910168</x:v>
      </x:c>
    </x:row>
    <x:row r="46" s="20" customFormat="1">
      <x:c r="A46" s="20">
        <x:v>112</x:v>
      </x:c>
      <x:c r="B46" s="7"/>
      <x:c r="C46" s="8"/>
      <x:c r="D46" s="21"/>
      <x:c r="E46" s="24" t="s">
        <x:v>63</x:v>
      </x:c>
      <x:c r="F46" s="31">
        <x:v>613431411.00</x:v>
      </x:c>
      <x:c r="G46" s="31">
        <x:v>0.00</x:v>
      </x:c>
      <x:c r="H46" s="31">
        <x:v>12578707.00</x:v>
      </x:c>
      <x:c r="I46" s="31">
        <x:v>16189127.00</x:v>
      </x:c>
      <x:c r="J46" s="31">
        <x:v>71232312.00</x:v>
      </x:c>
      <x:c r="K46" s="33">
        <x:f>SUM(F46:J46)</x:f>
        <x:v>713431557.00</x:v>
      </x:c>
      <x:c r="L46" s="31">
        <x:v>269971130.00</x:v>
      </x:c>
      <x:c r="M46" s="31"/>
      <x:c r="N46" s="31">
        <x:v>851255.416830368366670012297877236960</x:v>
      </x:c>
      <x:c r="O46" s="31">
        <x:v>1608877.566644255309590065730667158890</x:v>
      </x:c>
      <x:c r="P46" s="31">
        <x:v>115968737.016525376323739921971337175280</x:v>
      </x:c>
      <x:c r="Q46" s="31">
        <x:f>N46+O46+P46</x:f>
        <x:v>118428870.00</x:v>
      </x:c>
      <x:c r="R46" s="19">
        <x:f>SUM(L46:P46)</x:f>
        <x:v>388400000.00</x:v>
      </x:c>
      <x:c r="S46" s="37">
        <x:f>IF(K46=0,0,R46/K46)</x:f>
        <x:v>0.544411017692058721</x:v>
      </x:c>
    </x:row>
    <x:row r="47" s="20" customFormat="1">
      <x:c r="A47" s="20">
        <x:v>113</x:v>
      </x:c>
      <x:c r="B47" s="7"/>
      <x:c r="C47" s="8"/>
      <x:c r="D47" s="21"/>
      <x:c r="E47" s="24" t="s">
        <x:v>64</x:v>
      </x:c>
      <x:c r="F47" s="31">
        <x:v>12078166.00</x:v>
      </x:c>
      <x:c r="G47" s="31">
        <x:v>0.00</x:v>
      </x:c>
      <x:c r="H47" s="31">
        <x:v>247669.00</x:v>
      </x:c>
      <x:c r="I47" s="31">
        <x:v>318756.00</x:v>
      </x:c>
      <x:c r="J47" s="31">
        <x:v>1402530.00</x:v>
      </x:c>
      <x:c r="K47" s="33">
        <x:f>SUM(F47:J47)</x:f>
        <x:v>14047121.00</x:v>
      </x:c>
      <x:c r="L47" s="31"/>
      <x:c r="M47" s="31"/>
      <x:c r="N47" s="31"/>
      <x:c r="O47" s="31"/>
      <x:c r="P47" s="31"/>
      <x:c r="Q47" s="31"/>
      <x:c r="R47" s="19"/>
      <x:c r="S47" s="37"/>
    </x:row>
    <x:row r="48" s="20" customFormat="1">
      <x:c r="A48" s="20">
        <x:v>114</x:v>
      </x:c>
      <x:c r="B48" s="7"/>
      <x:c r="C48" s="8"/>
      <x:c r="D48" s="21"/>
      <x:c r="E48" s="24" t="s">
        <x:v>65</x:v>
      </x:c>
      <x:c r="F48" s="31">
        <x:v>115883291.00</x:v>
      </x:c>
      <x:c r="G48" s="31">
        <x:v>0.00</x:v>
      </x:c>
      <x:c r="H48" s="31">
        <x:v>2376243.00</x:v>
      </x:c>
      <x:c r="I48" s="31">
        <x:v>3058287.00</x:v>
      </x:c>
      <x:c r="J48" s="31">
        <x:v>13456492.00</x:v>
      </x:c>
      <x:c r="K48" s="33">
        <x:f>SUM(F48:J48)</x:f>
        <x:v>134774313.00</x:v>
      </x:c>
      <x:c r="L48" s="31"/>
      <x:c r="M48" s="31"/>
      <x:c r="N48" s="31"/>
      <x:c r="O48" s="31"/>
      <x:c r="P48" s="31"/>
      <x:c r="Q48" s="31"/>
      <x:c r="R48" s="19"/>
      <x:c r="S48" s="37"/>
    </x:row>
    <x:row r="49" s="20" customFormat="1">
      <x:c r="A49" s="20">
        <x:v>115</x:v>
      </x:c>
      <x:c r="B49" s="7"/>
      <x:c r="C49" s="8"/>
      <x:c r="D49" s="21"/>
      <x:c r="E49" s="24" t="s">
        <x:v>66</x:v>
      </x:c>
      <x:c r="F49" s="31">
        <x:v>167824019.00</x:v>
      </x:c>
      <x:c r="G49" s="31">
        <x:v>0.00</x:v>
      </x:c>
      <x:c r="H49" s="31">
        <x:v>3441313.00</x:v>
      </x:c>
      <x:c r="I49" s="31">
        <x:v>4429060.00</x:v>
      </x:c>
      <x:c r="J49" s="31">
        <x:v>19487905.00</x:v>
      </x:c>
      <x:c r="K49" s="33">
        <x:f>SUM(F49:J49)</x:f>
        <x:v>195182297.00</x:v>
      </x:c>
      <x:c r="L49" s="31">
        <x:v>73784922.799999997</x:v>
      </x:c>
      <x:c r="M49" s="31"/>
      <x:c r="N49" s="31">
        <x:v>227792.438884955858831734608517404125</x:v>
      </x:c>
      <x:c r="O49" s="31">
        <x:v>430529.001668860290095236970338330765</x:v>
      </x:c>
      <x:c r="P49" s="31">
        <x:v>31032755.759446182851073028421112574031</x:v>
      </x:c>
      <x:c r="Q49" s="31">
        <x:f>N49+O49+P49</x:f>
        <x:v>31691077.199999999</x:v>
      </x:c>
      <x:c r="R49" s="19">
        <x:f>SUM(L49:P49)</x:f>
        <x:v>105475999.999999996</x:v>
      </x:c>
      <x:c r="S49" s="37">
        <x:f>IF(K49=0,0,R49/K49)</x:f>
        <x:v>0.540397370156987116</x:v>
      </x:c>
    </x:row>
    <x:row r="50" s="20" customFormat="1">
      <x:c r="A50" s="20">
        <x:v>124</x:v>
      </x:c>
      <x:c r="B50" s="7"/>
      <x:c r="C50" s="8"/>
      <x:c r="D50" s="21"/>
      <x:c r="E50" s="24" t="s">
        <x:v>67</x:v>
      </x:c>
      <x:c r="F50" s="31">
        <x:v>34805248.00</x:v>
      </x:c>
      <x:c r="G50" s="31">
        <x:v>0.00</x:v>
      </x:c>
      <x:c r="H50" s="31">
        <x:v>713698.00</x:v>
      </x:c>
      <x:c r="I50" s="31">
        <x:v>918549.00</x:v>
      </x:c>
      <x:c r="J50" s="31">
        <x:v>4041623.00</x:v>
      </x:c>
      <x:c r="K50" s="33">
        <x:f>SUM(F50:J50)</x:f>
        <x:v>40479118.00</x:v>
      </x:c>
      <x:c r="L50" s="31"/>
      <x:c r="M50" s="31"/>
      <x:c r="N50" s="31"/>
      <x:c r="O50" s="31"/>
      <x:c r="P50" s="31"/>
      <x:c r="Q50" s="31"/>
      <x:c r="R50" s="19"/>
      <x:c r="S50" s="37"/>
    </x:row>
    <x:row r="51" s="20" customFormat="1">
      <x:c r="A51" s="20">
        <x:v>143</x:v>
      </x:c>
      <x:c r="B51" s="7"/>
      <x:c r="C51" s="8"/>
      <x:c r="D51" s="21"/>
      <x:c r="E51" s="24" t="s">
        <x:v>68</x:v>
      </x:c>
      <x:c r="F51" s="31">
        <x:v>0.00</x:v>
      </x:c>
      <x:c r="G51" s="31">
        <x:v>0.00</x:v>
      </x:c>
      <x:c r="H51" s="31">
        <x:v>0.00</x:v>
      </x:c>
      <x:c r="I51" s="31">
        <x:v>0.00</x:v>
      </x:c>
      <x:c r="J51" s="31">
        <x:v>0.00</x:v>
      </x:c>
      <x:c r="K51" s="33">
        <x:f>SUM(F51:J51)</x:f>
        <x:v>0.00</x:v>
      </x:c>
      <x:c r="L51" s="31">
        <x:v>-867581.56</x:v>
      </x:c>
      <x:c r="M51" s="31"/>
      <x:c r="N51" s="31">
        <x:v>6236.093466839135110638320492389380</x:v>
      </x:c>
      <x:c r="O51" s="31">
        <x:v>11786.252027214538030570013773793109</x:v>
      </x:c>
      <x:c r="P51" s="31">
        <x:v>849559.214505946326858791665732949928</x:v>
      </x:c>
      <x:c r="Q51" s="31">
        <x:f>N51+O51+P51</x:f>
        <x:v>867581.56</x:v>
      </x:c>
      <x:c r="R51" s="19">
        <x:f>SUM(L51:P51)</x:f>
        <x:v>0.00</x:v>
      </x:c>
      <x:c r="S51" s="37">
        <x:v>0.00</x:v>
      </x:c>
    </x:row>
    <x:row r="52" s="20" customFormat="1">
      <x:c r="A52" s="20">
        <x:v>0</x:v>
      </x:c>
      <x:c r="B52" s="7"/>
      <x:c r="C52" s="8"/>
      <x:c r="D52" s="21"/>
      <x:c r="E52" s="24" t="s">
        <x:v>69</x:v>
      </x:c>
      <x:c r="F52" s="31">
        <x:v>67100921.00</x:v>
      </x:c>
      <x:c r="G52" s="31">
        <x:v>0.00</x:v>
      </x:c>
      <x:c r="H52" s="31">
        <x:v>1375937.00</x:v>
      </x:c>
      <x:c r="I52" s="31">
        <x:v>1770867.00</x:v>
      </x:c>
      <x:c r="J52" s="31">
        <x:v>7791831.00</x:v>
      </x:c>
      <x:c r="K52" s="33">
        <x:f>SUM(F52:J52)</x:f>
        <x:v>78039556.00</x:v>
      </x:c>
      <x:c r="L52" s="31">
        <x:v>47158270.00</x:v>
      </x:c>
      <x:c r="M52" s="31"/>
      <x:c r="N52" s="31">
        <x:v>149448.971249784574321648891812807840</x:v>
      </x:c>
      <x:c r="O52" s="31">
        <x:v>282459.403426920838204933116006969310</x:v>
      </x:c>
      <x:c r="P52" s="31">
        <x:v>20359821.625323294587473417992159431120</x:v>
      </x:c>
      <x:c r="Q52" s="31">
        <x:f>N52+O52+P52</x:f>
        <x:v>20791730.00</x:v>
      </x:c>
      <x:c r="R52" s="19">
        <x:f>SUM(L52:P52)</x:f>
        <x:v>67950000.00</x:v>
      </x:c>
      <x:c r="S52" s="37">
        <x:f>IF(K52=0,0,R52/K52)</x:f>
        <x:v>0.870712283396384264</x:v>
      </x:c>
    </x:row>
    <x:row r="53" s="23" customFormat="1">
      <x:c r="B53" s="12">
        <x:v>21</x:v>
      </x:c>
      <x:c r="C53" s="8" t="s">
        <x:v>34</x:v>
      </x:c>
      <x:c r="D53" s="14"/>
      <x:c r="E53" s="15" t="s">
        <x:v>70</x:v>
      </x:c>
      <x:c r="F53" s="32">
        <x:f>SUM(F30:F52)</x:f>
        <x:v>5670570980.00</x:v>
      </x:c>
      <x:c r="G53" s="32">
        <x:f>SUM(G30:G52)</x:f>
        <x:v>0.00</x:v>
      </x:c>
      <x:c r="H53" s="32">
        <x:f>SUM(H30:H52)</x:f>
        <x:v>116277798.00</x:v>
      </x:c>
      <x:c r="I53" s="32">
        <x:f>SUM(I30:I52)</x:f>
        <x:v>149652584.00</x:v>
      </x:c>
      <x:c r="J53" s="32">
        <x:f>SUM(J30:J52)</x:f>
        <x:v>658472774.00</x:v>
      </x:c>
      <x:c r="K53" s="32">
        <x:f>SUM(K30:K52)</x:f>
        <x:v>6594974136.00</x:v>
      </x:c>
      <x:c r="L53" s="32">
        <x:f>SUM(L30:L52)</x:f>
        <x:v>1692971524.990000037</x:v>
      </x:c>
      <x:c r="M53" s="32"/>
      <x:c r="N53" s="32">
        <x:f>SUM(N30:N52)</x:f>
        <x:v>5401335.533084993963514491796849419317</x:v>
      </x:c>
      <x:c r="O53" s="32">
        <x:f>SUM(O30:O52)</x:f>
        <x:v>10208554.797168040199847186228242262639</x:v>
      </x:c>
      <x:c r="P53" s="32">
        <x:f>SUM(P30:P52)</x:f>
        <x:v>735837972.469746953836638321974156870171</x:v>
      </x:c>
      <x:c r="Q53" s="32">
        <x:f>SUM(Q30:Q52)</x:f>
        <x:v>751447862.799999988</x:v>
      </x:c>
      <x:c r="R53" s="32">
        <x:f>SUM(R30:R52)</x:f>
        <x:v>2444419387.790000025</x:v>
      </x:c>
      <x:c r="S53" s="37">
        <x:f>IF(K53=0,0,R53/K53)</x:f>
        <x:v>0.370648820963018258</x:v>
      </x:c>
    </x:row>
    <x:row r="54" s="20" customFormat="1">
      <x:c r="B54" s="7"/>
      <x:c r="C54" s="8" t="s">
        <x:v>36</x:v>
      </x:c>
      <x:c r="D54" s="21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19"/>
      <x:c r="S54" s="19"/>
    </x:row>
    <x:row r="55" s="20" customFormat="1">
      <x:c r="B55" s="7"/>
      <x:c r="C55" s="8" t="s">
        <x:v>29</x:v>
      </x:c>
      <x:c r="D55" s="21"/>
      <x:c r="E55" s="22" t="s">
        <x:v>71</x:v>
      </x:c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19"/>
      <x:c r="S55" s="19"/>
    </x:row>
    <x:row r="56" s="20" customFormat="1">
      <x:c r="A56" s="20">
        <x:v>169</x:v>
      </x:c>
      <x:c r="B56" s="7"/>
      <x:c r="C56" s="8"/>
      <x:c r="D56" s="21"/>
      <x:c r="E56" s="24" t="s">
        <x:v>72</x:v>
      </x:c>
      <x:c r="F56" s="31">
        <x:v>0.00</x:v>
      </x:c>
      <x:c r="G56" s="31">
        <x:v>0.00</x:v>
      </x:c>
      <x:c r="H56" s="31">
        <x:v>0.00</x:v>
      </x:c>
      <x:c r="I56" s="31">
        <x:v>0.00</x:v>
      </x:c>
      <x:c r="J56" s="31">
        <x:v>0.00</x:v>
      </x:c>
      <x:c r="K56" s="33">
        <x:f>SUM(F56:J56)</x:f>
        <x:v>0.00</x:v>
      </x:c>
      <x:c r="L56" s="31"/>
      <x:c r="M56" s="31"/>
      <x:c r="N56" s="31"/>
      <x:c r="O56" s="31"/>
      <x:c r="P56" s="31"/>
      <x:c r="Q56" s="31"/>
      <x:c r="R56" s="19"/>
      <x:c r="S56" s="37"/>
    </x:row>
    <x:row r="57" s="20" customFormat="1">
      <x:c r="A57" s="20">
        <x:v>171</x:v>
      </x:c>
      <x:c r="B57" s="7"/>
      <x:c r="C57" s="8"/>
      <x:c r="D57" s="21"/>
      <x:c r="E57" s="24" t="s">
        <x:v>73</x:v>
      </x:c>
      <x:c r="F57" s="31">
        <x:v>0.00</x:v>
      </x:c>
      <x:c r="G57" s="31">
        <x:v>0.00</x:v>
      </x:c>
      <x:c r="H57" s="31">
        <x:v>0.00</x:v>
      </x:c>
      <x:c r="I57" s="31">
        <x:v>0.00</x:v>
      </x:c>
      <x:c r="J57" s="31">
        <x:v>0.00</x:v>
      </x:c>
      <x:c r="K57" s="33">
        <x:f>SUM(F57:J57)</x:f>
        <x:v>0.00</x:v>
      </x:c>
      <x:c r="L57" s="31"/>
      <x:c r="M57" s="31"/>
      <x:c r="N57" s="31"/>
      <x:c r="O57" s="31"/>
      <x:c r="P57" s="31"/>
      <x:c r="Q57" s="31"/>
      <x:c r="R57" s="19"/>
      <x:c r="S57" s="37"/>
    </x:row>
    <x:row r="58" s="20" customFormat="1">
      <x:c r="A58" s="20">
        <x:v>175</x:v>
      </x:c>
      <x:c r="B58" s="7"/>
      <x:c r="C58" s="8"/>
      <x:c r="D58" s="21"/>
      <x:c r="E58" s="24" t="s">
        <x:v>74</x:v>
      </x:c>
      <x:c r="F58" s="31">
        <x:v>0.00</x:v>
      </x:c>
      <x:c r="G58" s="31">
        <x:v>0.00</x:v>
      </x:c>
      <x:c r="H58" s="31">
        <x:v>0.00</x:v>
      </x:c>
      <x:c r="I58" s="31">
        <x:v>0.00</x:v>
      </x:c>
      <x:c r="J58" s="31">
        <x:v>0.00</x:v>
      </x:c>
      <x:c r="K58" s="33">
        <x:f>SUM(F58:J58)</x:f>
        <x:v>0.00</x:v>
      </x:c>
      <x:c r="L58" s="31"/>
      <x:c r="M58" s="31"/>
      <x:c r="N58" s="31"/>
      <x:c r="O58" s="31"/>
      <x:c r="P58" s="31"/>
      <x:c r="Q58" s="31"/>
      <x:c r="R58" s="19"/>
      <x:c r="S58" s="37"/>
    </x:row>
    <x:row r="59" s="20" customFormat="1">
      <x:c r="A59" s="20">
        <x:v>176</x:v>
      </x:c>
      <x:c r="B59" s="7"/>
      <x:c r="C59" s="8"/>
      <x:c r="D59" s="21"/>
      <x:c r="E59" s="24" t="s">
        <x:v>75</x:v>
      </x:c>
      <x:c r="F59" s="31">
        <x:v>0.00</x:v>
      </x:c>
      <x:c r="G59" s="31">
        <x:v>0.00</x:v>
      </x:c>
      <x:c r="H59" s="31">
        <x:v>0.00</x:v>
      </x:c>
      <x:c r="I59" s="31">
        <x:v>0.00</x:v>
      </x:c>
      <x:c r="J59" s="31">
        <x:v>0.00</x:v>
      </x:c>
      <x:c r="K59" s="33">
        <x:f>SUM(F59:J59)</x:f>
        <x:v>0.00</x:v>
      </x:c>
      <x:c r="L59" s="31"/>
      <x:c r="M59" s="31"/>
      <x:c r="N59" s="31"/>
      <x:c r="O59" s="31"/>
      <x:c r="P59" s="31"/>
      <x:c r="Q59" s="31"/>
      <x:c r="R59" s="19"/>
      <x:c r="S59" s="37"/>
    </x:row>
    <x:row r="60" s="20" customFormat="1">
      <x:c r="A60" s="20">
        <x:v>177</x:v>
      </x:c>
      <x:c r="B60" s="7"/>
      <x:c r="C60" s="8"/>
      <x:c r="D60" s="21"/>
      <x:c r="E60" s="24" t="s">
        <x:v>76</x:v>
      </x:c>
      <x:c r="F60" s="31">
        <x:v>0.00</x:v>
      </x:c>
      <x:c r="G60" s="31">
        <x:v>0.00</x:v>
      </x:c>
      <x:c r="H60" s="31">
        <x:v>0.00</x:v>
      </x:c>
      <x:c r="I60" s="31">
        <x:v>0.00</x:v>
      </x:c>
      <x:c r="J60" s="31">
        <x:v>0.00</x:v>
      </x:c>
      <x:c r="K60" s="33">
        <x:f>SUM(F60:J60)</x:f>
        <x:v>0.00</x:v>
      </x:c>
      <x:c r="L60" s="31"/>
      <x:c r="M60" s="31"/>
      <x:c r="N60" s="31"/>
      <x:c r="O60" s="31"/>
      <x:c r="P60" s="31"/>
      <x:c r="Q60" s="31"/>
      <x:c r="R60" s="19"/>
      <x:c r="S60" s="37"/>
    </x:row>
    <x:row r="61" s="20" customFormat="1">
      <x:c r="A61" s="20">
        <x:v>179</x:v>
      </x:c>
      <x:c r="B61" s="7"/>
      <x:c r="C61" s="8"/>
      <x:c r="D61" s="21"/>
      <x:c r="E61" s="24" t="s">
        <x:v>77</x:v>
      </x:c>
      <x:c r="F61" s="31">
        <x:v>90227999.00</x:v>
      </x:c>
      <x:c r="G61" s="31">
        <x:v>0.00</x:v>
      </x:c>
      <x:c r="H61" s="31">
        <x:v>1850169.00</x:v>
      </x:c>
      <x:c r="I61" s="31">
        <x:v>2381216.00</x:v>
      </x:c>
      <x:c r="J61" s="31">
        <x:v>10477372.00</x:v>
      </x:c>
      <x:c r="K61" s="33">
        <x:f>SUM(F61:J61)</x:f>
        <x:v>104936756.00</x:v>
      </x:c>
      <x:c r="L61" s="31">
        <x:v>38766554.049999997</x:v>
      </x:c>
      <x:c r="M61" s="31"/>
      <x:c r="N61" s="31">
        <x:v>121941.241173407158190859402866462797</x:v>
      </x:c>
      <x:c r="O61" s="31">
        <x:v>230469.637542108616890358391028703679</x:v>
      </x:c>
      <x:c r="P61" s="31">
        <x:v>16612372.091284483224918782206087868739</x:v>
      </x:c>
      <x:c r="Q61" s="31">
        <x:f>N61+O61+P61</x:f>
        <x:v>16964782.969999999</x:v>
      </x:c>
      <x:c r="R61" s="19">
        <x:f>SUM(L61:P61)</x:f>
        <x:v>55731337.019999996</x:v>
      </x:c>
      <x:c r="S61" s="37">
        <x:f>IF(K61=0,0,R61/K61)</x:f>
        <x:v>0.531094529165738609</x:v>
      </x:c>
    </x:row>
    <x:row r="62" s="20" customFormat="1">
      <x:c r="A62" s="20">
        <x:v>180</x:v>
      </x:c>
      <x:c r="B62" s="7"/>
      <x:c r="C62" s="8"/>
      <x:c r="D62" s="21"/>
      <x:c r="E62" s="24" t="s">
        <x:v>78</x:v>
      </x:c>
      <x:c r="F62" s="31">
        <x:v>12940196.00</x:v>
      </x:c>
      <x:c r="G62" s="31">
        <x:v>0.00</x:v>
      </x:c>
      <x:c r="H62" s="31">
        <x:v>265345.00</x:v>
      </x:c>
      <x:c r="I62" s="31">
        <x:v>341506.00</x:v>
      </x:c>
      <x:c r="J62" s="31">
        <x:v>1502629.00</x:v>
      </x:c>
      <x:c r="K62" s="33">
        <x:f>SUM(F62:J62)</x:f>
        <x:v>15049676.00</x:v>
      </x:c>
      <x:c r="L62" s="31">
        <x:v>3499719.17</x:v>
      </x:c>
      <x:c r="M62" s="31"/>
      <x:c r="N62" s="31">
        <x:v>10936.259166925878532271750802694576</x:v>
      </x:c>
      <x:c r="O62" s="31">
        <x:v>20669.591862557104665881776626352509</x:v>
      </x:c>
      <x:c r="P62" s="31">
        <x:v>1489874.998970517016801846472569431432</x:v>
      </x:c>
      <x:c r="Q62" s="31">
        <x:f>N62+O62+P62</x:f>
        <x:v>1521480.85</x:v>
      </x:c>
      <x:c r="R62" s="19">
        <x:f>SUM(L62:P62)</x:f>
        <x:v>5021200.02</x:v>
      </x:c>
      <x:c r="S62" s="37">
        <x:f>IF(K62=0,0,R62/K62)</x:f>
        <x:v>0.333641735543011025</x:v>
      </x:c>
    </x:row>
    <x:row r="63" s="20" customFormat="1">
      <x:c r="A63" s="20">
        <x:v>181</x:v>
      </x:c>
      <x:c r="B63" s="7"/>
      <x:c r="C63" s="8"/>
      <x:c r="D63" s="21"/>
      <x:c r="E63" s="24" t="s">
        <x:v>79</x:v>
      </x:c>
      <x:c r="F63" s="31">
        <x:v>620815008.00</x:v>
      </x:c>
      <x:c r="G63" s="31">
        <x:v>0.00</x:v>
      </x:c>
      <x:c r="H63" s="31">
        <x:v>12730112.00</x:v>
      </x:c>
      <x:c r="I63" s="31">
        <x:v>16383989.00</x:v>
      </x:c>
      <x:c r="J63" s="31">
        <x:v>72089703.00</x:v>
      </x:c>
      <x:c r="K63" s="33">
        <x:f>SUM(F63:J63)</x:f>
        <x:v>722018812.00</x:v>
      </x:c>
      <x:c r="L63" s="31">
        <x:v>332857309.93000001</x:v>
      </x:c>
      <x:c r="M63" s="31"/>
      <x:c r="N63" s="31">
        <x:v>1027729.422618811576517237002223687773</x:v>
      </x:c>
      <x:c r="O63" s="31">
        <x:v>1942414.438651559249009738953469543436</x:v>
      </x:c>
      <x:c r="P63" s="31">
        <x:v>140010249.308729619174473024044163788396</x:v>
      </x:c>
      <x:c r="Q63" s="31">
        <x:f>N63+O63+P63</x:f>
        <x:v>142980393.16999999</x:v>
      </x:c>
      <x:c r="R63" s="19">
        <x:f>SUM(L63:P63)</x:f>
        <x:v>475837703.10000000</x:v>
      </x:c>
      <x:c r="S63" s="37">
        <x:f>IF(K63=0,0,R63/K63)</x:f>
        <x:v>0.659037818948130121</x:v>
      </x:c>
    </x:row>
    <x:row r="64" s="20" customFormat="1">
      <x:c r="A64" s="20">
        <x:v>134</x:v>
      </x:c>
      <x:c r="B64" s="7"/>
      <x:c r="C64" s="8"/>
      <x:c r="D64" s="21"/>
      <x:c r="E64" s="24" t="s">
        <x:v>80</x:v>
      </x:c>
      <x:c r="F64" s="31">
        <x:v>0.00</x:v>
      </x:c>
      <x:c r="G64" s="31">
        <x:v>0.00</x:v>
      </x:c>
      <x:c r="H64" s="31">
        <x:v>0.00</x:v>
      </x:c>
      <x:c r="I64" s="31">
        <x:v>0.00</x:v>
      </x:c>
      <x:c r="J64" s="31">
        <x:v>0.00</x:v>
      </x:c>
      <x:c r="K64" s="33">
        <x:f>SUM(F64:J64)</x:f>
        <x:v>0.00</x:v>
      </x:c>
      <x:c r="L64" s="31"/>
      <x:c r="M64" s="31"/>
      <x:c r="N64" s="31"/>
      <x:c r="O64" s="31"/>
      <x:c r="P64" s="31"/>
      <x:c r="Q64" s="31"/>
      <x:c r="R64" s="19"/>
      <x:c r="S64" s="37"/>
    </x:row>
    <x:row r="65" s="20" customFormat="1">
      <x:c r="A65" s="20">
        <x:v>132</x:v>
      </x:c>
      <x:c r="B65" s="7"/>
      <x:c r="C65" s="8"/>
      <x:c r="D65" s="21"/>
      <x:c r="E65" s="24" t="s">
        <x:v>81</x:v>
      </x:c>
      <x:c r="F65" s="31">
        <x:v>0.00</x:v>
      </x:c>
      <x:c r="G65" s="31">
        <x:v>0.00</x:v>
      </x:c>
      <x:c r="H65" s="31">
        <x:v>0.00</x:v>
      </x:c>
      <x:c r="I65" s="31">
        <x:v>0.00</x:v>
      </x:c>
      <x:c r="J65" s="31">
        <x:v>0.00</x:v>
      </x:c>
      <x:c r="K65" s="33">
        <x:f>SUM(F65:J65)</x:f>
        <x:v>0.00</x:v>
      </x:c>
      <x:c r="L65" s="31"/>
      <x:c r="M65" s="31"/>
      <x:c r="N65" s="31"/>
      <x:c r="O65" s="31"/>
      <x:c r="P65" s="31"/>
      <x:c r="Q65" s="31"/>
      <x:c r="R65" s="19"/>
      <x:c r="S65" s="37"/>
    </x:row>
    <x:row r="66" s="20" customFormat="1">
      <x:c r="A66" s="20">
        <x:v>133</x:v>
      </x:c>
      <x:c r="B66" s="7"/>
      <x:c r="C66" s="8"/>
      <x:c r="D66" s="21"/>
      <x:c r="E66" s="24" t="s">
        <x:v>82</x:v>
      </x:c>
      <x:c r="F66" s="31">
        <x:v>0.00</x:v>
      </x:c>
      <x:c r="G66" s="31">
        <x:v>0.00</x:v>
      </x:c>
      <x:c r="H66" s="31">
        <x:v>0.00</x:v>
      </x:c>
      <x:c r="I66" s="31">
        <x:v>0.00</x:v>
      </x:c>
      <x:c r="J66" s="31">
        <x:v>0.00</x:v>
      </x:c>
      <x:c r="K66" s="33">
        <x:f>SUM(F66:J66)</x:f>
        <x:v>0.00</x:v>
      </x:c>
      <x:c r="L66" s="31"/>
      <x:c r="M66" s="31"/>
      <x:c r="N66" s="31"/>
      <x:c r="O66" s="31"/>
      <x:c r="P66" s="31"/>
      <x:c r="Q66" s="31"/>
      <x:c r="R66" s="19"/>
      <x:c r="S66" s="37"/>
    </x:row>
    <x:row r="67" s="20" customFormat="1">
      <x:c r="A67" s="20">
        <x:v>182</x:v>
      </x:c>
      <x:c r="B67" s="7"/>
      <x:c r="C67" s="8"/>
      <x:c r="D67" s="21"/>
      <x:c r="E67" s="24" t="s">
        <x:v>83</x:v>
      </x:c>
      <x:c r="F67" s="31">
        <x:v>0.00</x:v>
      </x:c>
      <x:c r="G67" s="31">
        <x:v>0.00</x:v>
      </x:c>
      <x:c r="H67" s="31">
        <x:v>0.00</x:v>
      </x:c>
      <x:c r="I67" s="31">
        <x:v>0.00</x:v>
      </x:c>
      <x:c r="J67" s="31">
        <x:v>0.00</x:v>
      </x:c>
      <x:c r="K67" s="33">
        <x:f>SUM(F67:J67)</x:f>
        <x:v>0.00</x:v>
      </x:c>
      <x:c r="L67" s="31"/>
      <x:c r="M67" s="31"/>
      <x:c r="N67" s="31"/>
      <x:c r="O67" s="31"/>
      <x:c r="P67" s="31"/>
      <x:c r="Q67" s="31"/>
      <x:c r="R67" s="19"/>
      <x:c r="S67" s="37"/>
    </x:row>
    <x:row r="68" s="20" customFormat="1">
      <x:c r="A68" s="20">
        <x:v>137</x:v>
      </x:c>
      <x:c r="B68" s="7"/>
      <x:c r="C68" s="8"/>
      <x:c r="D68" s="21"/>
      <x:c r="E68" s="24" t="s">
        <x:v>84</x:v>
      </x:c>
      <x:c r="F68" s="31">
        <x:v>0.00</x:v>
      </x:c>
      <x:c r="G68" s="31">
        <x:v>0.00</x:v>
      </x:c>
      <x:c r="H68" s="31">
        <x:v>0.00</x:v>
      </x:c>
      <x:c r="I68" s="31">
        <x:v>0.00</x:v>
      </x:c>
      <x:c r="J68" s="31">
        <x:v>0.00</x:v>
      </x:c>
      <x:c r="K68" s="33">
        <x:f>SUM(F68:J68)</x:f>
        <x:v>0.00</x:v>
      </x:c>
      <x:c r="L68" s="31"/>
      <x:c r="M68" s="31"/>
      <x:c r="N68" s="31"/>
      <x:c r="O68" s="31"/>
      <x:c r="P68" s="31"/>
      <x:c r="Q68" s="31"/>
      <x:c r="R68" s="19"/>
      <x:c r="S68" s="37"/>
    </x:row>
    <x:row r="69" s="20" customFormat="1">
      <x:c r="A69" s="20">
        <x:v>129</x:v>
      </x:c>
      <x:c r="B69" s="7"/>
      <x:c r="C69" s="8"/>
      <x:c r="D69" s="21"/>
      <x:c r="E69" s="24" t="s">
        <x:v>85</x:v>
      </x:c>
      <x:c r="F69" s="31">
        <x:v>0.00</x:v>
      </x:c>
      <x:c r="G69" s="31">
        <x:v>0.00</x:v>
      </x:c>
      <x:c r="H69" s="31">
        <x:v>0.00</x:v>
      </x:c>
      <x:c r="I69" s="31">
        <x:v>0.00</x:v>
      </x:c>
      <x:c r="J69" s="31">
        <x:v>0.00</x:v>
      </x:c>
      <x:c r="K69" s="33">
        <x:f>SUM(F69:J69)</x:f>
        <x:v>0.00</x:v>
      </x:c>
      <x:c r="L69" s="31"/>
      <x:c r="M69" s="31"/>
      <x:c r="N69" s="31"/>
      <x:c r="O69" s="31"/>
      <x:c r="P69" s="31"/>
      <x:c r="Q69" s="31"/>
      <x:c r="R69" s="19"/>
      <x:c r="S69" s="37"/>
    </x:row>
    <x:row r="70" s="20" customFormat="1">
      <x:c r="A70" s="20">
        <x:v>5</x:v>
      </x:c>
      <x:c r="B70" s="7"/>
      <x:c r="C70" s="8"/>
      <x:c r="D70" s="21"/>
      <x:c r="E70" s="24" t="s">
        <x:v>86</x:v>
      </x:c>
      <x:c r="F70" s="31">
        <x:v>0.00</x:v>
      </x:c>
      <x:c r="G70" s="31">
        <x:v>0.00</x:v>
      </x:c>
      <x:c r="H70" s="31">
        <x:v>0.00</x:v>
      </x:c>
      <x:c r="I70" s="31">
        <x:v>0.00</x:v>
      </x:c>
      <x:c r="J70" s="31">
        <x:v>0.00</x:v>
      </x:c>
      <x:c r="K70" s="33">
        <x:f>SUM(F70:J70)</x:f>
        <x:v>0.00</x:v>
      </x:c>
      <x:c r="L70" s="31"/>
      <x:c r="M70" s="31"/>
      <x:c r="N70" s="31"/>
      <x:c r="O70" s="31"/>
      <x:c r="P70" s="31"/>
      <x:c r="Q70" s="31"/>
      <x:c r="R70" s="19"/>
      <x:c r="S70" s="37"/>
    </x:row>
    <x:row r="71" s="20" customFormat="1">
      <x:c r="A71" s="20">
        <x:v>183</x:v>
      </x:c>
      <x:c r="B71" s="7"/>
      <x:c r="C71" s="8"/>
      <x:c r="D71" s="21"/>
      <x:c r="E71" s="24" t="s">
        <x:v>87</x:v>
      </x:c>
      <x:c r="F71" s="31">
        <x:v>88305142.00</x:v>
      </x:c>
      <x:c r="G71" s="31">
        <x:v>0.00</x:v>
      </x:c>
      <x:c r="H71" s="31">
        <x:v>1810740.00</x:v>
      </x:c>
      <x:c r="I71" s="31">
        <x:v>2330470.00</x:v>
      </x:c>
      <x:c r="J71" s="31">
        <x:v>10254088.00</x:v>
      </x:c>
      <x:c r="K71" s="33">
        <x:f>SUM(F71:J71)</x:f>
        <x:v>102700440.00</x:v>
      </x:c>
      <x:c r="L71" s="31">
        <x:v>24192676.239999998</x:v>
      </x:c>
      <x:c r="M71" s="31"/>
      <x:c r="N71" s="31">
        <x:v>69847.642308466061308507146029488843</x:v>
      </x:c>
      <x:c r="O71" s="31">
        <x:v>132012.440181014082379692444427633501</x:v>
      </x:c>
      <x:c r="P71" s="31">
        <x:v>9515525.777510519256311800409533160268</x:v>
      </x:c>
      <x:c r="Q71" s="31">
        <x:f>N71+O71+P71</x:f>
        <x:v>9717385.8599999994</x:v>
      </x:c>
      <x:c r="R71" s="19">
        <x:f>SUM(L71:P71)</x:f>
        <x:v>33910062.0999999974</x:v>
      </x:c>
      <x:c r="S71" s="37">
        <x:f>IF(K71=0,0,R71/K71)</x:f>
        <x:v>0.330184194926526092</x:v>
      </x:c>
    </x:row>
    <x:row r="72" s="20" customFormat="1">
      <x:c r="A72" s="20">
        <x:v>184</x:v>
      </x:c>
      <x:c r="B72" s="7"/>
      <x:c r="C72" s="8"/>
      <x:c r="D72" s="21"/>
      <x:c r="E72" s="24" t="s">
        <x:v>88</x:v>
      </x:c>
      <x:c r="F72" s="31">
        <x:v>8323041.00</x:v>
      </x:c>
      <x:c r="G72" s="31">
        <x:v>0.00</x:v>
      </x:c>
      <x:c r="H72" s="31">
        <x:v>170668.00</x:v>
      </x:c>
      <x:c r="I72" s="31">
        <x:v>219654.00</x:v>
      </x:c>
      <x:c r="J72" s="31">
        <x:v>966480.00</x:v>
      </x:c>
      <x:c r="K72" s="33">
        <x:f>SUM(F72:J72)</x:f>
        <x:v>9679843.00</x:v>
      </x:c>
      <x:c r="L72" s="31">
        <x:v>9218749.2400000002</x:v>
      </x:c>
      <x:c r="M72" s="31"/>
      <x:c r="N72" s="31">
        <x:v>26385.523721320681853641823590207870</x:v>
      </x:c>
      <x:c r="O72" s="31">
        <x:v>49868.789507922765907451954527886965</x:v>
      </x:c>
      <x:c r="P72" s="31">
        <x:v>3594568.446770756552238906221878234341</x:v>
      </x:c>
      <x:c r="Q72" s="31">
        <x:f>N72+O72+P72</x:f>
        <x:v>3670822.76</x:v>
      </x:c>
      <x:c r="R72" s="19">
        <x:f>SUM(L72:P72)</x:f>
        <x:v>12889572.0000000002</x:v>
      </x:c>
      <x:c r="S72" s="37">
        <x:f>IF(K72=0,0,R72/K72)</x:f>
        <x:v>1.331588952424125081</x:v>
      </x:c>
    </x:row>
    <x:row r="73" s="20" customFormat="1">
      <x:c r="A73" s="20">
        <x:v>185</x:v>
      </x:c>
      <x:c r="B73" s="7"/>
      <x:c r="C73" s="8"/>
      <x:c r="D73" s="21"/>
      <x:c r="E73" s="24" t="s">
        <x:v>89</x:v>
      </x:c>
      <x:c r="F73" s="31">
        <x:v>46865884.00</x:v>
      </x:c>
      <x:c r="G73" s="31">
        <x:v>0.00</x:v>
      </x:c>
      <x:c r="H73" s="31">
        <x:v>961008.00</x:v>
      </x:c>
      <x:c r="I73" s="31">
        <x:v>1236842.00</x:v>
      </x:c>
      <x:c r="J73" s="31">
        <x:v>5442117.00</x:v>
      </x:c>
      <x:c r="K73" s="33">
        <x:f>SUM(F73:J73)</x:f>
        <x:v>54505851.00</x:v>
      </x:c>
      <x:c r="L73" s="31">
        <x:v>41098260.00</x:v>
      </x:c>
      <x:c r="M73" s="31"/>
      <x:c r="N73" s="31">
        <x:v>124363.256151905000734611573805225920</x:v>
      </x:c>
      <x:c r="O73" s="31">
        <x:v>235047.259590601327701149422897585780</x:v>
      </x:c>
      <x:c r="P73" s="31">
        <x:v>16942329.484257493671564239003279886560</x:v>
      </x:c>
      <x:c r="Q73" s="31">
        <x:f>N73+O73+P73</x:f>
        <x:v>17301740.00</x:v>
      </x:c>
      <x:c r="R73" s="19">
        <x:f>SUM(L73:P73)</x:f>
        <x:v>58400000.00</x:v>
      </x:c>
      <x:c r="S73" s="37">
        <x:f>IF(K73=0,0,R73/K73)</x:f>
        <x:v>1.071444605093864143</x:v>
      </x:c>
    </x:row>
    <x:row r="74" s="20" customFormat="1">
      <x:c r="A74" s="20">
        <x:v>186</x:v>
      </x:c>
      <x:c r="B74" s="7"/>
      <x:c r="C74" s="8"/>
      <x:c r="D74" s="21"/>
      <x:c r="E74" s="24" t="s">
        <x:v>90</x:v>
      </x:c>
      <x:c r="F74" s="31">
        <x:v>0.00</x:v>
      </x:c>
      <x:c r="G74" s="31">
        <x:v>0.00</x:v>
      </x:c>
      <x:c r="H74" s="31">
        <x:v>0.00</x:v>
      </x:c>
      <x:c r="I74" s="31">
        <x:v>0.00</x:v>
      </x:c>
      <x:c r="J74" s="31">
        <x:v>0.00</x:v>
      </x:c>
      <x:c r="K74" s="33">
        <x:f>SUM(F74:J74)</x:f>
        <x:v>0.00</x:v>
      </x:c>
      <x:c r="L74" s="31"/>
      <x:c r="M74" s="31"/>
      <x:c r="N74" s="31"/>
      <x:c r="O74" s="31"/>
      <x:c r="P74" s="31"/>
      <x:c r="Q74" s="31"/>
      <x:c r="R74" s="19"/>
      <x:c r="S74" s="37"/>
    </x:row>
    <x:row r="75" s="20" customFormat="1">
      <x:c r="A75" s="20">
        <x:v>187</x:v>
      </x:c>
      <x:c r="B75" s="7"/>
      <x:c r="C75" s="8"/>
      <x:c r="D75" s="21"/>
      <x:c r="E75" s="24" t="s">
        <x:v>91</x:v>
      </x:c>
      <x:c r="F75" s="31">
        <x:v>0.00</x:v>
      </x:c>
      <x:c r="G75" s="31">
        <x:v>0.00</x:v>
      </x:c>
      <x:c r="H75" s="31">
        <x:v>0.00</x:v>
      </x:c>
      <x:c r="I75" s="31">
        <x:v>0.00</x:v>
      </x:c>
      <x:c r="J75" s="31">
        <x:v>0.00</x:v>
      </x:c>
      <x:c r="K75" s="33">
        <x:f>SUM(F75:J75)</x:f>
        <x:v>0.00</x:v>
      </x:c>
      <x:c r="L75" s="31"/>
      <x:c r="M75" s="31"/>
      <x:c r="N75" s="31"/>
      <x:c r="O75" s="31"/>
      <x:c r="P75" s="31"/>
      <x:c r="Q75" s="31"/>
      <x:c r="R75" s="19"/>
      <x:c r="S75" s="37"/>
    </x:row>
    <x:row r="76" s="20" customFormat="1">
      <x:c r="A76" s="20">
        <x:v>188</x:v>
      </x:c>
      <x:c r="B76" s="7"/>
      <x:c r="C76" s="8"/>
      <x:c r="D76" s="21"/>
      <x:c r="E76" s="24" t="s">
        <x:v>92</x:v>
      </x:c>
      <x:c r="F76" s="31">
        <x:v>0.00</x:v>
      </x:c>
      <x:c r="G76" s="31">
        <x:v>0.00</x:v>
      </x:c>
      <x:c r="H76" s="31">
        <x:v>0.00</x:v>
      </x:c>
      <x:c r="I76" s="31">
        <x:v>0.00</x:v>
      </x:c>
      <x:c r="J76" s="31">
        <x:v>0.00</x:v>
      </x:c>
      <x:c r="K76" s="33">
        <x:f>SUM(F76:J76)</x:f>
        <x:v>0.00</x:v>
      </x:c>
      <x:c r="L76" s="31"/>
      <x:c r="M76" s="31"/>
      <x:c r="N76" s="31"/>
      <x:c r="O76" s="31"/>
      <x:c r="P76" s="31"/>
      <x:c r="Q76" s="31"/>
      <x:c r="R76" s="19"/>
      <x:c r="S76" s="37"/>
    </x:row>
    <x:row r="77" s="20" customFormat="1">
      <x:c r="A77" s="20">
        <x:v>189</x:v>
      </x:c>
      <x:c r="B77" s="7"/>
      <x:c r="C77" s="8"/>
      <x:c r="D77" s="21"/>
      <x:c r="E77" s="24" t="s">
        <x:v>93</x:v>
      </x:c>
      <x:c r="F77" s="31">
        <x:v>61078696.00</x:v>
      </x:c>
      <x:c r="G77" s="31">
        <x:v>0.00</x:v>
      </x:c>
      <x:c r="H77" s="31">
        <x:v>1252448.00</x:v>
      </x:c>
      <x:c r="I77" s="31">
        <x:v>1611934.00</x:v>
      </x:c>
      <x:c r="J77" s="31">
        <x:v>7092524.00</x:v>
      </x:c>
      <x:c r="K77" s="33">
        <x:f>SUM(F77:J77)</x:f>
        <x:v>71035602.00</x:v>
      </x:c>
      <x:c r="L77" s="31">
        <x:v>24349065.43</x:v>
      </x:c>
      <x:c r="M77" s="31"/>
      <x:c r="N77" s="31">
        <x:v>79035.298922415781594414347991302838</x:v>
      </x:c>
      <x:c r="O77" s="31">
        <x:v>149377.163299316459680252077506087460</x:v>
      </x:c>
      <x:c r="P77" s="31">
        <x:v>10767184.107778267758725333574491614104</x:v>
      </x:c>
      <x:c r="Q77" s="31">
        <x:f>N77+O77+P77</x:f>
        <x:v>10995596.57</x:v>
      </x:c>
      <x:c r="R77" s="19">
        <x:f>SUM(L77:P77)</x:f>
        <x:v>35344662.00</x:v>
      </x:c>
      <x:c r="S77" s="37">
        <x:f>IF(K77=0,0,R77/K77)</x:f>
        <x:v>0.497562644714406728</x:v>
      </x:c>
    </x:row>
    <x:row r="78" s="20" customFormat="1">
      <x:c r="A78" s="20">
        <x:v>190</x:v>
      </x:c>
      <x:c r="B78" s="7"/>
      <x:c r="C78" s="8"/>
      <x:c r="D78" s="21"/>
      <x:c r="E78" s="24" t="s">
        <x:v>94</x:v>
      </x:c>
      <x:c r="F78" s="31">
        <x:v>29441016.00</x:v>
      </x:c>
      <x:c r="G78" s="31">
        <x:v>0.00</x:v>
      </x:c>
      <x:c r="H78" s="31">
        <x:v>603702.00</x:v>
      </x:c>
      <x:c r="I78" s="31">
        <x:v>776981.00</x:v>
      </x:c>
      <x:c r="J78" s="31">
        <x:v>3418722.00</x:v>
      </x:c>
      <x:c r="K78" s="33">
        <x:f>SUM(F78:J78)</x:f>
        <x:v>34240421.00</x:v>
      </x:c>
      <x:c r="L78" s="31">
        <x:v>9120261.9000000004</x:v>
      </x:c>
      <x:c r="M78" s="31"/>
      <x:c r="N78" s="31">
        <x:v>28787.774334237760093536342563842296</x:v>
      </x:c>
      <x:c r="O78" s="31">
        <x:v>54409.056793352413477204824331278167</x:v>
      </x:c>
      <x:c r="P78" s="31">
        <x:v>3921833.288872409826429258833100874505</x:v>
      </x:c>
      <x:c r="Q78" s="31">
        <x:f>N78+O78+P78</x:f>
        <x:v>4005030.12</x:v>
      </x:c>
      <x:c r="R78" s="19">
        <x:f>SUM(L78:P78)</x:f>
        <x:v>13125292.0200000004</x:v>
      </x:c>
      <x:c r="S78" s="37">
        <x:f>IF(K78=0,0,R78/K78)</x:f>
        <x:v>0.383327413526837196</x:v>
      </x:c>
    </x:row>
    <x:row r="79" s="20" customFormat="1">
      <x:c r="A79" s="20">
        <x:v>192</x:v>
      </x:c>
      <x:c r="B79" s="7"/>
      <x:c r="C79" s="8"/>
      <x:c r="D79" s="21"/>
      <x:c r="E79" s="24" t="s">
        <x:v>95</x:v>
      </x:c>
      <x:c r="F79" s="31">
        <x:v>6515788.00</x:v>
      </x:c>
      <x:c r="G79" s="31">
        <x:v>0.00</x:v>
      </x:c>
      <x:c r="H79" s="31">
        <x:v>133609.00</x:v>
      </x:c>
      <x:c r="I79" s="31">
        <x:v>171959.00</x:v>
      </x:c>
      <x:c r="J79" s="31">
        <x:v>756620.00</x:v>
      </x:c>
      <x:c r="K79" s="33">
        <x:f>SUM(F79:J79)</x:f>
        <x:v>7577976.00</x:v>
      </x:c>
      <x:c r="L79" s="31">
        <x:v>1620975.24</x:v>
      </x:c>
      <x:c r="M79" s="31"/>
      <x:c r="N79" s="31">
        <x:v>5116.528451077654657318553348803486</x:v>
      </x:c>
      <x:c r="O79" s="31">
        <x:v>9670.267796576384129373810939143259</x:v>
      </x:c>
      <x:c r="P79" s="31">
        <x:v>697037.963752345961213307635711341429</x:v>
      </x:c>
      <x:c r="Q79" s="31">
        <x:f>N79+O79+P79</x:f>
        <x:v>711824.76</x:v>
      </x:c>
      <x:c r="R79" s="19">
        <x:f>SUM(L79:P79)</x:f>
        <x:v>2332800.00</x:v>
      </x:c>
      <x:c r="S79" s="37">
        <x:f>IF(K79=0,0,R79/K79)</x:f>
        <x:v>0.307839454756784661</x:v>
      </x:c>
    </x:row>
    <x:row r="80" s="20" customFormat="1">
      <x:c r="A80" s="20">
        <x:v>193</x:v>
      </x:c>
      <x:c r="B80" s="7"/>
      <x:c r="C80" s="8"/>
      <x:c r="D80" s="21"/>
      <x:c r="E80" s="24" t="s">
        <x:v>96</x:v>
      </x:c>
      <x:c r="F80" s="31">
        <x:v>32673799.00</x:v>
      </x:c>
      <x:c r="G80" s="31">
        <x:v>0.00</x:v>
      </x:c>
      <x:c r="H80" s="31">
        <x:v>669992.00</x:v>
      </x:c>
      <x:c r="I80" s="31">
        <x:v>862297.00</x:v>
      </x:c>
      <x:c r="J80" s="31">
        <x:v>3794117.00</x:v>
      </x:c>
      <x:c r="K80" s="33">
        <x:f>SUM(F80:J80)</x:f>
        <x:v>38000205.00</x:v>
      </x:c>
      <x:c r="L80" s="31">
        <x:v>48055617.640000001</x:v>
      </x:c>
      <x:c r="M80" s="31"/>
      <x:c r="N80" s="31">
        <x:v>143754.651211543356492756567886926328</x:v>
      </x:c>
      <x:c r="O80" s="31">
        <x:v>271697.106253022467078847008879150988</x:v>
      </x:c>
      <x:c r="P80" s="31">
        <x:v>19584069.612535435176428396423213923161</x:v>
      </x:c>
      <x:c r="Q80" s="31">
        <x:f>N80+O80+P80</x:f>
        <x:v>19999521.370000001</x:v>
      </x:c>
      <x:c r="R80" s="19">
        <x:f>SUM(L80:P80)</x:f>
        <x:v>68055139.010000002</x:v>
      </x:c>
      <x:c r="S80" s="37">
        <x:f>IF(K80=0,0,R80/K80)</x:f>
        <x:v>1.790915049274076337</x:v>
      </x:c>
    </x:row>
    <x:row r="81" s="20" customFormat="1">
      <x:c r="A81" s="20">
        <x:v>204</x:v>
      </x:c>
      <x:c r="B81" s="7"/>
      <x:c r="C81" s="8"/>
      <x:c r="D81" s="21"/>
      <x:c r="E81" s="24" t="s">
        <x:v>97</x:v>
      </x:c>
      <x:c r="F81" s="31">
        <x:v>178466894.00</x:v>
      </x:c>
      <x:c r="G81" s="31">
        <x:v>0.00</x:v>
      </x:c>
      <x:c r="H81" s="31">
        <x:v>3659550.00</x:v>
      </x:c>
      <x:c r="I81" s="31">
        <x:v>4709937.00</x:v>
      </x:c>
      <x:c r="J81" s="31">
        <x:v>20723767.00</x:v>
      </x:c>
      <x:c r="K81" s="33">
        <x:f>SUM(F81:J81)</x:f>
        <x:v>207560148.00</x:v>
      </x:c>
      <x:c r="L81" s="31">
        <x:v>17321432.859999999</x:v>
      </x:c>
      <x:c r="M81" s="31"/>
      <x:c r="N81" s="31">
        <x:v>57076.182654943531576937947875845873</x:v>
      </x:c>
      <x:c r="O81" s="31">
        <x:v>107874.308988423736404344013578899744</x:v>
      </x:c>
      <x:c r="P81" s="31">
        <x:v>7775636.648356632432018718038537313794</x:v>
      </x:c>
      <x:c r="Q81" s="31">
        <x:f>N81+O81+P81</x:f>
        <x:v>7940587.1399999997</x:v>
      </x:c>
      <x:c r="R81" s="19">
        <x:f>SUM(L81:P81)</x:f>
        <x:v>25262019.9999999987</x:v>
      </x:c>
      <x:c r="S81" s="37">
        <x:f>IF(K81=0,0,R81/K81)</x:f>
        <x:v>0.121709394811185038</x:v>
      </x:c>
    </x:row>
    <x:row r="82" s="20" customFormat="1">
      <x:c r="A82" s="20">
        <x:v>194</x:v>
      </x:c>
      <x:c r="B82" s="7"/>
      <x:c r="C82" s="8"/>
      <x:c r="D82" s="21"/>
      <x:c r="E82" s="24" t="s">
        <x:v>98</x:v>
      </x:c>
      <x:c r="F82" s="31">
        <x:v>0.00</x:v>
      </x:c>
      <x:c r="G82" s="31">
        <x:v>0.00</x:v>
      </x:c>
      <x:c r="H82" s="31">
        <x:v>0.00</x:v>
      </x:c>
      <x:c r="I82" s="31">
        <x:v>0.00</x:v>
      </x:c>
      <x:c r="J82" s="31">
        <x:v>0.00</x:v>
      </x:c>
      <x:c r="K82" s="33">
        <x:f>SUM(F82:J82)</x:f>
        <x:v>0.00</x:v>
      </x:c>
      <x:c r="L82" s="31"/>
      <x:c r="M82" s="31"/>
      <x:c r="N82" s="31"/>
      <x:c r="O82" s="31"/>
      <x:c r="P82" s="31"/>
      <x:c r="Q82" s="31"/>
      <x:c r="R82" s="19"/>
      <x:c r="S82" s="37"/>
    </x:row>
    <x:row r="83" s="20" customFormat="1">
      <x:c r="A83" s="20">
        <x:v>195</x:v>
      </x:c>
      <x:c r="B83" s="7"/>
      <x:c r="C83" s="8"/>
      <x:c r="D83" s="21"/>
      <x:c r="E83" s="24" t="s">
        <x:v>99</x:v>
      </x:c>
      <x:c r="F83" s="31">
        <x:v>0.00</x:v>
      </x:c>
      <x:c r="G83" s="31">
        <x:v>0.00</x:v>
      </x:c>
      <x:c r="H83" s="31">
        <x:v>0.00</x:v>
      </x:c>
      <x:c r="I83" s="31">
        <x:v>0.00</x:v>
      </x:c>
      <x:c r="J83" s="31">
        <x:v>0.00</x:v>
      </x:c>
      <x:c r="K83" s="33">
        <x:f>SUM(F83:J83)</x:f>
        <x:v>0.00</x:v>
      </x:c>
      <x:c r="L83" s="31"/>
      <x:c r="M83" s="31"/>
      <x:c r="N83" s="31"/>
      <x:c r="O83" s="31"/>
      <x:c r="P83" s="31"/>
      <x:c r="Q83" s="31"/>
      <x:c r="R83" s="19"/>
      <x:c r="S83" s="37"/>
    </x:row>
    <x:row r="84" s="20" customFormat="1">
      <x:c r="A84" s="20">
        <x:v>196</x:v>
      </x:c>
      <x:c r="B84" s="7"/>
      <x:c r="C84" s="8"/>
      <x:c r="D84" s="21"/>
      <x:c r="E84" s="24" t="s">
        <x:v>100</x:v>
      </x:c>
      <x:c r="F84" s="31">
        <x:v>0.00</x:v>
      </x:c>
      <x:c r="G84" s="31">
        <x:v>0.00</x:v>
      </x:c>
      <x:c r="H84" s="31">
        <x:v>0.00</x:v>
      </x:c>
      <x:c r="I84" s="31">
        <x:v>0.00</x:v>
      </x:c>
      <x:c r="J84" s="31">
        <x:v>0.00</x:v>
      </x:c>
      <x:c r="K84" s="33">
        <x:f>SUM(F84:J84)</x:f>
        <x:v>0.00</x:v>
      </x:c>
      <x:c r="L84" s="31"/>
      <x:c r="M84" s="31"/>
      <x:c r="N84" s="31"/>
      <x:c r="O84" s="31"/>
      <x:c r="P84" s="31"/>
      <x:c r="Q84" s="31"/>
      <x:c r="R84" s="19"/>
      <x:c r="S84" s="37"/>
    </x:row>
    <x:row r="85" s="20" customFormat="1">
      <x:c r="A85" s="20">
        <x:v>197</x:v>
      </x:c>
      <x:c r="B85" s="7"/>
      <x:c r="C85" s="8"/>
      <x:c r="D85" s="21"/>
      <x:c r="E85" s="24" t="s">
        <x:v>101</x:v>
      </x:c>
      <x:c r="F85" s="31">
        <x:v>0.00</x:v>
      </x:c>
      <x:c r="G85" s="31">
        <x:v>0.00</x:v>
      </x:c>
      <x:c r="H85" s="31">
        <x:v>0.00</x:v>
      </x:c>
      <x:c r="I85" s="31">
        <x:v>0.00</x:v>
      </x:c>
      <x:c r="J85" s="31">
        <x:v>0.00</x:v>
      </x:c>
      <x:c r="K85" s="33">
        <x:f>SUM(F85:J85)</x:f>
        <x:v>0.00</x:v>
      </x:c>
      <x:c r="L85" s="31"/>
      <x:c r="M85" s="31"/>
      <x:c r="N85" s="31"/>
      <x:c r="O85" s="31"/>
      <x:c r="P85" s="31"/>
      <x:c r="Q85" s="31"/>
      <x:c r="R85" s="19"/>
      <x:c r="S85" s="37"/>
    </x:row>
    <x:row r="86" s="20" customFormat="1">
      <x:c r="A86" s="20">
        <x:v>198</x:v>
      </x:c>
      <x:c r="B86" s="7"/>
      <x:c r="C86" s="8"/>
      <x:c r="D86" s="21"/>
      <x:c r="E86" s="24" t="s">
        <x:v>102</x:v>
      </x:c>
      <x:c r="F86" s="31">
        <x:v>0.00</x:v>
      </x:c>
      <x:c r="G86" s="31">
        <x:v>0.00</x:v>
      </x:c>
      <x:c r="H86" s="31">
        <x:v>0.00</x:v>
      </x:c>
      <x:c r="I86" s="31">
        <x:v>0.00</x:v>
      </x:c>
      <x:c r="J86" s="31">
        <x:v>0.00</x:v>
      </x:c>
      <x:c r="K86" s="33">
        <x:f>SUM(F86:J86)</x:f>
        <x:v>0.00</x:v>
      </x:c>
      <x:c r="L86" s="31"/>
      <x:c r="M86" s="31"/>
      <x:c r="N86" s="31"/>
      <x:c r="O86" s="31"/>
      <x:c r="P86" s="31"/>
      <x:c r="Q86" s="31"/>
      <x:c r="R86" s="19"/>
      <x:c r="S86" s="37"/>
    </x:row>
    <x:row r="87" s="28" customFormat="1">
      <x:c r="A87" s="28">
        <x:v>202</x:v>
      </x:c>
      <x:c r="B87" s="7"/>
      <x:c r="C87" s="8"/>
      <x:c r="D87" s="59"/>
      <x:c r="E87" s="60" t="s">
        <x:v>103</x:v>
      </x:c>
      <x:c r="F87" s="61">
        <x:v>35708449.00</x:v>
      </x:c>
      <x:c r="G87" s="61">
        <x:v>0.00</x:v>
      </x:c>
      <x:c r="H87" s="61">
        <x:v>732219.00</x:v>
      </x:c>
      <x:c r="I87" s="61">
        <x:v>942385.00</x:v>
      </x:c>
      <x:c r="J87" s="61">
        <x:v>4146503.00</x:v>
      </x:c>
      <x:c r="K87" s="64">
        <x:f>SUM(F87:J87)</x:f>
        <x:v>41529556.00</x:v>
      </x:c>
      <x:c r="L87" s="61">
        <x:v>2774283.27</x:v>
      </x:c>
      <x:c r="M87" s="61"/>
      <x:c r="N87" s="61">
        <x:v>6173.545543145892032627527067491911</x:v>
      </x:c>
      <x:c r="O87" s="61">
        <x:v>11668.036096624708201233213366281905</x:v>
      </x:c>
      <x:c r="P87" s="61">
        <x:v>841038.148360229399766139259565367303</x:v>
      </x:c>
      <x:c r="Q87" s="61">
        <x:f>N87+O87+P87</x:f>
        <x:v>858879.73</x:v>
      </x:c>
      <x:c r="R87" s="62">
        <x:f>SUM(L87:P87)</x:f>
        <x:v>3633163.00</x:v>
      </x:c>
      <x:c r="S87" s="65">
        <x:v>0.087483791061960787</x:v>
      </x:c>
    </x:row>
    <x:row r="88" s="20" customFormat="1">
      <x:c r="A88" s="20">
        <x:v>203</x:v>
      </x:c>
      <x:c r="B88" s="7"/>
      <x:c r="C88" s="8"/>
      <x:c r="D88" s="21"/>
      <x:c r="E88" s="24" t="s">
        <x:v>104</x:v>
      </x:c>
      <x:c r="F88" s="31">
        <x:v>3069279.00</x:v>
      </x:c>
      <x:c r="G88" s="31">
        <x:v>0.00</x:v>
      </x:c>
      <x:c r="H88" s="31">
        <x:v>62937.00</x:v>
      </x:c>
      <x:c r="I88" s="31">
        <x:v>81002.00</x:v>
      </x:c>
      <x:c r="J88" s="31">
        <x:v>356408.00</x:v>
      </x:c>
      <x:c r="K88" s="33">
        <x:f>SUM(F88:J88)</x:f>
        <x:v>3569626.00</x:v>
      </x:c>
      <x:c r="L88" s="31">
        <x:v>1909000.00</x:v>
      </x:c>
      <x:c r="M88" s="31"/>
      <x:c r="N88" s="31">
        <x:v>4248.051605548104146412756180528000</x:v>
      </x:c>
      <x:c r="O88" s="31">
        <x:v>8028.841632000329716628461006377000</x:v>
      </x:c>
      <x:c r="P88" s="31">
        <x:v>578723.106762451566136958782812504000</x:v>
      </x:c>
      <x:c r="Q88" s="31">
        <x:f>N88+O88+P88</x:f>
        <x:v>591000.00</x:v>
      </x:c>
      <x:c r="R88" s="19">
        <x:f>SUM(L88:P88)</x:f>
        <x:v>2500000.00</x:v>
      </x:c>
      <x:c r="S88" s="37">
        <x:f>IF(K88=0,0,R88/K88)</x:f>
        <x:v>0.700353482409641794</x:v>
      </x:c>
    </x:row>
    <x:row r="89" s="20" customFormat="1">
      <x:c r="A89" s="20">
        <x:v>205</x:v>
      </x:c>
      <x:c r="B89" s="7"/>
      <x:c r="C89" s="8"/>
      <x:c r="D89" s="21"/>
      <x:c r="E89" s="24" t="s">
        <x:v>105</x:v>
      </x:c>
      <x:c r="F89" s="31">
        <x:v>37159693.00</x:v>
      </x:c>
      <x:c r="G89" s="31">
        <x:v>0.00</x:v>
      </x:c>
      <x:c r="H89" s="31">
        <x:v>761977.00</x:v>
      </x:c>
      <x:c r="I89" s="31">
        <x:v>980685.00</x:v>
      </x:c>
      <x:c r="J89" s="31">
        <x:v>4315023.00</x:v>
      </x:c>
      <x:c r="K89" s="33">
        <x:f>SUM(F89:J89)</x:f>
        <x:v>43217378.00</x:v>
      </x:c>
      <x:c r="L89" s="31">
        <x:v>9900346.7899999991</x:v>
      </x:c>
      <x:c r="M89" s="31"/>
      <x:c r="N89" s="31">
        <x:v>28888.470336381191380027830683099611</x:v>
      </x:c>
      <x:c r="O89" s="31">
        <x:v>54599.372808612040379116706914695808</x:v>
      </x:c>
      <x:c r="P89" s="31">
        <x:v>3935551.366855006768240855462398185540</x:v>
      </x:c>
      <x:c r="Q89" s="31">
        <x:f>N89+O89+P89</x:f>
        <x:v>4019039.21</x:v>
      </x:c>
      <x:c r="R89" s="19">
        <x:f>SUM(L89:P89)</x:f>
        <x:v>13919385.9999999991</x:v>
      </x:c>
      <x:c r="S89" s="37">
        <x:f>IF(K89=0,0,R89/K89)</x:f>
        <x:v>0.322078447239441483</x:v>
      </x:c>
    </x:row>
    <x:row r="90" s="20" customFormat="1">
      <x:c r="A90" s="20">
        <x:v>206</x:v>
      </x:c>
      <x:c r="B90" s="7"/>
      <x:c r="C90" s="8"/>
      <x:c r="D90" s="21"/>
      <x:c r="E90" s="24" t="s">
        <x:v>106</x:v>
      </x:c>
      <x:c r="F90" s="31">
        <x:v>0.00</x:v>
      </x:c>
      <x:c r="G90" s="31">
        <x:v>0.00</x:v>
      </x:c>
      <x:c r="H90" s="31">
        <x:v>0.00</x:v>
      </x:c>
      <x:c r="I90" s="31">
        <x:v>0.00</x:v>
      </x:c>
      <x:c r="J90" s="31">
        <x:v>0.00</x:v>
      </x:c>
      <x:c r="K90" s="33">
        <x:f>SUM(F90:J90)</x:f>
        <x:v>0.00</x:v>
      </x:c>
      <x:c r="L90" s="31">
        <x:v>-176088.87</x:v>
      </x:c>
      <x:c r="M90" s="31"/>
      <x:c r="N90" s="31">
        <x:v>1265.709994792980354964698459246516</x:v>
      </x:c>
      <x:c r="O90" s="31">
        <x:v>2392.199070030277325598182586213178</x:v>
      </x:c>
      <x:c r="P90" s="31">
        <x:v>172430.960935176742319437118954364215</x:v>
      </x:c>
      <x:c r="Q90" s="31">
        <x:f>N90+O90+P90</x:f>
        <x:v>176088.87</x:v>
      </x:c>
      <x:c r="R90" s="19">
        <x:f>SUM(L90:P90)</x:f>
        <x:v>0.00</x:v>
      </x:c>
      <x:c r="S90" s="37">
        <x:f>IF(K90=0,0,R90/K90)</x:f>
        <x:v>0.00</x:v>
      </x:c>
    </x:row>
    <x:row r="91" s="20" customFormat="1">
      <x:c r="A91" s="20">
        <x:v>244</x:v>
      </x:c>
      <x:c r="B91" s="7"/>
      <x:c r="C91" s="8"/>
      <x:c r="D91" s="21"/>
      <x:c r="E91" s="24" t="s">
        <x:v>107</x:v>
      </x:c>
      <x:c r="F91" s="31">
        <x:v>7050757.00</x:v>
      </x:c>
      <x:c r="G91" s="31">
        <x:v>0.00</x:v>
      </x:c>
      <x:c r="H91" s="31">
        <x:v>144579.00</x:v>
      </x:c>
      <x:c r="I91" s="31">
        <x:v>186077.00</x:v>
      </x:c>
      <x:c r="J91" s="31">
        <x:v>818741.00</x:v>
      </x:c>
      <x:c r="K91" s="33">
        <x:f>SUM(F91:J91)</x:f>
        <x:v>8200154.00</x:v>
      </x:c>
      <x:c r="L91" s="31">
        <x:v>1199274.00</x:v>
      </x:c>
      <x:c r="M91" s="31"/>
      <x:c r="N91" s="31">
        <x:v>5604.596084919798737167229654176608</x:v>
      </x:c>
      <x:c r="O91" s="31">
        <x:v>10592.718393152435006138482887746722</x:v>
      </x:c>
      <x:c r="P91" s="31">
        <x:v>763528.685521927766256694287457296944</x:v>
      </x:c>
      <x:c r="Q91" s="31">
        <x:f>N91+O91+P91</x:f>
        <x:v>779726.00</x:v>
      </x:c>
      <x:c r="R91" s="19">
        <x:f>SUM(L91:P91)</x:f>
        <x:v>1979000.00</x:v>
      </x:c>
      <x:c r="S91" s="37">
        <x:f>IF(K91=0,0,R91/K91)</x:f>
        <x:v>0.241336930989344834</x:v>
      </x:c>
    </x:row>
    <x:row r="92" s="20" customFormat="1">
      <x:c r="A92" s="20">
        <x:v>213</x:v>
      </x:c>
      <x:c r="B92" s="7"/>
      <x:c r="C92" s="8"/>
      <x:c r="D92" s="21"/>
      <x:c r="E92" s="24" t="s">
        <x:v>108</x:v>
      </x:c>
      <x:c r="F92" s="31">
        <x:v>0.00</x:v>
      </x:c>
      <x:c r="G92" s="31">
        <x:v>0.00</x:v>
      </x:c>
      <x:c r="H92" s="31">
        <x:v>0.00</x:v>
      </x:c>
      <x:c r="I92" s="31">
        <x:v>0.00</x:v>
      </x:c>
      <x:c r="J92" s="31">
        <x:v>0.00</x:v>
      </x:c>
      <x:c r="K92" s="33">
        <x:f>SUM(F92:J92)</x:f>
        <x:v>0.00</x:v>
      </x:c>
      <x:c r="L92" s="31"/>
      <x:c r="M92" s="31"/>
      <x:c r="N92" s="31"/>
      <x:c r="O92" s="31"/>
      <x:c r="P92" s="31"/>
      <x:c r="Q92" s="31"/>
      <x:c r="R92" s="19"/>
      <x:c r="S92" s="37"/>
    </x:row>
    <x:row r="93" s="20" customFormat="1">
      <x:c r="A93" s="20">
        <x:v>207</x:v>
      </x:c>
      <x:c r="B93" s="7"/>
      <x:c r="C93" s="8"/>
      <x:c r="D93" s="21"/>
      <x:c r="E93" s="24" t="s">
        <x:v>109</x:v>
      </x:c>
      <x:c r="F93" s="31">
        <x:v>0.00</x:v>
      </x:c>
      <x:c r="G93" s="31">
        <x:v>0.00</x:v>
      </x:c>
      <x:c r="H93" s="31">
        <x:v>0.00</x:v>
      </x:c>
      <x:c r="I93" s="31">
        <x:v>0.00</x:v>
      </x:c>
      <x:c r="J93" s="31">
        <x:v>0.00</x:v>
      </x:c>
      <x:c r="K93" s="33">
        <x:f>SUM(F93:J93)</x:f>
        <x:v>0.00</x:v>
      </x:c>
      <x:c r="L93" s="31"/>
      <x:c r="M93" s="31"/>
      <x:c r="N93" s="31"/>
      <x:c r="O93" s="31"/>
      <x:c r="P93" s="31"/>
      <x:c r="Q93" s="31"/>
      <x:c r="R93" s="19"/>
      <x:c r="S93" s="37"/>
    </x:row>
    <x:row r="94" s="20" customFormat="1">
      <x:c r="A94" s="20">
        <x:v>208</x:v>
      </x:c>
      <x:c r="B94" s="7"/>
      <x:c r="C94" s="8"/>
      <x:c r="D94" s="21"/>
      <x:c r="E94" s="24" t="s">
        <x:v>110</x:v>
      </x:c>
      <x:c r="F94" s="31">
        <x:v>0.00</x:v>
      </x:c>
      <x:c r="G94" s="31">
        <x:v>0.00</x:v>
      </x:c>
      <x:c r="H94" s="31">
        <x:v>0.00</x:v>
      </x:c>
      <x:c r="I94" s="31">
        <x:v>0.00</x:v>
      </x:c>
      <x:c r="J94" s="31">
        <x:v>0.00</x:v>
      </x:c>
      <x:c r="K94" s="33">
        <x:f>SUM(F94:J94)</x:f>
        <x:v>0.00</x:v>
      </x:c>
      <x:c r="L94" s="31"/>
      <x:c r="M94" s="31"/>
      <x:c r="N94" s="31"/>
      <x:c r="O94" s="31"/>
      <x:c r="P94" s="31"/>
      <x:c r="Q94" s="31"/>
      <x:c r="R94" s="19"/>
      <x:c r="S94" s="37"/>
    </x:row>
    <x:row r="95" s="20" customFormat="1">
      <x:c r="A95" s="20">
        <x:v>209</x:v>
      </x:c>
      <x:c r="B95" s="7"/>
      <x:c r="C95" s="8"/>
      <x:c r="D95" s="21"/>
      <x:c r="E95" s="24" t="s">
        <x:v>111</x:v>
      </x:c>
      <x:c r="F95" s="31">
        <x:v>0.00</x:v>
      </x:c>
      <x:c r="G95" s="31">
        <x:v>0.00</x:v>
      </x:c>
      <x:c r="H95" s="31">
        <x:v>0.00</x:v>
      </x:c>
      <x:c r="I95" s="31">
        <x:v>0.00</x:v>
      </x:c>
      <x:c r="J95" s="31">
        <x:v>0.00</x:v>
      </x:c>
      <x:c r="K95" s="33">
        <x:f>SUM(F95:J95)</x:f>
        <x:v>0.00</x:v>
      </x:c>
      <x:c r="L95" s="31"/>
      <x:c r="M95" s="31"/>
      <x:c r="N95" s="31"/>
      <x:c r="O95" s="31"/>
      <x:c r="P95" s="31"/>
      <x:c r="Q95" s="31"/>
      <x:c r="R95" s="19"/>
      <x:c r="S95" s="37"/>
    </x:row>
    <x:row r="96" s="20" customFormat="1">
      <x:c r="A96" s="20">
        <x:v>211</x:v>
      </x:c>
      <x:c r="B96" s="7"/>
      <x:c r="C96" s="8"/>
      <x:c r="D96" s="21"/>
      <x:c r="E96" s="24" t="s">
        <x:v>112</x:v>
      </x:c>
      <x:c r="F96" s="31">
        <x:v>0.00</x:v>
      </x:c>
      <x:c r="G96" s="31">
        <x:v>0.00</x:v>
      </x:c>
      <x:c r="H96" s="31">
        <x:v>0.00</x:v>
      </x:c>
      <x:c r="I96" s="31">
        <x:v>0.00</x:v>
      </x:c>
      <x:c r="J96" s="31">
        <x:v>0.00</x:v>
      </x:c>
      <x:c r="K96" s="33">
        <x:f>SUM(F96:J96)</x:f>
        <x:v>0.00</x:v>
      </x:c>
      <x:c r="L96" s="31"/>
      <x:c r="M96" s="31"/>
      <x:c r="N96" s="31"/>
      <x:c r="O96" s="31"/>
      <x:c r="P96" s="31"/>
      <x:c r="Q96" s="31"/>
      <x:c r="R96" s="19"/>
      <x:c r="S96" s="37"/>
    </x:row>
    <x:row r="97" s="20" customFormat="1">
      <x:c r="A97" s="20">
        <x:v>212</x:v>
      </x:c>
      <x:c r="B97" s="7"/>
      <x:c r="C97" s="8"/>
      <x:c r="D97" s="21"/>
      <x:c r="E97" s="24" t="s">
        <x:v>113</x:v>
      </x:c>
      <x:c r="F97" s="31">
        <x:v>0.00</x:v>
      </x:c>
      <x:c r="G97" s="31">
        <x:v>0.00</x:v>
      </x:c>
      <x:c r="H97" s="31">
        <x:v>0.00</x:v>
      </x:c>
      <x:c r="I97" s="31">
        <x:v>0.00</x:v>
      </x:c>
      <x:c r="J97" s="31">
        <x:v>0.00</x:v>
      </x:c>
      <x:c r="K97" s="33">
        <x:f>SUM(F97:J97)</x:f>
        <x:v>0.00</x:v>
      </x:c>
      <x:c r="L97" s="31"/>
      <x:c r="M97" s="31"/>
      <x:c r="N97" s="31"/>
      <x:c r="O97" s="31"/>
      <x:c r="P97" s="31"/>
      <x:c r="Q97" s="31"/>
      <x:c r="R97" s="19"/>
      <x:c r="S97" s="37"/>
    </x:row>
    <x:row r="98" s="20" customFormat="1">
      <x:c r="A98" s="20">
        <x:v>214</x:v>
      </x:c>
      <x:c r="B98" s="7"/>
      <x:c r="C98" s="8"/>
      <x:c r="D98" s="21"/>
      <x:c r="E98" s="24" t="s">
        <x:v>114</x:v>
      </x:c>
      <x:c r="F98" s="31">
        <x:v>189495774.00</x:v>
      </x:c>
      <x:c r="G98" s="31">
        <x:v>0.00</x:v>
      </x:c>
      <x:c r="H98" s="31">
        <x:v>3885702.00</x:v>
      </x:c>
      <x:c r="I98" s="31">
        <x:v>5001001.00</x:v>
      </x:c>
      <x:c r="J98" s="31">
        <x:v>22004452.00</x:v>
      </x:c>
      <x:c r="K98" s="33">
        <x:f>SUM(F98:J98)</x:f>
        <x:v>220386929.00</x:v>
      </x:c>
      <x:c r="L98" s="31"/>
      <x:c r="M98" s="31"/>
      <x:c r="N98" s="31"/>
      <x:c r="O98" s="31"/>
      <x:c r="P98" s="31"/>
      <x:c r="Q98" s="31"/>
      <x:c r="R98" s="19"/>
      <x:c r="S98" s="37"/>
    </x:row>
    <x:row r="99" s="20" customFormat="1">
      <x:c r="A99" s="20">
        <x:v>215</x:v>
      </x:c>
      <x:c r="B99" s="7"/>
      <x:c r="C99" s="8"/>
      <x:c r="D99" s="21"/>
      <x:c r="E99" s="24" t="s">
        <x:v>115</x:v>
      </x:c>
      <x:c r="F99" s="31">
        <x:v>0.00</x:v>
      </x:c>
      <x:c r="G99" s="31">
        <x:v>0.00</x:v>
      </x:c>
      <x:c r="H99" s="31">
        <x:v>0.00</x:v>
      </x:c>
      <x:c r="I99" s="31">
        <x:v>0.00</x:v>
      </x:c>
      <x:c r="J99" s="31">
        <x:v>0.00</x:v>
      </x:c>
      <x:c r="K99" s="33">
        <x:f>SUM(F99:J99)</x:f>
        <x:v>0.00</x:v>
      </x:c>
      <x:c r="L99" s="31">
        <x:v>6034287.7999999998</x:v>
      </x:c>
      <x:c r="M99" s="31"/>
      <x:c r="N99" s="31">
        <x:v>19046.216284053910074662722159613803</x:v>
      </x:c>
      <x:c r="O99" s="31">
        <x:v>35997.456818504043444057502425642398</x:v>
      </x:c>
      <x:c r="P99" s="31">
        <x:v>2594715.526897442246481279775412094037</x:v>
      </x:c>
      <x:c r="Q99" s="31">
        <x:f>N99+O99+P99</x:f>
        <x:v>2649759.2000000002</x:v>
      </x:c>
      <x:c r="R99" s="19">
        <x:f>SUM(L99:P99)</x:f>
        <x:v>8684047.0000000000</x:v>
      </x:c>
      <x:c r="S99" s="37">
        <x:v>0.00</x:v>
      </x:c>
    </x:row>
    <x:row r="100" s="20" customFormat="1">
      <x:c r="A100" s="20">
        <x:v>216</x:v>
      </x:c>
      <x:c r="B100" s="7"/>
      <x:c r="C100" s="8"/>
      <x:c r="D100" s="21"/>
      <x:c r="E100" s="24" t="s">
        <x:v>116</x:v>
      </x:c>
      <x:c r="F100" s="31">
        <x:v>43658332.00</x:v>
      </x:c>
      <x:c r="G100" s="31">
        <x:v>0.00</x:v>
      </x:c>
      <x:c r="H100" s="31">
        <x:v>895235.00</x:v>
      </x:c>
      <x:c r="I100" s="31">
        <x:v>1152191.00</x:v>
      </x:c>
      <x:c r="J100" s="31">
        <x:v>5069652.00</x:v>
      </x:c>
      <x:c r="K100" s="33">
        <x:f>SUM(F100:J100)</x:f>
        <x:v>50775410.00</x:v>
      </x:c>
      <x:c r="L100" s="31">
        <x:v>10131817.92</x:v>
      </x:c>
      <x:c r="M100" s="31"/>
      <x:c r="N100" s="31">
        <x:v>31980.583972632191051129938492175250</x:v>
      </x:c>
      <x:c r="O100" s="31">
        <x:v>60443.485121462526076422796894998839</x:v>
      </x:c>
      <x:c r="P100" s="31">
        <x:v>4356798.040905905582872447264608376687</x:v>
      </x:c>
      <x:c r="Q100" s="31">
        <x:f>N100+O100+P100</x:f>
        <x:v>4449222.1100000003</x:v>
      </x:c>
      <x:c r="R100" s="19">
        <x:f>SUM(L100:P100)</x:f>
        <x:v>14581040.0300000003</x:v>
      </x:c>
      <x:c r="S100" s="37">
        <x:f>IF(K100=0,0,R100/K100)</x:f>
        <x:v>0.287167351873672714</x:v>
      </x:c>
    </x:row>
    <x:row r="101" s="20" customFormat="1">
      <x:c r="A101" s="20">
        <x:v>210</x:v>
      </x:c>
      <x:c r="B101" s="7"/>
      <x:c r="C101" s="8"/>
      <x:c r="D101" s="21"/>
      <x:c r="E101" s="24" t="s">
        <x:v>117</x:v>
      </x:c>
      <x:c r="F101" s="31">
        <x:v>0.00</x:v>
      </x:c>
      <x:c r="G101" s="31">
        <x:v>0.00</x:v>
      </x:c>
      <x:c r="H101" s="31">
        <x:v>0.00</x:v>
      </x:c>
      <x:c r="I101" s="31">
        <x:v>0.00</x:v>
      </x:c>
      <x:c r="J101" s="31">
        <x:v>0.00</x:v>
      </x:c>
      <x:c r="K101" s="33">
        <x:f>SUM(F101:J101)</x:f>
        <x:v>0.00</x:v>
      </x:c>
      <x:c r="L101" s="31"/>
      <x:c r="M101" s="31"/>
      <x:c r="N101" s="31"/>
      <x:c r="O101" s="31"/>
      <x:c r="P101" s="31"/>
      <x:c r="Q101" s="31"/>
      <x:c r="R101" s="19"/>
      <x:c r="S101" s="37"/>
    </x:row>
    <x:row r="102" s="20" customFormat="1">
      <x:c r="A102" s="20">
        <x:v>217</x:v>
      </x:c>
      <x:c r="B102" s="7"/>
      <x:c r="C102" s="8"/>
      <x:c r="D102" s="21"/>
      <x:c r="E102" s="24" t="s">
        <x:v>118</x:v>
      </x:c>
      <x:c r="F102" s="31">
        <x:v>47392688.00</x:v>
      </x:c>
      <x:c r="G102" s="31">
        <x:v>0.00</x:v>
      </x:c>
      <x:c r="H102" s="31">
        <x:v>971810.00</x:v>
      </x:c>
      <x:c r="I102" s="31">
        <x:v>1250745.00</x:v>
      </x:c>
      <x:c r="J102" s="31">
        <x:v>5503290.00</x:v>
      </x:c>
      <x:c r="K102" s="33">
        <x:f>SUM(F102:J102)</x:f>
        <x:v>55118533.00</x:v>
      </x:c>
      <x:c r="L102" s="31">
        <x:v>10563688.85</x:v>
      </x:c>
      <x:c r="M102" s="31"/>
      <x:c r="N102" s="31">
        <x:v>33343.763175445485551963033599115379</x:v>
      </x:c>
      <x:c r="O102" s="31">
        <x:v>63019.901547555413747025542862122027</x:v>
      </x:c>
      <x:c r="P102" s="31">
        <x:v>4542507.485276999500701011423534123721</x:v>
      </x:c>
      <x:c r="Q102" s="31">
        <x:f>N102+O102+P102</x:f>
        <x:v>4638871.1500000004</x:v>
      </x:c>
      <x:c r="R102" s="19">
        <x:f>SUM(L102:P102)</x:f>
        <x:v>15202560.0000000004</x:v>
      </x:c>
      <x:c r="S102" s="37">
        <x:f>IF(K102=0,0,R102/K102)</x:f>
        <x:v>0.275815758739442510</x:v>
      </x:c>
    </x:row>
    <x:row r="103" s="20" customFormat="1">
      <x:c r="A103" s="20">
        <x:v>218</x:v>
      </x:c>
      <x:c r="B103" s="7"/>
      <x:c r="C103" s="8"/>
      <x:c r="D103" s="21"/>
      <x:c r="E103" s="24" t="s">
        <x:v>119</x:v>
      </x:c>
      <x:c r="F103" s="31">
        <x:v>21347985.00</x:v>
      </x:c>
      <x:c r="G103" s="31">
        <x:v>0.00</x:v>
      </x:c>
      <x:c r="H103" s="31">
        <x:v>437751.00</x:v>
      </x:c>
      <x:c r="I103" s="31">
        <x:v>563397.00</x:v>
      </x:c>
      <x:c r="J103" s="31">
        <x:v>2478951.00</x:v>
      </x:c>
      <x:c r="K103" s="33">
        <x:f>SUM(F103:J103)</x:f>
        <x:v>24828084.00</x:v>
      </x:c>
      <x:c r="L103" s="31"/>
      <x:c r="M103" s="31"/>
      <x:c r="N103" s="31"/>
      <x:c r="O103" s="31"/>
      <x:c r="P103" s="31"/>
      <x:c r="Q103" s="31"/>
      <x:c r="R103" s="19"/>
      <x:c r="S103" s="37"/>
    </x:row>
    <x:row r="104" s="20" customFormat="1">
      <x:c r="A104" s="20">
        <x:v>219</x:v>
      </x:c>
      <x:c r="B104" s="7"/>
      <x:c r="C104" s="8"/>
      <x:c r="D104" s="21"/>
      <x:c r="E104" s="24" t="s">
        <x:v>120</x:v>
      </x:c>
      <x:c r="F104" s="31">
        <x:v>0.00</x:v>
      </x:c>
      <x:c r="G104" s="31">
        <x:v>0.00</x:v>
      </x:c>
      <x:c r="H104" s="31">
        <x:v>0.00</x:v>
      </x:c>
      <x:c r="I104" s="31">
        <x:v>0.00</x:v>
      </x:c>
      <x:c r="J104" s="31">
        <x:v>0.00</x:v>
      </x:c>
      <x:c r="K104" s="33">
        <x:f>SUM(F104:J104)</x:f>
        <x:v>0.00</x:v>
      </x:c>
      <x:c r="L104" s="31"/>
      <x:c r="M104" s="31"/>
      <x:c r="N104" s="31"/>
      <x:c r="O104" s="31"/>
      <x:c r="P104" s="31"/>
      <x:c r="Q104" s="31"/>
      <x:c r="R104" s="19"/>
      <x:c r="S104" s="37"/>
    </x:row>
    <x:row r="105" s="20" customFormat="1">
      <x:c r="A105" s="20">
        <x:v>220</x:v>
      </x:c>
      <x:c r="B105" s="7"/>
      <x:c r="C105" s="8"/>
      <x:c r="D105" s="21"/>
      <x:c r="E105" s="24" t="s">
        <x:v>121</x:v>
      </x:c>
      <x:c r="F105" s="31">
        <x:v>255526064.00</x:v>
      </x:c>
      <x:c r="G105" s="31">
        <x:v>0.00</x:v>
      </x:c>
      <x:c r="H105" s="31">
        <x:v>5239685.00</x:v>
      </x:c>
      <x:c r="I105" s="31">
        <x:v>6743613.00</x:v>
      </x:c>
      <x:c r="J105" s="31">
        <x:v>29671960.00</x:v>
      </x:c>
      <x:c r="K105" s="33">
        <x:f>SUM(F105:J105)</x:f>
        <x:v>297181322.00</x:v>
      </x:c>
      <x:c r="L105" s="31">
        <x:v>58917148.990000002</x:v>
      </x:c>
      <x:c r="M105" s="31"/>
      <x:c r="N105" s="31">
        <x:v>188615.640541683681012272956436481833</x:v>
      </x:c>
      <x:c r="O105" s="31">
        <x:v>356484.630565613963405227244109170864</x:v>
      </x:c>
      <x:c r="P105" s="31">
        <x:v>25695598.738892704355582499799428106602</x:v>
      </x:c>
      <x:c r="Q105" s="31">
        <x:f>N105+O105+P105</x:f>
        <x:v>26240699.010000002</x:v>
      </x:c>
      <x:c r="R105" s="19">
        <x:f>SUM(L105:P105)</x:f>
        <x:v>85157848.000000004</x:v>
      </x:c>
      <x:c r="S105" s="37">
        <x:f>IF(K105=0,0,R105/K105)</x:f>
        <x:v>0.286551817681193315</x:v>
      </x:c>
    </x:row>
    <x:row r="106" s="20" customFormat="1">
      <x:c r="A106" s="20">
        <x:v>0</x:v>
      </x:c>
      <x:c r="B106" s="7"/>
      <x:c r="C106" s="8"/>
      <x:c r="D106" s="21"/>
      <x:c r="E106" s="24" t="s">
        <x:v>122</x:v>
      </x:c>
      <x:c r="F106" s="31">
        <x:v>0.00</x:v>
      </x:c>
      <x:c r="G106" s="31">
        <x:v>0.00</x:v>
      </x:c>
      <x:c r="H106" s="31">
        <x:v>0.00</x:v>
      </x:c>
      <x:c r="I106" s="31">
        <x:v>0.00</x:v>
      </x:c>
      <x:c r="J106" s="31">
        <x:v>0.00</x:v>
      </x:c>
      <x:c r="K106" s="33">
        <x:f>SUM(F106:J106)</x:f>
        <x:v>0.00</x:v>
      </x:c>
      <x:c r="L106" s="31"/>
      <x:c r="M106" s="31"/>
      <x:c r="N106" s="31"/>
      <x:c r="O106" s="31"/>
      <x:c r="P106" s="31"/>
      <x:c r="Q106" s="31"/>
      <x:c r="R106" s="19"/>
      <x:c r="S106" s="37"/>
    </x:row>
    <x:row r="107" s="20" customFormat="1">
      <x:c r="A107" s="20">
        <x:v>225</x:v>
      </x:c>
      <x:c r="B107" s="7"/>
      <x:c r="C107" s="8"/>
      <x:c r="D107" s="21"/>
      <x:c r="E107" s="24" t="s">
        <x:v>123</x:v>
      </x:c>
      <x:c r="F107" s="31">
        <x:v>0.00</x:v>
      </x:c>
      <x:c r="G107" s="31">
        <x:v>0.00</x:v>
      </x:c>
      <x:c r="H107" s="31">
        <x:v>0.00</x:v>
      </x:c>
      <x:c r="I107" s="31">
        <x:v>0.00</x:v>
      </x:c>
      <x:c r="J107" s="31">
        <x:v>0.00</x:v>
      </x:c>
      <x:c r="K107" s="33">
        <x:f>SUM(F107:J107)</x:f>
        <x:v>0.00</x:v>
      </x:c>
      <x:c r="L107" s="31"/>
      <x:c r="M107" s="31"/>
      <x:c r="N107" s="31"/>
      <x:c r="O107" s="31"/>
      <x:c r="P107" s="31"/>
      <x:c r="Q107" s="31"/>
      <x:c r="R107" s="19"/>
      <x:c r="S107" s="37"/>
    </x:row>
    <x:row r="108" s="20" customFormat="1">
      <x:c r="A108" s="20">
        <x:v>229</x:v>
      </x:c>
      <x:c r="B108" s="7"/>
      <x:c r="C108" s="8"/>
      <x:c r="D108" s="21"/>
      <x:c r="E108" s="24" t="s">
        <x:v>124</x:v>
      </x:c>
      <x:c r="F108" s="31">
        <x:v>0.00</x:v>
      </x:c>
      <x:c r="G108" s="31">
        <x:v>0.00</x:v>
      </x:c>
      <x:c r="H108" s="31">
        <x:v>0.00</x:v>
      </x:c>
      <x:c r="I108" s="31">
        <x:v>0.00</x:v>
      </x:c>
      <x:c r="J108" s="31">
        <x:v>0.00</x:v>
      </x:c>
      <x:c r="K108" s="33">
        <x:f>SUM(F108:J108)</x:f>
        <x:v>0.00</x:v>
      </x:c>
      <x:c r="L108" s="31"/>
      <x:c r="M108" s="31"/>
      <x:c r="N108" s="31"/>
      <x:c r="O108" s="31"/>
      <x:c r="P108" s="31"/>
      <x:c r="Q108" s="31"/>
      <x:c r="R108" s="19"/>
      <x:c r="S108" s="37"/>
    </x:row>
    <x:row r="109" s="20" customFormat="1">
      <x:c r="A109" s="20">
        <x:v>230</x:v>
      </x:c>
      <x:c r="B109" s="7"/>
      <x:c r="C109" s="8"/>
      <x:c r="D109" s="21"/>
      <x:c r="E109" s="24" t="s">
        <x:v>125</x:v>
      </x:c>
      <x:c r="F109" s="31">
        <x:v>0.00</x:v>
      </x:c>
      <x:c r="G109" s="31">
        <x:v>0.00</x:v>
      </x:c>
      <x:c r="H109" s="31">
        <x:v>0.00</x:v>
      </x:c>
      <x:c r="I109" s="31">
        <x:v>0.00</x:v>
      </x:c>
      <x:c r="J109" s="31">
        <x:v>0.00</x:v>
      </x:c>
      <x:c r="K109" s="33">
        <x:f>SUM(F109:J109)</x:f>
        <x:v>0.00</x:v>
      </x:c>
      <x:c r="L109" s="31"/>
      <x:c r="M109" s="31"/>
      <x:c r="N109" s="31"/>
      <x:c r="O109" s="31"/>
      <x:c r="P109" s="31"/>
      <x:c r="Q109" s="31"/>
      <x:c r="R109" s="19"/>
      <x:c r="S109" s="37"/>
    </x:row>
    <x:row r="110" s="20" customFormat="1">
      <x:c r="A110" s="20">
        <x:v>231</x:v>
      </x:c>
      <x:c r="B110" s="7"/>
      <x:c r="C110" s="8"/>
      <x:c r="D110" s="21"/>
      <x:c r="E110" s="24" t="s">
        <x:v>126</x:v>
      </x:c>
      <x:c r="F110" s="31">
        <x:v>37321437.00</x:v>
      </x:c>
      <x:c r="G110" s="31">
        <x:v>0.00</x:v>
      </x:c>
      <x:c r="H110" s="31">
        <x:v>765294.00</x:v>
      </x:c>
      <x:c r="I110" s="31">
        <x:v>984954.00</x:v>
      </x:c>
      <x:c r="J110" s="31">
        <x:v>4333805.00</x:v>
      </x:c>
      <x:c r="K110" s="33">
        <x:f>SUM(F110:J110)</x:f>
        <x:v>43405490.00</x:v>
      </x:c>
      <x:c r="L110" s="31">
        <x:v>18376823.73</x:v>
      </x:c>
      <x:c r="M110" s="31"/>
      <x:c r="N110" s="31">
        <x:v>56068.453815235569174986625093528933</x:v>
      </x:c>
      <x:c r="O110" s="31">
        <x:v>105969.695764929068167016200638138878</x:v>
      </x:c>
      <x:c r="P110" s="31">
        <x:v>7638351.130419835662657997174260531798</x:v>
      </x:c>
      <x:c r="Q110" s="31">
        <x:f>N110+O110+P110</x:f>
        <x:v>7800389.2800000003</x:v>
      </x:c>
      <x:c r="R110" s="19">
        <x:f>SUM(L110:P110)</x:f>
        <x:v>26177213.0100000003</x:v>
      </x:c>
      <x:c r="S110" s="37">
        <x:f>IF(K110=0,0,R110/K110)</x:f>
        <x:v>0.603085301191162691</x:v>
      </x:c>
    </x:row>
    <x:row r="111" s="20" customFormat="1">
      <x:c r="A111" s="20">
        <x:v>255</x:v>
      </x:c>
      <x:c r="B111" s="7"/>
      <x:c r="C111" s="8"/>
      <x:c r="D111" s="21"/>
      <x:c r="E111" s="24" t="s">
        <x:v>127</x:v>
      </x:c>
      <x:c r="F111" s="31">
        <x:v>329644051.00</x:v>
      </x:c>
      <x:c r="G111" s="31">
        <x:v>0.00</x:v>
      </x:c>
      <x:c r="H111" s="31">
        <x:v>6759511.00</x:v>
      </x:c>
      <x:c r="I111" s="31">
        <x:v>8699668.00</x:v>
      </x:c>
      <x:c r="J111" s="31">
        <x:v>38278620.00</x:v>
      </x:c>
      <x:c r="K111" s="33">
        <x:f>SUM(F111:J111)</x:f>
        <x:v>383381850.00</x:v>
      </x:c>
      <x:c r="L111" s="31">
        <x:v>133168196.80</x:v>
      </x:c>
      <x:c r="M111" s="31"/>
      <x:c r="N111" s="31">
        <x:v>514815.480210257995258575240435986626</x:v>
      </x:c>
      <x:c r="O111" s="31">
        <x:v>973004.177941725739607752915523841011</x:v>
      </x:c>
      <x:c r="P111" s="31">
        <x:v>70134650.371848017265133671843968549892</x:v>
      </x:c>
      <x:c r="Q111" s="31">
        <x:f>N111+O111+P111</x:f>
        <x:v>71622470.030000001</x:v>
      </x:c>
      <x:c r="R111" s="19">
        <x:f>SUM(L111:P111)</x:f>
        <x:v>204790666.830000001</x:v>
      </x:c>
      <x:c r="S111" s="37">
        <x:f>IF(K111=0,0,R111/K111)</x:f>
        <x:v>0.534168914960371757</x:v>
      </x:c>
    </x:row>
    <x:row r="112" s="20" customFormat="1">
      <x:c r="A112" s="20">
        <x:v>200</x:v>
      </x:c>
      <x:c r="B112" s="7"/>
      <x:c r="C112" s="8"/>
      <x:c r="D112" s="21"/>
      <x:c r="E112" s="24" t="s">
        <x:v>128</x:v>
      </x:c>
      <x:c r="F112" s="31">
        <x:v>7048891.00</x:v>
      </x:c>
      <x:c r="G112" s="31">
        <x:v>0.00</x:v>
      </x:c>
      <x:c r="H112" s="31">
        <x:v>144541.00</x:v>
      </x:c>
      <x:c r="I112" s="31">
        <x:v>186028.00</x:v>
      </x:c>
      <x:c r="J112" s="31">
        <x:v>818525.00</x:v>
      </x:c>
      <x:c r="K112" s="33">
        <x:f>SUM(F112:J112)</x:f>
        <x:v>8197985.00</x:v>
      </x:c>
      <x:c r="L112" s="31">
        <x:v>4579290.30</x:v>
      </x:c>
      <x:c r="M112" s="31"/>
      <x:c r="N112" s="31">
        <x:v>14521.554703005252836802454503807912</x:v>
      </x:c>
      <x:c r="O112" s="31">
        <x:v>27445.820763708822535966394251014895</x:v>
      </x:c>
      <x:c r="P112" s="31">
        <x:v>1978309.124533285924627231151243156916</x:v>
      </x:c>
      <x:c r="Q112" s="31">
        <x:f>N112+O112+P112</x:f>
        <x:v>2020276.50</x:v>
      </x:c>
      <x:c r="R112" s="19">
        <x:f>SUM(L112:P112)</x:f>
        <x:v>6599566.80</x:v>
      </x:c>
      <x:c r="S112" s="37">
        <x:f>IF(K112=0,0,R112/K112)</x:f>
        <x:v>0.805023039198046837</x:v>
      </x:c>
    </x:row>
    <x:row r="113" s="20" customFormat="1">
      <x:c r="A113" s="20">
        <x:v>201</x:v>
      </x:c>
      <x:c r="B113" s="7"/>
      <x:c r="C113" s="8"/>
      <x:c r="D113" s="21"/>
      <x:c r="E113" s="24" t="s">
        <x:v>129</x:v>
      </x:c>
      <x:c r="F113" s="31">
        <x:v>6573006.00</x:v>
      </x:c>
      <x:c r="G113" s="31">
        <x:v>0.00</x:v>
      </x:c>
      <x:c r="H113" s="31">
        <x:v>134783.00</x:v>
      </x:c>
      <x:c r="I113" s="31">
        <x:v>173469.00</x:v>
      </x:c>
      <x:c r="J113" s="31">
        <x:v>763265.00</x:v>
      </x:c>
      <x:c r="K113" s="33">
        <x:f>SUM(F113:J113)</x:f>
        <x:v>7644523.00</x:v>
      </x:c>
      <x:c r="L113" s="31"/>
      <x:c r="M113" s="31"/>
      <x:c r="N113" s="31"/>
      <x:c r="O113" s="31"/>
      <x:c r="P113" s="31"/>
      <x:c r="Q113" s="31"/>
      <x:c r="R113" s="19"/>
      <x:c r="S113" s="37"/>
    </x:row>
    <x:row r="114" s="20" customFormat="1">
      <x:c r="A114" s="20">
        <x:v>223</x:v>
      </x:c>
      <x:c r="B114" s="7"/>
      <x:c r="C114" s="8"/>
      <x:c r="D114" s="21"/>
      <x:c r="E114" s="24" t="s">
        <x:v>130</x:v>
      </x:c>
      <x:c r="F114" s="31">
        <x:v>4301089.00</x:v>
      </x:c>
      <x:c r="G114" s="31">
        <x:v>0.00</x:v>
      </x:c>
      <x:c r="H114" s="31">
        <x:v>88196.00</x:v>
      </x:c>
      <x:c r="I114" s="31">
        <x:v>113510.00</x:v>
      </x:c>
      <x:c r="J114" s="31">
        <x:v>499447.00</x:v>
      </x:c>
      <x:c r="K114" s="33">
        <x:f>SUM(F114:J114)</x:f>
        <x:v>5002242.00</x:v>
      </x:c>
      <x:c r="L114" s="31"/>
      <x:c r="M114" s="31"/>
      <x:c r="N114" s="31"/>
      <x:c r="O114" s="31"/>
      <x:c r="P114" s="31"/>
      <x:c r="Q114" s="31"/>
      <x:c r="R114" s="19"/>
      <x:c r="S114" s="37"/>
    </x:row>
    <x:row r="115" s="20" customFormat="1">
      <x:c r="A115" s="20">
        <x:v>222</x:v>
      </x:c>
      <x:c r="B115" s="7"/>
      <x:c r="C115" s="8"/>
      <x:c r="D115" s="21"/>
      <x:c r="E115" s="24" t="s">
        <x:v>131</x:v>
      </x:c>
      <x:c r="F115" s="31">
        <x:v>1356265.00</x:v>
      </x:c>
      <x:c r="G115" s="31">
        <x:v>0.00</x:v>
      </x:c>
      <x:c r="H115" s="31">
        <x:v>27811.00</x:v>
      </x:c>
      <x:c r="I115" s="31">
        <x:v>35793.00</x:v>
      </x:c>
      <x:c r="J115" s="31">
        <x:v>157491.00</x:v>
      </x:c>
      <x:c r="K115" s="33">
        <x:f>SUM(F115:J115)</x:f>
        <x:v>1577360.00</x:v>
      </x:c>
      <x:c r="L115" s="31"/>
      <x:c r="M115" s="31"/>
      <x:c r="N115" s="31"/>
      <x:c r="O115" s="31"/>
      <x:c r="P115" s="31"/>
      <x:c r="Q115" s="31"/>
      <x:c r="R115" s="19"/>
      <x:c r="S115" s="37"/>
    </x:row>
    <x:row r="116" s="20" customFormat="1">
      <x:c r="A116" s="20">
        <x:v>221</x:v>
      </x:c>
      <x:c r="B116" s="7"/>
      <x:c r="C116" s="8"/>
      <x:c r="D116" s="21"/>
      <x:c r="E116" s="24" t="s">
        <x:v>132</x:v>
      </x:c>
      <x:c r="F116" s="31">
        <x:v>699271.00</x:v>
      </x:c>
      <x:c r="G116" s="31">
        <x:v>0.00</x:v>
      </x:c>
      <x:c r="H116" s="31">
        <x:v>14339.00</x:v>
      </x:c>
      <x:c r="I116" s="31">
        <x:v>18455.00</x:v>
      </x:c>
      <x:c r="J116" s="31">
        <x:v>81200.00</x:v>
      </x:c>
      <x:c r="K116" s="33">
        <x:f>SUM(F116:J116)</x:f>
        <x:v>813265.00</x:v>
      </x:c>
      <x:c r="L116" s="31"/>
      <x:c r="M116" s="31"/>
      <x:c r="N116" s="31"/>
      <x:c r="O116" s="31"/>
      <x:c r="P116" s="31"/>
      <x:c r="Q116" s="31"/>
      <x:c r="R116" s="19"/>
      <x:c r="S116" s="37"/>
    </x:row>
    <x:row r="117" s="20" customFormat="1">
      <x:c r="A117" s="20">
        <x:v>235</x:v>
      </x:c>
      <x:c r="B117" s="7"/>
      <x:c r="C117" s="8"/>
      <x:c r="D117" s="21"/>
      <x:c r="E117" s="24" t="s">
        <x:v>133</x:v>
      </x:c>
      <x:c r="F117" s="31">
        <x:v>0.00</x:v>
      </x:c>
      <x:c r="G117" s="31">
        <x:v>0.00</x:v>
      </x:c>
      <x:c r="H117" s="31">
        <x:v>0.00</x:v>
      </x:c>
      <x:c r="I117" s="31">
        <x:v>0.00</x:v>
      </x:c>
      <x:c r="J117" s="31">
        <x:v>0.00</x:v>
      </x:c>
      <x:c r="K117" s="33">
        <x:f>SUM(F117:J117)</x:f>
        <x:v>0.00</x:v>
      </x:c>
      <x:c r="L117" s="31"/>
      <x:c r="M117" s="31"/>
      <x:c r="N117" s="31"/>
      <x:c r="O117" s="31"/>
      <x:c r="P117" s="31"/>
      <x:c r="Q117" s="31"/>
      <x:c r="R117" s="19"/>
      <x:c r="S117" s="37"/>
    </x:row>
    <x:row r="118" s="20" customFormat="1">
      <x:c r="A118" s="20">
        <x:v>236</x:v>
      </x:c>
      <x:c r="B118" s="7"/>
      <x:c r="C118" s="8"/>
      <x:c r="D118" s="21"/>
      <x:c r="E118" s="24" t="s">
        <x:v>134</x:v>
      </x:c>
      <x:c r="F118" s="31">
        <x:v>3154610.00</x:v>
      </x:c>
      <x:c r="G118" s="31">
        <x:v>0.00</x:v>
      </x:c>
      <x:c r="H118" s="31">
        <x:v>64687.00</x:v>
      </x:c>
      <x:c r="I118" s="31">
        <x:v>83254.00</x:v>
      </x:c>
      <x:c r="J118" s="31">
        <x:v>366317.00</x:v>
      </x:c>
      <x:c r="K118" s="33">
        <x:f>SUM(F118:J118)</x:f>
        <x:v>3668868.00</x:v>
      </x:c>
      <x:c r="L118" s="31">
        <x:v>798734.29</x:v>
      </x:c>
      <x:c r="M118" s="31"/>
      <x:c r="N118" s="31">
        <x:v>2314.373807314084848191373454791128</x:v>
      </x:c>
      <x:c r="O118" s="31">
        <x:v>4374.179624349673508122977917949546</x:v>
      </x:c>
      <x:c r="P118" s="31">
        <x:v>315293.156568336261643685648626937343</x:v>
      </x:c>
      <x:c r="Q118" s="31">
        <x:f>N118+O118+P118</x:f>
        <x:v>321981.71000000002</x:v>
      </x:c>
      <x:c r="R118" s="19">
        <x:f>SUM(L118:P118)</x:f>
        <x:v>1120716.00000000002</x:v>
      </x:c>
      <x:c r="S118" s="37">
        <x:f>IF(K118=0,0,R118/K118)</x:f>
        <x:v>0.305466427246769308</x:v>
      </x:c>
    </x:row>
    <x:row r="119" s="20" customFormat="1">
      <x:c r="A119" s="20">
        <x:v>240</x:v>
      </x:c>
      <x:c r="B119" s="7"/>
      <x:c r="C119" s="8"/>
      <x:c r="D119" s="21"/>
      <x:c r="E119" s="24" t="s">
        <x:v>135</x:v>
      </x:c>
      <x:c r="F119" s="31">
        <x:v>0.00</x:v>
      </x:c>
      <x:c r="G119" s="31">
        <x:v>0.00</x:v>
      </x:c>
      <x:c r="H119" s="31">
        <x:v>0.00</x:v>
      </x:c>
      <x:c r="I119" s="31">
        <x:v>0.00</x:v>
      </x:c>
      <x:c r="J119" s="31">
        <x:v>0.00</x:v>
      </x:c>
      <x:c r="K119" s="33">
        <x:f>SUM(F119:J119)</x:f>
        <x:v>0.00</x:v>
      </x:c>
      <x:c r="L119" s="31"/>
      <x:c r="M119" s="31"/>
      <x:c r="N119" s="31"/>
      <x:c r="O119" s="31"/>
      <x:c r="P119" s="31"/>
      <x:c r="Q119" s="31"/>
      <x:c r="R119" s="19"/>
      <x:c r="S119" s="37"/>
    </x:row>
    <x:row r="120" s="20" customFormat="1">
      <x:c r="A120" s="20">
        <x:v>241</x:v>
      </x:c>
      <x:c r="B120" s="7"/>
      <x:c r="C120" s="8"/>
      <x:c r="D120" s="21"/>
      <x:c r="E120" s="24" t="s">
        <x:v>136</x:v>
      </x:c>
      <x:c r="F120" s="31">
        <x:v>0.00</x:v>
      </x:c>
      <x:c r="G120" s="31">
        <x:v>0.00</x:v>
      </x:c>
      <x:c r="H120" s="31">
        <x:v>0.00</x:v>
      </x:c>
      <x:c r="I120" s="31">
        <x:v>0.00</x:v>
      </x:c>
      <x:c r="J120" s="31">
        <x:v>0.00</x:v>
      </x:c>
      <x:c r="K120" s="33">
        <x:f>SUM(F120:J120)</x:f>
        <x:v>0.00</x:v>
      </x:c>
      <x:c r="L120" s="31"/>
      <x:c r="M120" s="31"/>
      <x:c r="N120" s="31"/>
      <x:c r="O120" s="31"/>
      <x:c r="P120" s="31"/>
      <x:c r="Q120" s="31"/>
      <x:c r="R120" s="19"/>
      <x:c r="S120" s="37"/>
    </x:row>
    <x:row r="121" s="20" customFormat="1">
      <x:c r="A121" s="20">
        <x:v>242</x:v>
      </x:c>
      <x:c r="B121" s="7"/>
      <x:c r="C121" s="8"/>
      <x:c r="D121" s="21"/>
      <x:c r="E121" s="24" t="s">
        <x:v>137</x:v>
      </x:c>
      <x:c r="F121" s="31">
        <x:v>0.00</x:v>
      </x:c>
      <x:c r="G121" s="31">
        <x:v>0.00</x:v>
      </x:c>
      <x:c r="H121" s="31">
        <x:v>0.00</x:v>
      </x:c>
      <x:c r="I121" s="31">
        <x:v>0.00</x:v>
      </x:c>
      <x:c r="J121" s="31">
        <x:v>0.00</x:v>
      </x:c>
      <x:c r="K121" s="33">
        <x:f>SUM(F121:J121)</x:f>
        <x:v>0.00</x:v>
      </x:c>
      <x:c r="L121" s="31"/>
      <x:c r="M121" s="31"/>
      <x:c r="N121" s="31"/>
      <x:c r="O121" s="31"/>
      <x:c r="P121" s="31"/>
      <x:c r="Q121" s="31"/>
      <x:c r="R121" s="19"/>
      <x:c r="S121" s="37"/>
    </x:row>
    <x:row r="122" s="20" customFormat="1">
      <x:c r="A122" s="20">
        <x:v>243</x:v>
      </x:c>
      <x:c r="B122" s="7"/>
      <x:c r="C122" s="8"/>
      <x:c r="D122" s="21"/>
      <x:c r="E122" s="24" t="s">
        <x:v>138</x:v>
      </x:c>
      <x:c r="F122" s="31">
        <x:v>0.00</x:v>
      </x:c>
      <x:c r="G122" s="31">
        <x:v>0.00</x:v>
      </x:c>
      <x:c r="H122" s="31">
        <x:v>0.00</x:v>
      </x:c>
      <x:c r="I122" s="31">
        <x:v>0.00</x:v>
      </x:c>
      <x:c r="J122" s="31">
        <x:v>0.00</x:v>
      </x:c>
      <x:c r="K122" s="33">
        <x:f>SUM(F122:J122)</x:f>
        <x:v>0.00</x:v>
      </x:c>
      <x:c r="L122" s="31"/>
      <x:c r="M122" s="31"/>
      <x:c r="N122" s="31"/>
      <x:c r="O122" s="31"/>
      <x:c r="P122" s="31"/>
      <x:c r="Q122" s="31"/>
      <x:c r="R122" s="19"/>
      <x:c r="S122" s="37"/>
    </x:row>
    <x:row r="123" s="20" customFormat="1">
      <x:c r="A123" s="20">
        <x:v>245</x:v>
      </x:c>
      <x:c r="B123" s="7"/>
      <x:c r="C123" s="8"/>
      <x:c r="D123" s="21"/>
      <x:c r="E123" s="24" t="s">
        <x:v>139</x:v>
      </x:c>
      <x:c r="F123" s="31">
        <x:v>27025042.00</x:v>
      </x:c>
      <x:c r="G123" s="31">
        <x:v>0.00</x:v>
      </x:c>
      <x:c r="H123" s="31">
        <x:v>554162.00</x:v>
      </x:c>
      <x:c r="I123" s="31">
        <x:v>713220.00</x:v>
      </x:c>
      <x:c r="J123" s="31">
        <x:v>3138177.00</x:v>
      </x:c>
      <x:c r="K123" s="33">
        <x:f>SUM(F123:J123)</x:f>
        <x:v>31430601.00</x:v>
      </x:c>
      <x:c r="L123" s="31">
        <x:v>6465667.0999999996</x:v>
      </x:c>
      <x:c r="M123" s="31"/>
      <x:c r="N123" s="31">
        <x:v>17562.443737281735014478348824978683</x:v>
      </x:c>
      <x:c r="O123" s="31">
        <x:v>33193.118288250589521972920225461986</x:v>
      </x:c>
      <x:c r="P123" s="31">
        <x:v>2392577.337974467675463548730947115997</x:v>
      </x:c>
      <x:c r="Q123" s="31">
        <x:f>N123+O123+P123</x:f>
        <x:v>2443332.90</x:v>
      </x:c>
      <x:c r="R123" s="19">
        <x:f>SUM(L123:P123)</x:f>
        <x:v>8908999.9999999996</x:v>
      </x:c>
      <x:c r="S123" s="37">
        <x:f>IF(K123=0,0,R123/K123)</x:f>
        <x:v>0.283449877398144553</x:v>
      </x:c>
    </x:row>
    <x:row r="124" s="20" customFormat="1">
      <x:c r="A124" s="20">
        <x:v>246</x:v>
      </x:c>
      <x:c r="B124" s="7"/>
      <x:c r="C124" s="8"/>
      <x:c r="D124" s="21"/>
      <x:c r="E124" s="24" t="s">
        <x:v>140</x:v>
      </x:c>
      <x:c r="F124" s="31">
        <x:v>0.00</x:v>
      </x:c>
      <x:c r="G124" s="31">
        <x:v>0.00</x:v>
      </x:c>
      <x:c r="H124" s="31">
        <x:v>0.00</x:v>
      </x:c>
      <x:c r="I124" s="31">
        <x:v>0.00</x:v>
      </x:c>
      <x:c r="J124" s="31">
        <x:v>0.00</x:v>
      </x:c>
      <x:c r="K124" s="33">
        <x:f>SUM(F124:J124)</x:f>
        <x:v>0.00</x:v>
      </x:c>
      <x:c r="L124" s="31"/>
      <x:c r="M124" s="31"/>
      <x:c r="N124" s="31"/>
      <x:c r="O124" s="31"/>
      <x:c r="P124" s="31"/>
      <x:c r="Q124" s="31"/>
      <x:c r="R124" s="19"/>
      <x:c r="S124" s="37"/>
    </x:row>
    <x:row r="125" s="20" customFormat="1">
      <x:c r="A125" s="20">
        <x:v>247</x:v>
      </x:c>
      <x:c r="B125" s="7"/>
      <x:c r="C125" s="8"/>
      <x:c r="D125" s="21"/>
      <x:c r="E125" s="24" t="s">
        <x:v>141</x:v>
      </x:c>
      <x:c r="F125" s="31">
        <x:v>10434154.00</x:v>
      </x:c>
      <x:c r="G125" s="31">
        <x:v>0.00</x:v>
      </x:c>
      <x:c r="H125" s="31">
        <x:v>213957.00</x:v>
      </x:c>
      <x:c r="I125" s="31">
        <x:v>275369.00</x:v>
      </x:c>
      <x:c r="J125" s="31">
        <x:v>1211625.00</x:v>
      </x:c>
      <x:c r="K125" s="33">
        <x:f>SUM(F125:J125)</x:f>
        <x:v>12135105.00</x:v>
      </x:c>
      <x:c r="L125" s="31"/>
      <x:c r="M125" s="31"/>
      <x:c r="N125" s="31"/>
      <x:c r="O125" s="31"/>
      <x:c r="P125" s="31"/>
      <x:c r="Q125" s="31"/>
      <x:c r="R125" s="19"/>
      <x:c r="S125" s="37"/>
    </x:row>
    <x:row r="126" s="20" customFormat="1">
      <x:c r="A126" s="20">
        <x:v>248</x:v>
      </x:c>
      <x:c r="B126" s="7"/>
      <x:c r="C126" s="8"/>
      <x:c r="D126" s="21"/>
      <x:c r="E126" s="24" t="s">
        <x:v>142</x:v>
      </x:c>
      <x:c r="F126" s="31">
        <x:v>21603759.00</x:v>
      </x:c>
      <x:c r="G126" s="31">
        <x:v>0.00</x:v>
      </x:c>
      <x:c r="H126" s="31">
        <x:v>442996.00</x:v>
      </x:c>
      <x:c r="I126" s="31">
        <x:v>570147.00</x:v>
      </x:c>
      <x:c r="J126" s="31">
        <x:v>2508652.00</x:v>
      </x:c>
      <x:c r="K126" s="33">
        <x:f>SUM(F126:J126)</x:f>
        <x:v>25125554.00</x:v>
      </x:c>
      <x:c r="L126" s="31">
        <x:v>4891771.3499999996</x:v>
      </x:c>
      <x:c r="M126" s="31"/>
      <x:c r="N126" s="31">
        <x:v>15815.033585796002869917328043760199</x:v>
      </x:c>
      <x:c r="O126" s="31">
        <x:v>29890.503189576788920426939613601536</x:v>
      </x:c>
      <x:c r="P126" s="31">
        <x:v>2154523.113224627208209655732340438035</x:v>
      </x:c>
      <x:c r="Q126" s="31">
        <x:f>N126+O126+P126</x:f>
        <x:v>2200228.65</x:v>
      </x:c>
      <x:c r="R126" s="19">
        <x:f>SUM(L126:P126)</x:f>
        <x:v>7091999.9999999996</x:v>
      </x:c>
      <x:c r="S126" s="37">
        <x:f>IF(K126=0,0,R126/K126)</x:f>
        <x:v>0.282262432899986985</x:v>
      </x:c>
    </x:row>
    <x:row r="127" s="20" customFormat="1">
      <x:c r="A127" s="20">
        <x:v>249</x:v>
      </x:c>
      <x:c r="B127" s="7"/>
      <x:c r="C127" s="8"/>
      <x:c r="D127" s="21"/>
      <x:c r="E127" s="24" t="s">
        <x:v>143</x:v>
      </x:c>
      <x:c r="F127" s="31">
        <x:v>0.00</x:v>
      </x:c>
      <x:c r="G127" s="31">
        <x:v>0.00</x:v>
      </x:c>
      <x:c r="H127" s="31">
        <x:v>0.00</x:v>
      </x:c>
      <x:c r="I127" s="31">
        <x:v>0.00</x:v>
      </x:c>
      <x:c r="J127" s="31">
        <x:v>0.00</x:v>
      </x:c>
      <x:c r="K127" s="33">
        <x:f>SUM(F127:J127)</x:f>
        <x:v>0.00</x:v>
      </x:c>
      <x:c r="L127" s="31"/>
      <x:c r="M127" s="31"/>
      <x:c r="N127" s="31"/>
      <x:c r="O127" s="31"/>
      <x:c r="P127" s="31"/>
      <x:c r="Q127" s="31"/>
      <x:c r="R127" s="19"/>
      <x:c r="S127" s="37"/>
    </x:row>
    <x:row r="128" s="20" customFormat="1">
      <x:c r="A128" s="20">
        <x:v>250</x:v>
      </x:c>
      <x:c r="B128" s="7"/>
      <x:c r="C128" s="8"/>
      <x:c r="D128" s="21"/>
      <x:c r="E128" s="24" t="s">
        <x:v>144</x:v>
      </x:c>
      <x:c r="F128" s="31">
        <x:v>0.00</x:v>
      </x:c>
      <x:c r="G128" s="31">
        <x:v>0.00</x:v>
      </x:c>
      <x:c r="H128" s="31">
        <x:v>0.00</x:v>
      </x:c>
      <x:c r="I128" s="31">
        <x:v>0.00</x:v>
      </x:c>
      <x:c r="J128" s="31">
        <x:v>0.00</x:v>
      </x:c>
      <x:c r="K128" s="33">
        <x:f>SUM(F128:J128)</x:f>
        <x:v>0.00</x:v>
      </x:c>
      <x:c r="L128" s="31"/>
      <x:c r="M128" s="31"/>
      <x:c r="N128" s="31"/>
      <x:c r="O128" s="31"/>
      <x:c r="P128" s="31"/>
      <x:c r="Q128" s="31"/>
      <x:c r="R128" s="19"/>
      <x:c r="S128" s="37"/>
    </x:row>
    <x:row r="129" s="20" customFormat="1">
      <x:c r="A129" s="20">
        <x:v>251</x:v>
      </x:c>
      <x:c r="B129" s="7"/>
      <x:c r="C129" s="8"/>
      <x:c r="D129" s="21"/>
      <x:c r="E129" s="24" t="s">
        <x:v>145</x:v>
      </x:c>
      <x:c r="F129" s="31">
        <x:v>94766714.00</x:v>
      </x:c>
      <x:c r="G129" s="31">
        <x:v>0.00</x:v>
      </x:c>
      <x:c r="H129" s="31">
        <x:v>1943237.00</x:v>
      </x:c>
      <x:c r="I129" s="31">
        <x:v>2500997.00</x:v>
      </x:c>
      <x:c r="J129" s="31">
        <x:v>11004412.00</x:v>
      </x:c>
      <x:c r="K129" s="33">
        <x:f>SUM(F129:J129)</x:f>
        <x:v>110215360.00</x:v>
      </x:c>
      <x:c r="L129" s="31">
        <x:v>50558473.770000003</x:v>
      </x:c>
      <x:c r="M129" s="31"/>
      <x:c r="N129" s="31">
        <x:v>158824.573742443429320414718379736879</x:v>
      </x:c>
      <x:c r="O129" s="31">
        <x:v>300179.345322126018287163066879899804</x:v>
      </x:c>
      <x:c r="P129" s="31">
        <x:v>21637084.310935430552392422214718267227</x:v>
      </x:c>
      <x:c r="Q129" s="31">
        <x:f>N129+O129+P129</x:f>
        <x:v>22096088.23</x:v>
      </x:c>
      <x:c r="R129" s="19">
        <x:f>SUM(L129:P129)</x:f>
        <x:v>72654562.000000003</x:v>
      </x:c>
      <x:c r="S129" s="37">
        <x:f>IF(K129=0,0,R129/K129)</x:f>
        <x:v>0.659205413837055043</x:v>
      </x:c>
    </x:row>
    <x:row r="130" s="20" customFormat="1">
      <x:c r="A130" s="20">
        <x:v>252</x:v>
      </x:c>
      <x:c r="B130" s="7"/>
      <x:c r="C130" s="8"/>
      <x:c r="D130" s="21"/>
      <x:c r="E130" s="24" t="s">
        <x:v>146</x:v>
      </x:c>
      <x:c r="F130" s="31">
        <x:v>30757764.00</x:v>
      </x:c>
      <x:c r="G130" s="31">
        <x:v>0.00</x:v>
      </x:c>
      <x:c r="H130" s="31">
        <x:v>630703.00</x:v>
      </x:c>
      <x:c r="I130" s="31">
        <x:v>811731.00</x:v>
      </x:c>
      <x:c r="J130" s="31">
        <x:v>3571625.00</x:v>
      </x:c>
      <x:c r="K130" s="33">
        <x:f>SUM(F130:J130)</x:f>
        <x:v>35771823.00</x:v>
      </x:c>
      <x:c r="L130" s="31">
        <x:v>16542983.68</x:v>
      </x:c>
      <x:c r="M130" s="31"/>
      <x:c r="N130" s="31">
        <x:v>52120.957682982698633385560203113133</x:v>
      </x:c>
      <x:c r="O130" s="31">
        <x:v>98508.905682388901724929588474564622</x:v>
      </x:c>
      <x:c r="P130" s="31">
        <x:v>7100573.476634628299641684851315071040</x:v>
      </x:c>
      <x:c r="Q130" s="31">
        <x:f>N130+O130+P130</x:f>
        <x:v>7251203.3399999999</x:v>
      </x:c>
      <x:c r="R130" s="19">
        <x:f>SUM(L130:P130)</x:f>
        <x:v>23794187.0199999999</x:v>
      </x:c>
      <x:c r="S130" s="37">
        <x:f>IF(K130=0,0,R130/K130)</x:f>
        <x:v>0.665165625470080177</x:v>
      </x:c>
    </x:row>
    <x:row r="131" s="20" customFormat="1">
      <x:c r="A131" s="20">
        <x:v>253</x:v>
      </x:c>
      <x:c r="B131" s="7"/>
      <x:c r="C131" s="8"/>
      <x:c r="D131" s="21"/>
      <x:c r="E131" s="24" t="s">
        <x:v>147</x:v>
      </x:c>
      <x:c r="F131" s="31">
        <x:v>13702535.00</x:v>
      </x:c>
      <x:c r="G131" s="31">
        <x:v>0.00</x:v>
      </x:c>
      <x:c r="H131" s="31">
        <x:v>280977.00</x:v>
      </x:c>
      <x:c r="I131" s="31">
        <x:v>361625.00</x:v>
      </x:c>
      <x:c r="J131" s="31">
        <x:v>1591153.00</x:v>
      </x:c>
      <x:c r="K131" s="33">
        <x:f>SUM(F131:J131)</x:f>
        <x:v>15936290.00</x:v>
      </x:c>
      <x:c r="L131" s="31">
        <x:v>3266147.50</x:v>
      </x:c>
      <x:c r="M131" s="31"/>
      <x:c r="N131" s="31">
        <x:v>9893.090435575544859857128597225320</x:v>
      </x:c>
      <x:c r="O131" s="31">
        <x:v>18697.997042821884613038703684060067</x:v>
      </x:c>
      <x:c r="P131" s="31">
        <x:v>1347761.412521602570527104167717338260</x:v>
      </x:c>
      <x:c r="Q131" s="31">
        <x:f>N131+O131+P131</x:f>
        <x:v>1376352.50</x:v>
      </x:c>
      <x:c r="R131" s="19">
        <x:f>SUM(L131:P131)</x:f>
        <x:v>4642500.00</x:v>
      </x:c>
      <x:c r="S131" s="37">
        <x:f>IF(K131=0,0,R131/K131)</x:f>
        <x:v>0.291316234832573955</x:v>
      </x:c>
    </x:row>
    <x:row r="132" s="20" customFormat="1">
      <x:c r="A132" s="20">
        <x:v>254</x:v>
      </x:c>
      <x:c r="B132" s="7"/>
      <x:c r="C132" s="8"/>
      <x:c r="D132" s="21"/>
      <x:c r="E132" s="24" t="s">
        <x:v>148</x:v>
      </x:c>
      <x:c r="F132" s="31">
        <x:v>1545389.00</x:v>
      </x:c>
      <x:c r="G132" s="31">
        <x:v>0.00</x:v>
      </x:c>
      <x:c r="H132" s="31">
        <x:v>31689.00</x:v>
      </x:c>
      <x:c r="I132" s="31">
        <x:v>40785.00</x:v>
      </x:c>
      <x:c r="J132" s="31">
        <x:v>179452.00</x:v>
      </x:c>
      <x:c r="K132" s="33">
        <x:f>SUM(F132:J132)</x:f>
        <x:v>1797315.00</x:v>
      </x:c>
      <x:c r="L132" s="31">
        <x:v>326242.99</x:v>
      </x:c>
      <x:c r="M132" s="31"/>
      <x:c r="N132" s="31">
        <x:v>1023.248603877373125976179688187794</x:v>
      </x:c>
      <x:c r="O132" s="31">
        <x:v>1933.945665812330384895727563061625</x:v>
      </x:c>
      <x:c r="P132" s="31">
        <x:v>139399.815730310296489128092748608223</x:v>
      </x:c>
      <x:c r="Q132" s="31">
        <x:f>N132+O132+P132</x:f>
        <x:v>142357.01</x:v>
      </x:c>
      <x:c r="R132" s="19">
        <x:f>SUM(L132:P132)</x:f>
        <x:v>468600.00</x:v>
      </x:c>
      <x:c r="S132" s="37">
        <x:f>IF(K132=0,0,R132/K132)</x:f>
        <x:v>0.260722244013987531</x:v>
      </x:c>
    </x:row>
    <x:row r="133" s="20" customFormat="1">
      <x:c r="A133" s="20">
        <x:v>233</x:v>
      </x:c>
      <x:c r="B133" s="7"/>
      <x:c r="C133" s="8"/>
      <x:c r="D133" s="21"/>
      <x:c r="E133" s="24" t="s">
        <x:v>149</x:v>
      </x:c>
      <x:c r="F133" s="31">
        <x:v>0.00</x:v>
      </x:c>
      <x:c r="G133" s="31">
        <x:v>0.00</x:v>
      </x:c>
      <x:c r="H133" s="31">
        <x:v>0.00</x:v>
      </x:c>
      <x:c r="I133" s="31">
        <x:v>0.00</x:v>
      </x:c>
      <x:c r="J133" s="31">
        <x:v>0.00</x:v>
      </x:c>
      <x:c r="K133" s="33">
        <x:f>SUM(F133:J133)</x:f>
        <x:v>0.00</x:v>
      </x:c>
      <x:c r="L133" s="31"/>
      <x:c r="M133" s="31"/>
      <x:c r="N133" s="31"/>
      <x:c r="O133" s="31"/>
      <x:c r="P133" s="31"/>
      <x:c r="Q133" s="31"/>
      <x:c r="R133" s="19"/>
      <x:c r="S133" s="37"/>
    </x:row>
    <x:row r="134" s="20" customFormat="1">
      <x:c r="A134" s="20">
        <x:v>234</x:v>
      </x:c>
      <x:c r="B134" s="7"/>
      <x:c r="C134" s="8"/>
      <x:c r="D134" s="21"/>
      <x:c r="E134" s="24" t="s">
        <x:v>150</x:v>
      </x:c>
      <x:c r="F134" s="31">
        <x:v>402127.00</x:v>
      </x:c>
      <x:c r="G134" s="31">
        <x:v>0.00</x:v>
      </x:c>
      <x:c r="H134" s="31">
        <x:v>8246.00</x:v>
      </x:c>
      <x:c r="I134" s="31">
        <x:v>10613.00</x:v>
      </x:c>
      <x:c r="J134" s="31">
        <x:v>46695.00</x:v>
      </x:c>
      <x:c r="K134" s="33">
        <x:f>SUM(F134:J134)</x:f>
        <x:v>467681.00</x:v>
      </x:c>
      <x:c r="L134" s="31"/>
      <x:c r="M134" s="31"/>
      <x:c r="N134" s="31"/>
      <x:c r="O134" s="31"/>
      <x:c r="P134" s="31"/>
      <x:c r="Q134" s="31"/>
      <x:c r="R134" s="19"/>
      <x:c r="S134" s="37"/>
    </x:row>
    <x:row r="135" s="20" customFormat="1">
      <x:c r="A135" s="20">
        <x:v>237</x:v>
      </x:c>
      <x:c r="B135" s="7"/>
      <x:c r="C135" s="8"/>
      <x:c r="D135" s="21"/>
      <x:c r="E135" s="24" t="s">
        <x:v>151</x:v>
      </x:c>
      <x:c r="F135" s="31">
        <x:v>0.00</x:v>
      </x:c>
      <x:c r="G135" s="31">
        <x:v>0.00</x:v>
      </x:c>
      <x:c r="H135" s="31">
        <x:v>0.00</x:v>
      </x:c>
      <x:c r="I135" s="31">
        <x:v>0.00</x:v>
      </x:c>
      <x:c r="J135" s="31">
        <x:v>0.00</x:v>
      </x:c>
      <x:c r="K135" s="33">
        <x:f>SUM(F135:J135)</x:f>
        <x:v>0.00</x:v>
      </x:c>
      <x:c r="L135" s="31"/>
      <x:c r="M135" s="31"/>
      <x:c r="N135" s="31"/>
      <x:c r="O135" s="31"/>
      <x:c r="P135" s="31"/>
      <x:c r="Q135" s="31"/>
      <x:c r="R135" s="19"/>
      <x:c r="S135" s="37"/>
    </x:row>
    <x:row r="136" s="20" customFormat="1">
      <x:c r="A136" s="20">
        <x:v>256</x:v>
      </x:c>
      <x:c r="B136" s="7"/>
      <x:c r="C136" s="8"/>
      <x:c r="D136" s="21"/>
      <x:c r="E136" s="24" t="s">
        <x:v>152</x:v>
      </x:c>
      <x:c r="F136" s="31">
        <x:v>187961406.00</x:v>
      </x:c>
      <x:c r="G136" s="31">
        <x:v>0.00</x:v>
      </x:c>
      <x:c r="H136" s="31">
        <x:v>3854239.00</x:v>
      </x:c>
      <x:c r="I136" s="31">
        <x:v>4960508.00</x:v>
      </x:c>
      <x:c r="J136" s="31">
        <x:v>21826280.00</x:v>
      </x:c>
      <x:c r="K136" s="33">
        <x:f>SUM(F136:J136)</x:f>
        <x:v>218602433.00</x:v>
      </x:c>
      <x:c r="L136" s="31">
        <x:v>96371617.060000002</x:v>
      </x:c>
      <x:c r="M136" s="31"/>
      <x:c r="N136" s="31">
        <x:v>291509.585376495067347732737354981311</x:v>
      </x:c>
      <x:c r="O136" s="31">
        <x:v>550954.769980007696401288487717603647</x:v>
      </x:c>
      <x:c r="P136" s="31">
        <x:v>39713108.164643500236250978774886859468</x:v>
      </x:c>
      <x:c r="Q136" s="31">
        <x:f>N136+O136+P136</x:f>
        <x:v>40555572.520000003</x:v>
      </x:c>
      <x:c r="R136" s="19">
        <x:f>SUM(L136:P136)</x:f>
        <x:v>136927189.580000005</x:v>
      </x:c>
      <x:c r="S136" s="37">
        <x:f>IF(K136=0,0,R136/K136)</x:f>
        <x:v>0.626375414495043634</x:v>
      </x:c>
    </x:row>
    <x:row r="137" s="20" customFormat="1">
      <x:c r="A137" s="20">
        <x:v>261</x:v>
      </x:c>
      <x:c r="B137" s="7"/>
      <x:c r="C137" s="8"/>
      <x:c r="D137" s="21"/>
      <x:c r="E137" s="24" t="s">
        <x:v>153</x:v>
      </x:c>
      <x:c r="F137" s="31">
        <x:v>0.00</x:v>
      </x:c>
      <x:c r="G137" s="31">
        <x:v>0.00</x:v>
      </x:c>
      <x:c r="H137" s="31">
        <x:v>0.00</x:v>
      </x:c>
      <x:c r="I137" s="31">
        <x:v>0.00</x:v>
      </x:c>
      <x:c r="J137" s="31">
        <x:v>0.00</x:v>
      </x:c>
      <x:c r="K137" s="33">
        <x:f>SUM(F137:J137)</x:f>
        <x:v>0.00</x:v>
      </x:c>
      <x:c r="L137" s="31"/>
      <x:c r="M137" s="31"/>
      <x:c r="N137" s="31"/>
      <x:c r="O137" s="31"/>
      <x:c r="P137" s="31"/>
      <x:c r="Q137" s="31"/>
      <x:c r="R137" s="19"/>
      <x:c r="S137" s="37"/>
    </x:row>
    <x:row r="138" s="20" customFormat="1">
      <x:c r="A138" s="20">
        <x:v>227</x:v>
      </x:c>
      <x:c r="B138" s="7"/>
      <x:c r="C138" s="8"/>
      <x:c r="D138" s="21"/>
      <x:c r="E138" s="24" t="s">
        <x:v>154</x:v>
      </x:c>
      <x:c r="F138" s="31">
        <x:v>59115868.00</x:v>
      </x:c>
      <x:c r="G138" s="31">
        <x:v>0.00</x:v>
      </x:c>
      <x:c r="H138" s="31">
        <x:v>1212199.00</x:v>
      </x:c>
      <x:c r="I138" s="31">
        <x:v>1560133.00</x:v>
      </x:c>
      <x:c r="J138" s="31">
        <x:v>6864598.00</x:v>
      </x:c>
      <x:c r="K138" s="33">
        <x:f>SUM(F138:J138)</x:f>
        <x:v>68752798.00</x:v>
      </x:c>
      <x:c r="L138" s="31"/>
      <x:c r="M138" s="31"/>
      <x:c r="N138" s="31"/>
      <x:c r="O138" s="31"/>
      <x:c r="P138" s="31"/>
      <x:c r="Q138" s="31"/>
      <x:c r="R138" s="19"/>
      <x:c r="S138" s="37"/>
    </x:row>
    <x:row r="139" s="20" customFormat="1">
      <x:c r="A139" s="20">
        <x:v>226</x:v>
      </x:c>
      <x:c r="B139" s="7"/>
      <x:c r="C139" s="8"/>
      <x:c r="D139" s="21"/>
      <x:c r="E139" s="24" t="s">
        <x:v>155</x:v>
      </x:c>
      <x:c r="F139" s="31">
        <x:v>69301.00</x:v>
      </x:c>
      <x:c r="G139" s="31">
        <x:v>0.00</x:v>
      </x:c>
      <x:c r="H139" s="31">
        <x:v>1421.00</x:v>
      </x:c>
      <x:c r="I139" s="31">
        <x:v>1829.00</x:v>
      </x:c>
      <x:c r="J139" s="31">
        <x:v>8047.00</x:v>
      </x:c>
      <x:c r="K139" s="33">
        <x:f>SUM(F139:J139)</x:f>
        <x:v>80598.00</x:v>
      </x:c>
      <x:c r="L139" s="31"/>
      <x:c r="M139" s="31"/>
      <x:c r="N139" s="31"/>
      <x:c r="O139" s="31"/>
      <x:c r="P139" s="31"/>
      <x:c r="Q139" s="31"/>
      <x:c r="R139" s="19"/>
      <x:c r="S139" s="37"/>
    </x:row>
    <x:row r="140" s="20" customFormat="1">
      <x:c r="A140" s="20">
        <x:v>228</x:v>
      </x:c>
      <x:c r="B140" s="7"/>
      <x:c r="C140" s="8"/>
      <x:c r="D140" s="21"/>
      <x:c r="E140" s="24" t="s">
        <x:v>156</x:v>
      </x:c>
      <x:c r="F140" s="31">
        <x:v>371039.00</x:v>
      </x:c>
      <x:c r="G140" s="31">
        <x:v>0.00</x:v>
      </x:c>
      <x:c r="H140" s="31">
        <x:v>7608.00</x:v>
      </x:c>
      <x:c r="I140" s="31">
        <x:v>9792.00</x:v>
      </x:c>
      <x:c r="J140" s="31">
        <x:v>43085.00</x:v>
      </x:c>
      <x:c r="K140" s="33">
        <x:f>SUM(F140:J140)</x:f>
        <x:v>431524.00</x:v>
      </x:c>
      <x:c r="L140" s="31"/>
      <x:c r="M140" s="31"/>
      <x:c r="N140" s="31"/>
      <x:c r="O140" s="31"/>
      <x:c r="P140" s="31"/>
      <x:c r="Q140" s="31"/>
      <x:c r="R140" s="19"/>
      <x:c r="S140" s="37"/>
    </x:row>
    <x:row r="141" s="20" customFormat="1">
      <x:c r="A141" s="20">
        <x:v>260</x:v>
      </x:c>
      <x:c r="B141" s="7"/>
      <x:c r="C141" s="8"/>
      <x:c r="D141" s="21"/>
      <x:c r="E141" s="24" t="s">
        <x:v>157</x:v>
      </x:c>
      <x:c r="F141" s="31">
        <x:v>0.00</x:v>
      </x:c>
      <x:c r="G141" s="31">
        <x:v>0.00</x:v>
      </x:c>
      <x:c r="H141" s="31">
        <x:v>0.00</x:v>
      </x:c>
      <x:c r="I141" s="31">
        <x:v>0.00</x:v>
      </x:c>
      <x:c r="J141" s="31">
        <x:v>0.00</x:v>
      </x:c>
      <x:c r="K141" s="33">
        <x:f>SUM(F141:J141)</x:f>
        <x:v>0.00</x:v>
      </x:c>
      <x:c r="L141" s="31"/>
      <x:c r="M141" s="31"/>
      <x:c r="N141" s="31"/>
      <x:c r="O141" s="31"/>
      <x:c r="P141" s="31"/>
      <x:c r="Q141" s="31"/>
      <x:c r="R141" s="19"/>
      <x:c r="S141" s="37"/>
    </x:row>
    <x:row r="142" s="20" customFormat="1">
      <x:c r="A142" s="20">
        <x:v>238</x:v>
      </x:c>
      <x:c r="B142" s="7"/>
      <x:c r="C142" s="8"/>
      <x:c r="D142" s="21"/>
      <x:c r="E142" s="24" t="s">
        <x:v>158</x:v>
      </x:c>
      <x:c r="F142" s="31">
        <x:v>0.00</x:v>
      </x:c>
      <x:c r="G142" s="31">
        <x:v>0.00</x:v>
      </x:c>
      <x:c r="H142" s="31">
        <x:v>0.00</x:v>
      </x:c>
      <x:c r="I142" s="31">
        <x:v>0.00</x:v>
      </x:c>
      <x:c r="J142" s="31">
        <x:v>0.00</x:v>
      </x:c>
      <x:c r="K142" s="33">
        <x:f>SUM(F142:J142)</x:f>
        <x:v>0.00</x:v>
      </x:c>
      <x:c r="L142" s="31"/>
      <x:c r="M142" s="31"/>
      <x:c r="N142" s="31"/>
      <x:c r="O142" s="31"/>
      <x:c r="P142" s="31"/>
      <x:c r="Q142" s="31"/>
      <x:c r="R142" s="19"/>
      <x:c r="S142" s="37"/>
    </x:row>
    <x:row r="143" s="23" customFormat="1">
      <x:c r="B143" s="12">
        <x:v>22</x:v>
      </x:c>
      <x:c r="C143" s="8" t="s">
        <x:v>34</x:v>
      </x:c>
      <x:c r="D143" s="14"/>
      <x:c r="E143" s="15" t="s">
        <x:v>159</x:v>
      </x:c>
      <x:c r="F143" s="32">
        <x:f>SUM(F56:F142)</x:f>
        <x:v>2653916202.00</x:v>
      </x:c>
      <x:c r="G143" s="32">
        <x:f>SUM(G56:G142)</x:f>
        <x:v>0.00</x:v>
      </x:c>
      <x:c r="H143" s="32">
        <x:f>SUM(H56:H142)</x:f>
        <x:v>54419834.00</x:v>
      </x:c>
      <x:c r="I143" s="32">
        <x:f>SUM(I56:I142)</x:f>
        <x:v>70039761.00</x:v>
      </x:c>
      <x:c r="J143" s="32">
        <x:f>SUM(J56:J142)</x:f>
        <x:v>308175590.00</x:v>
      </x:c>
      <x:c r="K143" s="32">
        <x:f>SUM(K56:K142)</x:f>
        <x:v>3086551387.00</x:v>
      </x:c>
      <x:c r="L143" s="32">
        <x:f>SUM(L56:L142)</x:f>
        <x:v>986700329.0200000107</x:v>
      </x:c>
      <x:c r="M143" s="32"/>
      <x:c r="N143" s="32">
        <x:f>SUM(N56:N142)</x:f>
        <x:v>3148609.153953922429183638846296515429</x:v>
      </x:c>
      <x:c r="O143" s="32">
        <x:f>SUM(O56:O142)</x:f>
        <x:v>5950889.161785707858298316733754711846</x:v>
      </x:c>
      <x:c r="P143" s="32">
        <x:f>SUM(P56:P142)</x:f>
        <x:v>428943205.204260365932518044419510729977</x:v>
      </x:c>
      <x:c r="Q143" s="32">
        <x:f>SUM(Q56:Q142)</x:f>
        <x:v>438042703.51999999622</x:v>
      </x:c>
      <x:c r="R143" s="16">
        <x:f>SUM(R56:R142)</x:f>
        <x:v>1424743032.54000000692</x:v>
      </x:c>
      <x:c r="S143" s="37">
        <x:f>IF(K143=0,0,R143/K143)</x:f>
        <x:v>0.461597055711031324</x:v>
      </x:c>
    </x:row>
    <x:row r="144" s="20" customFormat="1">
      <x:c r="B144" s="7"/>
      <x:c r="C144" s="8" t="s">
        <x:v>36</x:v>
      </x:c>
      <x:c r="D144" s="21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19"/>
      <x:c r="S144" s="19"/>
    </x:row>
    <x:row r="145" s="20" customFormat="1">
      <x:c r="B145" s="7"/>
      <x:c r="C145" s="8" t="s">
        <x:v>29</x:v>
      </x:c>
      <x:c r="D145" s="21"/>
      <x:c r="E145" s="22" t="s">
        <x:v>160</x:v>
      </x:c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19"/>
      <x:c r="S145" s="19"/>
    </x:row>
    <x:row r="146" s="20" customFormat="1">
      <x:c r="A146" s="20">
        <x:v>269</x:v>
      </x:c>
      <x:c r="B146" s="7"/>
      <x:c r="C146" s="8"/>
      <x:c r="D146" s="21"/>
      <x:c r="E146" s="24" t="s">
        <x:v>161</x:v>
      </x:c>
      <x:c r="F146" s="31">
        <x:v>0.00</x:v>
      </x:c>
      <x:c r="G146" s="31">
        <x:v>0.00</x:v>
      </x:c>
      <x:c r="H146" s="31">
        <x:v>0.00</x:v>
      </x:c>
      <x:c r="I146" s="31">
        <x:v>0.00</x:v>
      </x:c>
      <x:c r="J146" s="31">
        <x:v>0.00</x:v>
      </x:c>
      <x:c r="K146" s="33">
        <x:f>SUM(F146:J146)</x:f>
        <x:v>0.00</x:v>
      </x:c>
      <x:c r="L146" s="31"/>
      <x:c r="M146" s="31"/>
      <x:c r="N146" s="31"/>
      <x:c r="O146" s="31"/>
      <x:c r="P146" s="31"/>
      <x:c r="Q146" s="31"/>
      <x:c r="R146" s="19"/>
      <x:c r="S146" s="37"/>
    </x:row>
    <x:row r="147" s="20" customFormat="1">
      <x:c r="A147" s="20">
        <x:v>270</x:v>
      </x:c>
      <x:c r="B147" s="7"/>
      <x:c r="C147" s="8"/>
      <x:c r="D147" s="21"/>
      <x:c r="E147" s="24" t="s">
        <x:v>162</x:v>
      </x:c>
      <x:c r="F147" s="31">
        <x:v>0.00</x:v>
      </x:c>
      <x:c r="G147" s="31">
        <x:v>0.00</x:v>
      </x:c>
      <x:c r="H147" s="31">
        <x:v>0.00</x:v>
      </x:c>
      <x:c r="I147" s="31">
        <x:v>0.00</x:v>
      </x:c>
      <x:c r="J147" s="31">
        <x:v>0.00</x:v>
      </x:c>
      <x:c r="K147" s="33">
        <x:f>SUM(F147:J147)</x:f>
        <x:v>0.00</x:v>
      </x:c>
      <x:c r="L147" s="31"/>
      <x:c r="M147" s="31"/>
      <x:c r="N147" s="31"/>
      <x:c r="O147" s="31"/>
      <x:c r="P147" s="31"/>
      <x:c r="Q147" s="31"/>
      <x:c r="R147" s="19"/>
      <x:c r="S147" s="37"/>
    </x:row>
    <x:row r="148" s="20" customFormat="1">
      <x:c r="A148" s="20">
        <x:v>271</x:v>
      </x:c>
      <x:c r="B148" s="7"/>
      <x:c r="C148" s="8"/>
      <x:c r="D148" s="21"/>
      <x:c r="E148" s="24" t="s">
        <x:v>163</x:v>
      </x:c>
      <x:c r="F148" s="31">
        <x:v>0.00</x:v>
      </x:c>
      <x:c r="G148" s="31">
        <x:v>0.00</x:v>
      </x:c>
      <x:c r="H148" s="31">
        <x:v>0.00</x:v>
      </x:c>
      <x:c r="I148" s="31">
        <x:v>0.00</x:v>
      </x:c>
      <x:c r="J148" s="31">
        <x:v>0.00</x:v>
      </x:c>
      <x:c r="K148" s="33">
        <x:f>SUM(F148:J148)</x:f>
        <x:v>0.00</x:v>
      </x:c>
      <x:c r="L148" s="31"/>
      <x:c r="M148" s="31"/>
      <x:c r="N148" s="31"/>
      <x:c r="O148" s="31"/>
      <x:c r="P148" s="31"/>
      <x:c r="Q148" s="31"/>
      <x:c r="R148" s="19"/>
      <x:c r="S148" s="37"/>
    </x:row>
    <x:row r="149" s="20" customFormat="1">
      <x:c r="A149" s="20">
        <x:v>272</x:v>
      </x:c>
      <x:c r="B149" s="7"/>
      <x:c r="C149" s="8"/>
      <x:c r="D149" s="21"/>
      <x:c r="E149" s="24" t="s">
        <x:v>164</x:v>
      </x:c>
      <x:c r="F149" s="31">
        <x:v>88088214.00</x:v>
      </x:c>
      <x:c r="G149" s="31">
        <x:v>0.00</x:v>
      </x:c>
      <x:c r="H149" s="31">
        <x:v>1806291.00</x:v>
      </x:c>
      <x:c r="I149" s="31">
        <x:v>2324745.00</x:v>
      </x:c>
      <x:c r="J149" s="31">
        <x:v>10228898.00</x:v>
      </x:c>
      <x:c r="K149" s="33">
        <x:f>SUM(F149:J149)</x:f>
        <x:v>102448148.00</x:v>
      </x:c>
      <x:c r="L149" s="31">
        <x:v>30142900.219999999</x:v>
      </x:c>
      <x:c r="M149" s="31"/>
      <x:c r="N149" s="31">
        <x:v>97499.839491309344445470931947973314</x:v>
      </x:c>
      <x:c r="O149" s="31">
        <x:v>184275.249716551474365125938697032137</x:v>
      </x:c>
      <x:c r="P149" s="31">
        <x:v>13282656.440792138181189403129341430116</x:v>
      </x:c>
      <x:c r="Q149" s="31">
        <x:f>N149+O149+P149</x:f>
        <x:v>13564431.529999999</x:v>
      </x:c>
      <x:c r="R149" s="19">
        <x:f>SUM(L149:P149)</x:f>
        <x:v>43707331.749999998</x:v>
      </x:c>
      <x:c r="S149" s="37">
        <x:f>IF(K149=0,0,R149/K149)</x:f>
        <x:v>0.426628812753159754</x:v>
      </x:c>
    </x:row>
    <x:row r="150" s="20" customFormat="1">
      <x:c r="A150" s="20">
        <x:v>273</x:v>
      </x:c>
      <x:c r="B150" s="7"/>
      <x:c r="C150" s="8"/>
      <x:c r="D150" s="21"/>
      <x:c r="E150" s="24" t="s">
        <x:v>165</x:v>
      </x:c>
      <x:c r="F150" s="31">
        <x:v>0.00</x:v>
      </x:c>
      <x:c r="G150" s="31">
        <x:v>0.00</x:v>
      </x:c>
      <x:c r="H150" s="31">
        <x:v>0.00</x:v>
      </x:c>
      <x:c r="I150" s="31">
        <x:v>0.00</x:v>
      </x:c>
      <x:c r="J150" s="31">
        <x:v>0.00</x:v>
      </x:c>
      <x:c r="K150" s="33">
        <x:f>SUM(F150:J150)</x:f>
        <x:v>0.00</x:v>
      </x:c>
      <x:c r="L150" s="31"/>
      <x:c r="M150" s="31"/>
      <x:c r="N150" s="31"/>
      <x:c r="O150" s="31"/>
      <x:c r="P150" s="31"/>
      <x:c r="Q150" s="31"/>
      <x:c r="R150" s="19"/>
      <x:c r="S150" s="37"/>
    </x:row>
    <x:row r="151" s="20" customFormat="1">
      <x:c r="A151" s="20">
        <x:v>265</x:v>
      </x:c>
      <x:c r="B151" s="7"/>
      <x:c r="C151" s="8"/>
      <x:c r="D151" s="21"/>
      <x:c r="E151" s="24" t="s">
        <x:v>166</x:v>
      </x:c>
      <x:c r="F151" s="31">
        <x:v>148408.00</x:v>
      </x:c>
      <x:c r="G151" s="31">
        <x:v>0.00</x:v>
      </x:c>
      <x:c r="H151" s="31">
        <x:v>3043.00</x:v>
      </x:c>
      <x:c r="I151" s="31">
        <x:v>3917.00</x:v>
      </x:c>
      <x:c r="J151" s="31">
        <x:v>17233.00</x:v>
      </x:c>
      <x:c r="K151" s="33">
        <x:f>SUM(F151:J151)</x:f>
        <x:v>172601.00</x:v>
      </x:c>
      <x:c r="L151" s="31"/>
      <x:c r="M151" s="31"/>
      <x:c r="N151" s="31"/>
      <x:c r="O151" s="31"/>
      <x:c r="P151" s="31"/>
      <x:c r="Q151" s="31"/>
      <x:c r="R151" s="19"/>
      <x:c r="S151" s="37"/>
    </x:row>
    <x:row r="152" s="20" customFormat="1">
      <x:c r="A152" s="20">
        <x:v>266</x:v>
      </x:c>
      <x:c r="B152" s="7"/>
      <x:c r="C152" s="8"/>
      <x:c r="D152" s="21"/>
      <x:c r="E152" s="24" t="s">
        <x:v>167</x:v>
      </x:c>
      <x:c r="F152" s="31">
        <x:v>10383730.00</x:v>
      </x:c>
      <x:c r="G152" s="31">
        <x:v>0.00</x:v>
      </x:c>
      <x:c r="H152" s="31">
        <x:v>212923.00</x:v>
      </x:c>
      <x:c r="I152" s="31">
        <x:v>274038.00</x:v>
      </x:c>
      <x:c r="J152" s="31">
        <x:v>1205770.00</x:v>
      </x:c>
      <x:c r="K152" s="33">
        <x:f>SUM(F152:J152)</x:f>
        <x:v>12076461.00</x:v>
      </x:c>
      <x:c r="L152" s="31"/>
      <x:c r="M152" s="31"/>
      <x:c r="N152" s="31"/>
      <x:c r="O152" s="31"/>
      <x:c r="P152" s="31"/>
      <x:c r="Q152" s="31"/>
      <x:c r="R152" s="19"/>
      <x:c r="S152" s="37"/>
    </x:row>
    <x:row r="153" s="20" customFormat="1">
      <x:c r="A153" s="20">
        <x:v>267</x:v>
      </x:c>
      <x:c r="B153" s="7"/>
      <x:c r="C153" s="8"/>
      <x:c r="D153" s="21"/>
      <x:c r="E153" s="24" t="s">
        <x:v>168</x:v>
      </x:c>
      <x:c r="F153" s="31">
        <x:v>29182665.00</x:v>
      </x:c>
      <x:c r="G153" s="31">
        <x:v>0.00</x:v>
      </x:c>
      <x:c r="H153" s="31">
        <x:v>598405.00</x:v>
      </x:c>
      <x:c r="I153" s="31">
        <x:v>770163.00</x:v>
      </x:c>
      <x:c r="J153" s="31">
        <x:v>3388722.00</x:v>
      </x:c>
      <x:c r="K153" s="33">
        <x:f>SUM(F153:J153)</x:f>
        <x:v>33939955.00</x:v>
      </x:c>
      <x:c r="L153" s="31">
        <x:v>3420082.19</x:v>
      </x:c>
      <x:c r="M153" s="31"/>
      <x:c r="N153" s="31">
        <x:v>11219.259548991426027071287914624700</x:v>
      </x:c>
      <x:c r="O153" s="31">
        <x:v>21204.464190010080945950586456518032</x:v>
      </x:c>
      <x:c r="P153" s="31">
        <x:v>1528428.876260998493026978125627296414</x:v>
      </x:c>
      <x:c r="Q153" s="31">
        <x:f>N153+O153+P153</x:f>
        <x:v>1560852.60</x:v>
      </x:c>
      <x:c r="R153" s="19">
        <x:f>SUM(L153:P153)</x:f>
        <x:v>4980934.79</x:v>
      </x:c>
      <x:c r="S153" s="37">
        <x:f>IF(K153=0,0,R153/K153)</x:f>
        <x:v>0.146757259695836367</x:v>
      </x:c>
    </x:row>
    <x:row r="154" s="20" customFormat="1">
      <x:c r="A154" s="20">
        <x:v>268</x:v>
      </x:c>
      <x:c r="B154" s="7"/>
      <x:c r="C154" s="8"/>
      <x:c r="D154" s="21"/>
      <x:c r="E154" s="24" t="s">
        <x:v>169</x:v>
      </x:c>
      <x:c r="F154" s="31">
        <x:v>0.00</x:v>
      </x:c>
      <x:c r="G154" s="31">
        <x:v>0.00</x:v>
      </x:c>
      <x:c r="H154" s="31">
        <x:v>0.00</x:v>
      </x:c>
      <x:c r="I154" s="31">
        <x:v>0.00</x:v>
      </x:c>
      <x:c r="J154" s="31">
        <x:v>0.00</x:v>
      </x:c>
      <x:c r="K154" s="33">
        <x:f>SUM(F154:J154)</x:f>
        <x:v>0.00</x:v>
      </x:c>
      <x:c r="L154" s="31"/>
      <x:c r="M154" s="31"/>
      <x:c r="N154" s="31"/>
      <x:c r="O154" s="31"/>
      <x:c r="P154" s="31"/>
      <x:c r="Q154" s="31"/>
      <x:c r="R154" s="19"/>
      <x:c r="S154" s="37"/>
    </x:row>
    <x:row r="155" s="20" customFormat="1">
      <x:c r="A155" s="20">
        <x:v>274</x:v>
      </x:c>
      <x:c r="B155" s="7"/>
      <x:c r="C155" s="8"/>
      <x:c r="D155" s="21"/>
      <x:c r="E155" s="24" t="s">
        <x:v>170</x:v>
      </x:c>
      <x:c r="F155" s="31">
        <x:v>213005369.00</x:v>
      </x:c>
      <x:c r="G155" s="31">
        <x:v>0.00</x:v>
      </x:c>
      <x:c r="H155" s="31">
        <x:v>4367778.00</x:v>
      </x:c>
      <x:c r="I155" s="31">
        <x:v>5621445.00</x:v>
      </x:c>
      <x:c r="J155" s="31">
        <x:v>24734411.00</x:v>
      </x:c>
      <x:c r="K155" s="33">
        <x:f>SUM(F155:J155)</x:f>
        <x:v>247729003.00</x:v>
      </x:c>
      <x:c r="L155" s="31">
        <x:v>85544948.569999993</x:v>
      </x:c>
      <x:c r="M155" s="31"/>
      <x:c r="N155" s="31">
        <x:v>268910.567700950037191269413714571605</x:v>
      </x:c>
      <x:c r="O155" s="31">
        <x:v>508242.498377950149241376535493378995</x:v>
      </x:c>
      <x:c r="P155" s="31">
        <x:v>36634385.273921103813567354050754637859</x:v>
      </x:c>
      <x:c r="Q155" s="31">
        <x:f>N155+O155+P155</x:f>
        <x:v>37411538.340000004</x:v>
      </x:c>
      <x:c r="R155" s="19">
        <x:f>SUM(L155:P155)</x:f>
        <x:v>122956486.909999997</x:v>
      </x:c>
      <x:c r="S155" s="37">
        <x:f>IF(K155=0,0,R155/K155)</x:f>
        <x:v>0.496334645604656944</x:v>
      </x:c>
    </x:row>
    <x:row r="156" s="20" customFormat="1">
      <x:c r="A156" s="20">
        <x:v>275</x:v>
      </x:c>
      <x:c r="B156" s="7"/>
      <x:c r="C156" s="8"/>
      <x:c r="D156" s="21"/>
      <x:c r="E156" s="24" t="s">
        <x:v>171</x:v>
      </x:c>
      <x:c r="F156" s="31">
        <x:v>16770526.00</x:v>
      </x:c>
      <x:c r="G156" s="31">
        <x:v>0.00</x:v>
      </x:c>
      <x:c r="H156" s="31">
        <x:v>343888.00</x:v>
      </x:c>
      <x:c r="I156" s="31">
        <x:v>442593.00</x:v>
      </x:c>
      <x:c r="J156" s="31">
        <x:v>1947411.00</x:v>
      </x:c>
      <x:c r="K156" s="33">
        <x:f>SUM(F156:J156)</x:f>
        <x:v>19504418.00</x:v>
      </x:c>
      <x:c r="L156" s="31">
        <x:v>9745097.3000000007</x:v>
      </x:c>
      <x:c r="M156" s="31"/>
      <x:c r="N156" s="31">
        <x:v>30664.480153875808684764817384887394</x:v>
      </x:c>
      <x:c r="O156" s="31">
        <x:v>57956.041438277212946646281973865621</x:v>
      </x:c>
      <x:c r="P156" s="31">
        <x:v>4177501.798407846978368588900636980862</x:v>
      </x:c>
      <x:c r="Q156" s="31">
        <x:f>N156+O156+P156</x:f>
        <x:v>4266122.32</x:v>
      </x:c>
      <x:c r="R156" s="19">
        <x:f>SUM(L156:P156)</x:f>
        <x:v>14011219.6200000007</x:v>
      </x:c>
      <x:c r="S156" s="37">
        <x:f>IF(K156=0,0,R156/K156)</x:f>
        <x:v>0.718361328187285603</x:v>
      </x:c>
    </x:row>
    <x:row r="157" s="20" customFormat="1">
      <x:c r="A157" s="20">
        <x:v>276</x:v>
      </x:c>
      <x:c r="B157" s="7"/>
      <x:c r="C157" s="8"/>
      <x:c r="D157" s="21"/>
      <x:c r="E157" s="24" t="s">
        <x:v>172</x:v>
      </x:c>
      <x:c r="F157" s="31">
        <x:v>161462098.00</x:v>
      </x:c>
      <x:c r="G157" s="31">
        <x:v>0.00</x:v>
      </x:c>
      <x:c r="H157" s="31">
        <x:v>3310858.00</x:v>
      </x:c>
      <x:c r="I157" s="31">
        <x:v>4261162.00</x:v>
      </x:c>
      <x:c r="J157" s="31">
        <x:v>18749152.00</x:v>
      </x:c>
      <x:c r="K157" s="33">
        <x:f>SUM(F157:J157)</x:f>
        <x:v>187783270.00</x:v>
      </x:c>
      <x:c r="L157" s="31">
        <x:v>80923392.939999998</x:v>
      </x:c>
      <x:c r="M157" s="31"/>
      <x:c r="N157" s="31">
        <x:v>254638.172797136529543014235009186536</x:v>
      </x:c>
      <x:c r="O157" s="31">
        <x:v>481267.591048098591786109263036789245</x:v>
      </x:c>
      <x:c r="P157" s="31">
        <x:v>34690019.836154765878670876501918598292</x:v>
      </x:c>
      <x:c r="Q157" s="31">
        <x:f>N157+O157+P157</x:f>
        <x:v>35425925.600000001</x:v>
      </x:c>
      <x:c r="R157" s="19">
        <x:f>SUM(L157:P157)</x:f>
        <x:v>116349318.539999999</x:v>
      </x:c>
      <x:c r="S157" s="37">
        <x:f>IF(K157=0,0,R157/K157)</x:f>
        <x:v>0.619593633341244930</x:v>
      </x:c>
    </x:row>
    <x:row r="158" s="20" customFormat="1">
      <x:c r="A158" s="20">
        <x:v>277</x:v>
      </x:c>
      <x:c r="B158" s="7"/>
      <x:c r="C158" s="8"/>
      <x:c r="D158" s="21"/>
      <x:c r="E158" s="24" t="s">
        <x:v>173</x:v>
      </x:c>
      <x:c r="F158" s="31">
        <x:v>0.00</x:v>
      </x:c>
      <x:c r="G158" s="31">
        <x:v>0.00</x:v>
      </x:c>
      <x:c r="H158" s="31">
        <x:v>0.00</x:v>
      </x:c>
      <x:c r="I158" s="31">
        <x:v>0.00</x:v>
      </x:c>
      <x:c r="J158" s="31">
        <x:v>0.00</x:v>
      </x:c>
      <x:c r="K158" s="33">
        <x:f>SUM(F158:J158)</x:f>
        <x:v>0.00</x:v>
      </x:c>
      <x:c r="L158" s="31"/>
      <x:c r="M158" s="31"/>
      <x:c r="N158" s="31"/>
      <x:c r="O158" s="31"/>
      <x:c r="P158" s="31"/>
      <x:c r="Q158" s="31"/>
      <x:c r="R158" s="19"/>
      <x:c r="S158" s="37"/>
    </x:row>
    <x:row r="159" s="20" customFormat="1">
      <x:c r="A159" s="20">
        <x:v>278</x:v>
      </x:c>
      <x:c r="B159" s="7"/>
      <x:c r="C159" s="8"/>
      <x:c r="D159" s="21"/>
      <x:c r="E159" s="24" t="s">
        <x:v>174</x:v>
      </x:c>
      <x:c r="F159" s="31">
        <x:v>0.00</x:v>
      </x:c>
      <x:c r="G159" s="31">
        <x:v>0.00</x:v>
      </x:c>
      <x:c r="H159" s="31">
        <x:v>0.00</x:v>
      </x:c>
      <x:c r="I159" s="31">
        <x:v>0.00</x:v>
      </x:c>
      <x:c r="J159" s="31">
        <x:v>0.00</x:v>
      </x:c>
      <x:c r="K159" s="33">
        <x:f>SUM(F159:J159)</x:f>
        <x:v>0.00</x:v>
      </x:c>
      <x:c r="L159" s="31"/>
      <x:c r="M159" s="31"/>
      <x:c r="N159" s="31"/>
      <x:c r="O159" s="31"/>
      <x:c r="P159" s="31"/>
      <x:c r="Q159" s="31"/>
      <x:c r="R159" s="19"/>
      <x:c r="S159" s="37"/>
    </x:row>
    <x:row r="160" s="20" customFormat="1">
      <x:c r="A160" s="20">
        <x:v>279</x:v>
      </x:c>
      <x:c r="B160" s="7"/>
      <x:c r="C160" s="8"/>
      <x:c r="D160" s="21"/>
      <x:c r="E160" s="24" t="s">
        <x:v>175</x:v>
      </x:c>
      <x:c r="F160" s="31">
        <x:v>0.00</x:v>
      </x:c>
      <x:c r="G160" s="31">
        <x:v>0.00</x:v>
      </x:c>
      <x:c r="H160" s="31">
        <x:v>0.00</x:v>
      </x:c>
      <x:c r="I160" s="31">
        <x:v>0.00</x:v>
      </x:c>
      <x:c r="J160" s="31">
        <x:v>0.00</x:v>
      </x:c>
      <x:c r="K160" s="33">
        <x:f>SUM(F160:J160)</x:f>
        <x:v>0.00</x:v>
      </x:c>
      <x:c r="L160" s="31"/>
      <x:c r="M160" s="31"/>
      <x:c r="N160" s="31"/>
      <x:c r="O160" s="31"/>
      <x:c r="P160" s="31"/>
      <x:c r="Q160" s="31"/>
      <x:c r="R160" s="19"/>
      <x:c r="S160" s="37"/>
    </x:row>
    <x:row r="161" s="23" customFormat="1">
      <x:c r="B161" s="12">
        <x:v>23</x:v>
      </x:c>
      <x:c r="C161" s="8" t="s">
        <x:v>34</x:v>
      </x:c>
      <x:c r="D161" s="14"/>
      <x:c r="E161" s="15" t="s">
        <x:v>176</x:v>
      </x:c>
      <x:c r="F161" s="32">
        <x:f>SUM(F146:F160)</x:f>
        <x:v>519041010.00</x:v>
      </x:c>
      <x:c r="G161" s="32">
        <x:f>SUM(G146:G160)</x:f>
        <x:v>0.00</x:v>
      </x:c>
      <x:c r="H161" s="32">
        <x:f>SUM(H146:H160)</x:f>
        <x:v>10643186.00</x:v>
      </x:c>
      <x:c r="I161" s="32">
        <x:f>SUM(I146:I160)</x:f>
        <x:v>13698063.00</x:v>
      </x:c>
      <x:c r="J161" s="32">
        <x:f>SUM(J146:J160)</x:f>
        <x:v>60271597.00</x:v>
      </x:c>
      <x:c r="K161" s="32">
        <x:f>SUM(K146:K160)</x:f>
        <x:v>603653856.00</x:v>
      </x:c>
      <x:c r="L161" s="32">
        <x:f>SUM(L146:L160)</x:f>
        <x:v>209776421.2199999907</x:v>
      </x:c>
      <x:c r="M161" s="32"/>
      <x:c r="N161" s="32">
        <x:f>SUM(N146:N160)</x:f>
        <x:v>662932.319692263145891590685971243549</x:v>
      </x:c>
      <x:c r="O161" s="32">
        <x:f>SUM(O146:O160)</x:f>
        <x:v>1252945.844770887509285208605657584030</x:v>
      </x:c>
      <x:c r="P161" s="32">
        <x:f>SUM(P146:P160)</x:f>
        <x:v>90312992.225536853344823200708278943543</x:v>
      </x:c>
      <x:c r="Q161" s="32">
        <x:f>SUM(Q146:Q160)</x:f>
        <x:v>92228870.390000004</x:v>
      </x:c>
      <x:c r="R161" s="16">
        <x:f>SUM(R146:R160)</x:f>
        <x:v>302005291.6099999947</x:v>
      </x:c>
      <x:c r="S161" s="37">
        <x:f>IF(K161=0,0,R161/K161)</x:f>
        <x:v>0.500295473321717661</x:v>
      </x:c>
    </x:row>
    <x:row r="162" s="20" customFormat="1">
      <x:c r="B162" s="7"/>
      <x:c r="C162" s="8"/>
      <x:c r="D162" s="21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19"/>
      <x:c r="S162" s="19"/>
    </x:row>
    <x:row r="163" s="23" customFormat="1">
      <x:c r="B163" s="12"/>
      <x:c r="C163" s="8" t="s">
        <x:v>34</x:v>
      </x:c>
      <x:c r="D163" s="14"/>
      <x:c r="E163" s="15" t="s">
        <x:v>177</x:v>
      </x:c>
      <x:c r="F163" s="32">
        <x:f>SUM(F53,F143,F161)</x:f>
        <x:v>8843528192.00</x:v>
      </x:c>
      <x:c r="G163" s="32">
        <x:f>SUM(G53,G143,G161)</x:f>
        <x:v>0.00</x:v>
      </x:c>
      <x:c r="H163" s="32">
        <x:f>SUM(H53,H143,H161)</x:f>
        <x:v>181340818.00</x:v>
      </x:c>
      <x:c r="I163" s="32">
        <x:f>SUM(I53,I143,I161)</x:f>
        <x:v>233390408.00</x:v>
      </x:c>
      <x:c r="J163" s="32">
        <x:f>SUM(J53,J143,J161)</x:f>
        <x:v>1026919961.00</x:v>
      </x:c>
      <x:c r="K163" s="32">
        <x:f>SUM(K53,K143,K161)</x:f>
        <x:v>10285179379.00</x:v>
      </x:c>
      <x:c r="L163" s="32">
        <x:f>SUM(L53,L143,L161)</x:f>
        <x:v>2889448275.2300000384</x:v>
      </x:c>
      <x:c r="M163" s="32"/>
      <x:c r="N163" s="32">
        <x:f>SUM(N53,N143,N161)</x:f>
        <x:v>9212877.006731179538589721329117178295</x:v>
      </x:c>
      <x:c r="O163" s="32">
        <x:f>SUM(O53,O143,O161)</x:f>
        <x:v>17412389.803724635567430711567654558515</x:v>
      </x:c>
      <x:c r="P163" s="32">
        <x:f>SUM(P53,P143,P161)</x:f>
        <x:v>1255094169.899544173113979567101946543691</x:v>
      </x:c>
      <x:c r="Q163" s="32">
        <x:f>SUM(Q53,Q143,Q161)</x:f>
        <x:v>1281719436.70999998822</x:v>
      </x:c>
      <x:c r="R163" s="16">
        <x:f>SUM(R161,R143,R53)</x:f>
        <x:v>4171167711.94000002662</x:v>
      </x:c>
      <x:c r="S163" s="37">
        <x:f>IF(K163=0,0,R163/K163)</x:f>
        <x:v>0.405551284837732340</x:v>
      </x:c>
    </x:row>
    <x:row r="164" s="20" customFormat="1">
      <x:c r="B164" s="7"/>
      <x:c r="C164" s="8"/>
      <x:c r="D164" s="21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19"/>
      <x:c r="S164" s="19"/>
    </x:row>
    <x:row r="165" s="23" customFormat="1">
      <x:c r="A165" s="23">
        <x:v>0</x:v>
      </x:c>
      <x:c r="B165" s="12">
        <x:v>25</x:v>
      </x:c>
      <x:c r="C165" s="8" t="s">
        <x:v>27</x:v>
      </x:c>
      <x:c r="D165" s="14" t="s">
        <x:v>178</x:v>
      </x:c>
      <x:c r="E165" s="15"/>
      <x:c r="F165" s="15">
        <x:v>0.00</x:v>
      </x:c>
      <x:c r="G165" s="15">
        <x:v>0.00</x:v>
      </x:c>
      <x:c r="H165" s="15">
        <x:v>0.00</x:v>
      </x:c>
      <x:c r="I165" s="15">
        <x:v>0.00</x:v>
      </x:c>
      <x:c r="J165" s="15">
        <x:v>0.00</x:v>
      </x:c>
      <x:c r="K165" s="15">
        <x:v>0.00</x:v>
      </x:c>
      <x:c r="L165" s="32">
        <x:v>1141.30</x:v>
      </x:c>
      <x:c r="M165" s="15"/>
      <x:c r="N165" s="32">
        <x:v>105527.616936002844086559263840313067</x:v>
      </x:c>
      <x:c r="O165" s="32">
        <x:v>199447.794625424411541620795755467228</x:v>
      </x:c>
      <x:c r="P165" s="32">
        <x:v>14376301.418438572744371819940389538424</x:v>
      </x:c>
      <x:c r="Q165" s="32">
        <x:f>N165+O165+P165</x:f>
        <x:v>14681276.83</x:v>
      </x:c>
      <x:c r="R165" s="16">
        <x:f>SUM(L165:P165)</x:f>
        <x:v>14682418.13</x:v>
      </x:c>
      <x:c r="S165" s="16">
        <x:v>0.00</x:v>
      </x:c>
    </x:row>
    <x:row r="166" s="20" customFormat="1">
      <x:c r="B166" s="7"/>
      <x:c r="C166" s="8"/>
      <x:c r="D166" s="21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19"/>
      <x:c r="S166" s="19"/>
    </x:row>
    <x:row r="167" s="23" customFormat="1">
      <x:c r="B167" s="12"/>
      <x:c r="C167" s="8" t="s">
        <x:v>27</x:v>
      </x:c>
      <x:c r="D167" s="14" t="s">
        <x:v>179</x:v>
      </x:c>
      <x:c r="E167" s="15"/>
      <x:c r="F167" s="32">
        <x:f>F24+F26-F163+F165</x:f>
        <x:v>36848159617.00</x:v>
      </x:c>
      <x:c r="G167" s="32">
        <x:f>G24+G26-G163+G165</x:f>
        <x:v>1967516059.00</x:v>
      </x:c>
      <x:c r="H167" s="32">
        <x:f>H24+H26-H163+H165</x:f>
        <x:v>1496752370.00</x:v>
      </x:c>
      <x:c r="I167" s="32">
        <x:f>I24+I26-I163+I165</x:f>
        <x:v>2752327346.00</x:v>
      </x:c>
      <x:c r="J167" s="32">
        <x:f>J24+J26-J163+J165</x:f>
        <x:v>1028280824.00</x:v>
      </x:c>
      <x:c r="K167" s="32">
        <x:f>K24+K26-K163+K165</x:f>
        <x:v>44093036216.00</x:v>
      </x:c>
      <x:c r="L167" s="32">
        <x:f>L24+L26-L163+L165</x:f>
        <x:v>27657562933.40000656258</x:v>
      </x:c>
      <x:c r="M167" s="32">
        <x:f>M24+M26-M163+M165</x:f>
        <x:v>42841861.00</x:v>
      </x:c>
      <x:c r="N167" s="32">
        <x:f>N24+N26-N163+N165</x:f>
        <x:v>231272300.250204833805496837934723134772</x:v>
      </x:c>
      <x:c r="O167" s="32">
        <x:f>O24+O26-O163+O165</x:f>
        <x:v>439414429.910900768851110909228100908713</x:v>
      </x:c>
      <x:c r="P167" s="32">
        <x:f>P24+P26-P163+P165</x:f>
        <x:v>8474793616.788895303069392252838442994733</x:v>
      </x:c>
      <x:c r="Q167" s="32">
        <x:f>Q24+Q26-Q163+Q165</x:f>
        <x:v>-2618332639.179999089274</x:v>
      </x:c>
      <x:c r="R167" s="16">
        <x:f>R24+R26-R163+R165</x:f>
        <x:v>25082072155.220007473306</x:v>
      </x:c>
      <x:c r="S167" s="37">
        <x:f>IF(K167=0,0,R167/K167)</x:f>
        <x:v>0.568844296236476877</x:v>
      </x:c>
    </x:row>
    <x:row r="168" s="7" customFormat="1">
      <x:c r="C168" s="8"/>
      <x:c r="D168" s="25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7"/>
      <x:c r="S168"/>
    </x:row>
    <x:row r="169">
      <x:c r="F169"/>
      <x:c r="G169"/>
      <x:c r="H169"/>
      <x:c r="I169"/>
      <x:c r="J169"/>
      <x:c r="K169" s="48"/>
      <x:c r="L169"/>
      <x:c r="M169"/>
      <x:c r="N169"/>
      <x:c r="O169"/>
      <x:c r="P169"/>
      <x:c r="Q169"/>
      <x:c r="R169"/>
      <x:c r="S169"/>
    </x:row>
    <x:row r="170">
      <x:c r="F170"/>
      <x:c r="G170"/>
      <x:c r="H170"/>
      <x:c r="I170"/>
      <x:c r="J170" s="45"/>
      <x:c r="K170" s="66"/>
      <x:c r="L170"/>
      <x:c r="M170"/>
      <x:c r="N170"/>
      <x:c r="O170" s="45"/>
      <x:c r="P170" s="45"/>
      <x:c r="Q170" s="45"/>
      <x:c r="R170" s="66"/>
      <x:c r="S170" s="37"/>
    </x:row>
    <x:row r="171"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</x:row>
    <x:row r="172"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</x:row>
    <x:row r="173"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</x:row>
    <x:row r="174"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</x:row>
    <x:row r="175"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</x:row>
    <x:row r="176"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</x:row>
  </x:sheetData>
  <x:mergeCells>
    <x:mergeCell ref="D5:E7"/>
    <x:mergeCell ref="F5:K5"/>
    <x:mergeCell ref="L5:R5"/>
  </x:mergeCells>
  <x:conditionalFormatting sqref="A1:A1048576">
    <x:cfRule type="duplicateValues" dxfId="23" priority="15"/>
  </x:conditionalFormatting>
  <x:conditionalFormatting sqref="D8:R168">
    <x:cfRule type="expression" dxfId="22" priority="14">
      <x:formula>IF(MOD(ROW(),2)=0,TRUE,FALSE)</x:formula>
    </x:cfRule>
  </x:conditionalFormatting>
  <x:conditionalFormatting sqref="D9:S167">
    <x:cfRule type="expression" dxfId="21" priority="7">
      <x:formula>IF($C9="Y2",1,0)</x:formula>
    </x:cfRule>
    <x:cfRule type="expression" dxfId="20" priority="8">
      <x:formula>IF($C9="X2",1,0)</x:formula>
    </x:cfRule>
    <x:cfRule type="expression" dxfId="19" priority="9">
      <x:formula>IF($C9="X1",1,0)</x:formula>
    </x:cfRule>
  </x:conditionalFormatting>
  <x:conditionalFormatting sqref="S8:S167">
    <x:cfRule type="expression" dxfId="18" priority="10">
      <x:formula>IF(MOD(ROW(),2)=0,TRUE,FALSE)</x:formula>
    </x:cfRule>
  </x:conditionalFormatting>
  <x:conditionalFormatting sqref="S13:S13">
    <x:cfRule type="cellIs" dxfId="17" priority="5" operator="greaterThan">
      <x:formula>1</x:formula>
    </x:cfRule>
  </x:conditionalFormatting>
  <x:conditionalFormatting sqref="S30:S53 S56:S143 S146:S163">
    <x:cfRule type="cellIs" dxfId="16" priority="6" operator="greaterThan">
      <x:formula>1</x:formula>
    </x:cfRule>
  </x:conditionalFormatting>
  <x:conditionalFormatting sqref="S170:S170">
    <x:cfRule type="expression" dxfId="15" priority="1">
      <x:formula>IF($C170="Y2",1,0)</x:formula>
    </x:cfRule>
    <x:cfRule type="expression" dxfId="14" priority="2">
      <x:formula>IF($C170="X2",1,0)</x:formula>
    </x:cfRule>
    <x:cfRule type="expression" dxfId="13" priority="3">
      <x:formula>IF($C170="X1",1,0)</x:formula>
    </x:cfRule>
    <x:cfRule type="expression" dxfId="12" priority="4">
      <x:formula>IF(MOD(ROW(),2)=0,TRUE,FALSE)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theme="7" tint="0.79998"/>
  </x:sheetPr>
  <x:sheetViews>
    <x:sheetView showGridLines="0" workbookViewId="0">
      <x:pane xSplit="5" ySplit="7" topLeftCell="F8" activePane="bottomRight" state="frozen"/>
    </x:sheetView>
  </x:sheetViews>
  <x:sheetFormatPr defaultColWidth="8.85546875" defaultRowHeight="16.5"/>
  <x:cols>
    <x:col min="1" max="1" width="9" style="1" hidden="1" customWidth="1"/>
    <x:col min="2" max="2" width="3.85546875" style="1" hidden="1" customWidth="1"/>
    <x:col min="3" max="3" width="12" style="2" hidden="1" customWidth="1"/>
    <x:col min="4" max="4" width="4" style="1" customWidth="1"/>
    <x:col min="5" max="5" width="66.140625" style="1" customWidth="1"/>
    <x:col min="6" max="6" width="26.28515625" style="1" customWidth="1"/>
    <x:col min="7" max="7" width="22.28515625" style="1" customWidth="1"/>
    <x:col min="8" max="10" width="23.5703125" style="1" customWidth="1"/>
    <x:col min="11" max="12" width="26.28515625" style="1" customWidth="1"/>
    <x:col min="13" max="13" width="21.5703125" style="1" customWidth="1"/>
    <x:col min="14" max="14" width="24.85546875" style="1" customWidth="1"/>
    <x:col min="15" max="17" width="24.85546875" style="1" customWidth="1"/>
    <x:col min="18" max="18" width="27.5703125" style="3" customWidth="1"/>
    <x:col min="19" max="19" width="10.140625" style="1" customWidth="1"/>
    <x:col min="20" max="16384" width="8.85546875" style="1" customWidth="0"/>
  </x:cols>
  <x:sheetData>
    <x:row r="1">
      <x:c r="D1" s="1" t="s">
        <x:v>0</x:v>
      </x:c>
    </x:row>
    <x:row r="2">
      <x:c r="D2" s="1" t="inlineStr">
        <x:is>
          <x:t>LABA RUGI RKA TAHUN 2026</x:t>
        </x:is>
      </x:c>
    </x:row>
    <x:row r="4" s="2" customFormat="1" ht="16.5" hidden="1" customHeight="1">
      <x:c r="R4" s="4"/>
    </x:row>
    <x:row r="5" s="5" customFormat="1" ht="33" customHeight="1">
      <x:c r="C5" s="6"/>
      <x:c r="D5" s="67" t="s">
        <x:v>2</x:v>
      </x:c>
      <x:c r="E5" s="67"/>
      <x:c r="F5" s="69" t="s">
        <x:v>190</x:v>
      </x:c>
      <x:c r="G5" s="70"/>
      <x:c r="H5" s="70"/>
      <x:c r="I5" s="70"/>
      <x:c r="J5" s="70"/>
      <x:c r="K5" s="71"/>
      <x:c r="L5" s="70" t="s">
        <x:v>191</x:v>
      </x:c>
      <x:c r="M5" s="70"/>
      <x:c r="N5" s="70"/>
      <x:c r="O5" s="70"/>
      <x:c r="P5" s="70"/>
      <x:c r="Q5" s="70"/>
      <x:c r="R5" s="72"/>
      <x:c r="S5" s="30" t="s">
        <x:v>5</x:v>
      </x:c>
    </x:row>
    <x:row r="6" s="5" customFormat="1">
      <x:c r="C6" s="6"/>
      <x:c r="D6" s="68"/>
      <x:c r="E6" s="68"/>
      <x:c r="F6" s="29" t="s">
        <x:v>6</x:v>
      </x:c>
      <x:c r="G6" s="29" t="s">
        <x:v>7</x:v>
      </x:c>
      <x:c r="H6" s="29" t="s">
        <x:v>8</x:v>
      </x:c>
      <x:c r="I6" s="29" t="s">
        <x:v>9</x:v>
      </x:c>
      <x:c r="J6" s="29" t="s">
        <x:v>10</x:v>
      </x:c>
      <x:c r="K6" s="29" t="s">
        <x:v>11</x:v>
      </x:c>
      <x:c r="L6" s="29" t="s">
        <x:v>6</x:v>
      </x:c>
      <x:c r="M6" s="29" t="s">
        <x:v>7</x:v>
      </x:c>
      <x:c r="N6" s="29" t="s">
        <x:v>8</x:v>
      </x:c>
      <x:c r="O6" s="29" t="s">
        <x:v>9</x:v>
      </x:c>
      <x:c r="P6" s="29" t="s">
        <x:v>10</x:v>
      </x:c>
      <x:c r="Q6" s="29" t="s">
        <x:v>12</x:v>
      </x:c>
      <x:c r="R6" s="29" t="s">
        <x:v>11</x:v>
      </x:c>
      <x:c r="S6" s="29" t="s">
        <x:v>5</x:v>
      </x:c>
    </x:row>
    <x:row r="7">
      <x:c r="D7" s="68"/>
      <x:c r="E7" s="68"/>
      <x:c r="F7" s="29" t="s">
        <x:v>13</x:v>
      </x:c>
      <x:c r="G7" s="29" t="s">
        <x:v>14</x:v>
      </x:c>
      <x:c r="H7" s="29" t="s">
        <x:v>15</x:v>
      </x:c>
      <x:c r="I7" s="29" t="s">
        <x:v>16</x:v>
      </x:c>
      <x:c r="J7" s="29" t="s">
        <x:v>17</x:v>
      </x:c>
      <x:c r="K7" s="29" t="s">
        <x:v>18</x:v>
      </x:c>
      <x:c r="L7" s="29" t="s">
        <x:v>19</x:v>
      </x:c>
      <x:c r="M7" s="29" t="s">
        <x:v>20</x:v>
      </x:c>
      <x:c r="N7" s="29" t="s">
        <x:v>21</x:v>
      </x:c>
      <x:c r="O7" s="29" t="s">
        <x:v>22</x:v>
      </x:c>
      <x:c r="P7" s="29" t="s">
        <x:v>23</x:v>
      </x:c>
      <x:c r="Q7" s="29" t="s">
        <x:v>24</x:v>
      </x:c>
      <x:c r="R7" s="29" t="s">
        <x:v>25</x:v>
      </x:c>
      <x:c r="S7" s="29" t="s">
        <x:v>26</x:v>
      </x:c>
    </x:row>
    <x:row r="8" s="7" customFormat="1">
      <x:c r="C8" s="8"/>
      <x:c r="D8" s="9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1"/>
      <x:c r="S8" s="11"/>
    </x:row>
    <x:row r="9" s="12" customFormat="1">
      <x:c r="C9" s="13" t="s">
        <x:v>27</x:v>
      </x:c>
      <x:c r="D9" s="14" t="s">
        <x:v>28</x:v>
      </x:c>
      <x:c r="E9" s="15"/>
      <x:c r="F9" s="32">
        <x:v>4664917476572.00</x:v>
      </x:c>
      <x:c r="G9" s="32">
        <x:v>0.00</x:v>
      </x:c>
      <x:c r="H9" s="32">
        <x:v>596979491871.00</x:v>
      </x:c>
      <x:c r="I9" s="32">
        <x:v>458609665500.00</x:v>
      </x:c>
      <x:c r="J9" s="32">
        <x:v>841910450602.00</x:v>
      </x:c>
      <x:c r="K9" s="32">
        <x:f>SUM(F9:J9)</x:f>
        <x:v>6562417084545.00</x:v>
      </x:c>
      <x:c r="L9" s="32"/>
      <x:c r="M9" s="15"/>
      <x:c r="N9" s="32"/>
      <x:c r="O9" s="32"/>
      <x:c r="P9" s="32"/>
      <x:c r="Q9" s="32"/>
      <x:c r="R9" s="16"/>
      <x:c r="S9" s="37"/>
    </x:row>
    <x:row r="10" s="7" customFormat="1">
      <x:c r="C10" s="8"/>
      <x:c r="D10" s="17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9"/>
      <x:c r="S10" s="19"/>
    </x:row>
    <x:row r="11" s="12" customFormat="1">
      <x:c r="C11" s="13" t="s">
        <x:v>29</x:v>
      </x:c>
      <x:c r="D11" s="14" t="s">
        <x:v>30</x:v>
      </x:c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6"/>
      <x:c r="S11" s="16"/>
    </x:row>
    <x:row r="12" s="20" customFormat="1">
      <x:c r="A12" s="20">
        <x:v>7</x:v>
      </x:c>
      <x:c r="B12" s="7">
        <x:v>8</x:v>
      </x:c>
      <x:c r="C12" s="8"/>
      <x:c r="D12" s="21"/>
      <x:c r="E12" s="22" t="s">
        <x:v>31</x:v>
      </x:c>
      <x:c r="F12" s="33">
        <x:v>168672834906.00</x:v>
      </x:c>
      <x:c r="G12" s="33">
        <x:v>0.00</x:v>
      </x:c>
      <x:c r="H12" s="33">
        <x:v>1945528854.00</x:v>
      </x:c>
      <x:c r="I12" s="33">
        <x:v>4451461040.00</x:v>
      </x:c>
      <x:c r="J12" s="33">
        <x:v>19296133723.00</x:v>
      </x:c>
      <x:c r="K12" s="33">
        <x:f>SUM(F12:J12)</x:f>
        <x:v>194365958523.00</x:v>
      </x:c>
      <x:c r="L12" s="33">
        <x:v>73404051914.34999649</x:v>
      </x:c>
      <x:c r="M12" s="33"/>
      <x:c r="N12" s="33">
        <x:v>499063110.4700000113</x:v>
      </x:c>
      <x:c r="O12" s="33">
        <x:v>2996930592.3999998002</x:v>
      </x:c>
      <x:c r="P12" s="33">
        <x:v>23901060912.820000038</x:v>
      </x:c>
      <x:c r="Q12" s="33">
        <x:f>N12+O12+P12</x:f>
        <x:v>27397054615.6899998495</x:v>
      </x:c>
      <x:c r="R12" s="19">
        <x:f>SUM(L12:P12)</x:f>
        <x:v>100801106530.0399963395</x:v>
      </x:c>
      <x:c r="S12" s="37">
        <x:f>IF(K12=0,0,R12/K12)</x:f>
        <x:v>0.518615025470686271</x:v>
      </x:c>
    </x:row>
    <x:row r="13" s="20" customFormat="1">
      <x:c r="A13" s="20">
        <x:v>12</x:v>
      </x:c>
      <x:c r="B13" s="7">
        <x:v>10</x:v>
      </x:c>
      <x:c r="C13" s="8"/>
      <x:c r="D13" s="21"/>
      <x:c r="E13" s="22" t="s">
        <x:v>32</x:v>
      </x:c>
      <x:c r="F13" s="33">
        <x:v>0.00</x:v>
      </x:c>
      <x:c r="G13" s="33">
        <x:v>0.00</x:v>
      </x:c>
      <x:c r="H13" s="33">
        <x:v>0.00</x:v>
      </x:c>
      <x:c r="I13" s="33">
        <x:v>0.00</x:v>
      </x:c>
      <x:c r="J13" s="33">
        <x:v>0.00</x:v>
      </x:c>
      <x:c r="K13" s="33">
        <x:f>SUM(F13:J13)</x:f>
        <x:v>0.00</x:v>
      </x:c>
      <x:c r="L13" s="33"/>
      <x:c r="M13" s="33"/>
      <x:c r="N13" s="33"/>
      <x:c r="O13" s="33"/>
      <x:c r="P13" s="33"/>
      <x:c r="Q13" s="33"/>
      <x:c r="R13" s="19"/>
      <x:c r="S13" s="37"/>
    </x:row>
    <x:row r="14" s="20" customFormat="1">
      <x:c r="A14" s="20">
        <x:v>9</x:v>
      </x:c>
      <x:c r="B14" s="7">
        <x:v>9</x:v>
      </x:c>
      <x:c r="C14" s="8"/>
      <x:c r="D14" s="21"/>
      <x:c r="E14" s="22" t="s">
        <x:v>33</x:v>
      </x:c>
      <x:c r="F14" s="33">
        <x:v>15188327377.00</x:v>
      </x:c>
      <x:c r="G14" s="33">
        <x:v>0.00</x:v>
      </x:c>
      <x:c r="H14" s="33">
        <x:v>236222877.00</x:v>
      </x:c>
      <x:c r="I14" s="33">
        <x:v>664280590.00</x:v>
      </x:c>
      <x:c r="J14" s="33">
        <x:v>11511401008.00</x:v>
      </x:c>
      <x:c r="K14" s="33">
        <x:f>SUM(F14:J14)</x:f>
        <x:v>27600231852.00</x:v>
      </x:c>
      <x:c r="L14" s="33">
        <x:v>7157183358.959999883</x:v>
      </x:c>
      <x:c r="M14" s="33"/>
      <x:c r="N14" s="33">
        <x:v>66588099.1000000043</x:v>
      </x:c>
      <x:c r="O14" s="33">
        <x:v>237770076.69999998921</x:v>
      </x:c>
      <x:c r="P14" s="33">
        <x:v>3157128606.2699997738</x:v>
      </x:c>
      <x:c r="Q14" s="33">
        <x:f>N14+O14+P14</x:f>
        <x:v>3461486782.06999976731</x:v>
      </x:c>
      <x:c r="R14" s="19">
        <x:f>SUM(L14:P14)</x:f>
        <x:v>10618670141.02999965031</x:v>
      </x:c>
      <x:c r="S14" s="37">
        <x:f>IF(K14=0,0,R14/K14)</x:f>
        <x:v>0.384731193490337917</x:v>
      </x:c>
    </x:row>
    <x:row r="15" s="23" customFormat="1">
      <x:c r="B15" s="12"/>
      <x:c r="C15" s="13" t="s">
        <x:v>34</x:v>
      </x:c>
      <x:c r="D15" s="14"/>
      <x:c r="E15" s="15" t="s">
        <x:v>35</x:v>
      </x:c>
      <x:c r="F15" s="32">
        <x:f>F12-F13-F14</x:f>
        <x:v>153484507529.00</x:v>
      </x:c>
      <x:c r="G15" s="32">
        <x:f>G12-G13-G14</x:f>
        <x:v>0.00</x:v>
      </x:c>
      <x:c r="H15" s="32">
        <x:f>H12-H13-H14</x:f>
        <x:v>1709305977.00</x:v>
      </x:c>
      <x:c r="I15" s="32">
        <x:f>I12-I13-I14</x:f>
        <x:v>3787180450.00</x:v>
      </x:c>
      <x:c r="J15" s="32">
        <x:f>J12-J13-J14</x:f>
        <x:v>7784732715.00</x:v>
      </x:c>
      <x:c r="K15" s="32">
        <x:f>K12-K13-K14</x:f>
        <x:v>166765726671.00</x:v>
      </x:c>
      <x:c r="L15" s="32">
        <x:f>L12-L13-L14</x:f>
        <x:v>66246868555.389996607</x:v>
      </x:c>
      <x:c r="M15" s="32"/>
      <x:c r="N15" s="32">
        <x:f>N12-N13-N14</x:f>
        <x:v>432475011.3700000070</x:v>
      </x:c>
      <x:c r="O15" s="32">
        <x:f>O12-O13-O14</x:f>
        <x:v>2759160515.69999981099</x:v>
      </x:c>
      <x:c r="P15" s="32">
        <x:f>P12-P13-P14</x:f>
        <x:v>20743932306.5500002642</x:v>
      </x:c>
      <x:c r="Q15" s="32">
        <x:f>Q12-Q13-Q14</x:f>
        <x:v>23935567833.62000008219</x:v>
      </x:c>
      <x:c r="R15" s="16">
        <x:f>R12-R13-R14</x:f>
        <x:v>90182436389.00999668919</x:v>
      </x:c>
      <x:c r="S15" s="37">
        <x:f>IF(K15=0,0,R15/K15)</x:f>
        <x:v>0.540773204358257502</x:v>
      </x:c>
    </x:row>
    <x:row r="16" s="20" customFormat="1">
      <x:c r="B16" s="7"/>
      <x:c r="C16" s="8" t="s">
        <x:v>36</x:v>
      </x:c>
      <x:c r="D16" s="21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19"/>
      <x:c r="S16" s="19"/>
    </x:row>
    <x:row r="17" s="23" customFormat="1">
      <x:c r="B17" s="12"/>
      <x:c r="C17" s="13" t="s">
        <x:v>29</x:v>
      </x:c>
      <x:c r="D17" s="14" t="s">
        <x:v>37</x:v>
      </x:c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6"/>
      <x:c r="S17" s="16"/>
    </x:row>
    <x:row r="18" s="20" customFormat="1">
      <x:c r="A18" s="20">
        <x:v>22</x:v>
      </x:c>
      <x:c r="B18" s="7">
        <x:v>13</x:v>
      </x:c>
      <x:c r="C18" s="8"/>
      <x:c r="D18" s="21"/>
      <x:c r="E18" s="22" t="s">
        <x:v>38</x:v>
      </x:c>
      <x:c r="F18" s="33">
        <x:v>151625659785.00</x:v>
      </x:c>
      <x:c r="G18" s="33">
        <x:v>1294117808.00</x:v>
      </x:c>
      <x:c r="H18" s="33">
        <x:v>156790885.00</x:v>
      </x:c>
      <x:c r="I18" s="33">
        <x:v>1592120829.00</x:v>
      </x:c>
      <x:c r="J18" s="33">
        <x:v>17171350143.00</x:v>
      </x:c>
      <x:c r="K18" s="33">
        <x:f>SUM(F18:J18)</x:f>
        <x:v>171840039450.00</x:v>
      </x:c>
      <x:c r="L18" s="33">
        <x:v>50206005210.659999</x:v>
      </x:c>
      <x:c r="M18" s="33">
        <x:v>297554420.00</x:v>
      </x:c>
      <x:c r="N18" s="33">
        <x:v>11167087.50</x:v>
      </x:c>
      <x:c r="O18" s="33">
        <x:v>707296406.56999998</x:v>
      </x:c>
      <x:c r="P18" s="33">
        <x:v>36758729461.5399985</x:v>
      </x:c>
      <x:c r="Q18" s="33">
        <x:f>N18+O18+P18</x:f>
        <x:v>37477192955.60999848</x:v>
      </x:c>
      <x:c r="R18" s="19">
        <x:f>SUM(L18:P18)</x:f>
        <x:v>87980752586.26999748</x:v>
      </x:c>
      <x:c r="S18" s="37">
        <x:f>IF(K18=0,0,R18/K18)</x:f>
        <x:v>0.511992157752440492</x:v>
      </x:c>
    </x:row>
    <x:row r="19" s="20" customFormat="1">
      <x:c r="A19" s="20">
        <x:v>24</x:v>
      </x:c>
      <x:c r="B19" s="7">
        <x:v>14</x:v>
      </x:c>
      <x:c r="C19" s="8"/>
      <x:c r="D19" s="21"/>
      <x:c r="E19" s="22" t="s">
        <x:v>39</x:v>
      </x:c>
      <x:c r="F19" s="33">
        <x:v>2087831866.00</x:v>
      </x:c>
      <x:c r="G19" s="33">
        <x:v>-320525468.00</x:v>
      </x:c>
      <x:c r="H19" s="33">
        <x:v>573231291.00</x:v>
      </x:c>
      <x:c r="I19" s="33">
        <x:v>45281226.00</x:v>
      </x:c>
      <x:c r="J19" s="33">
        <x:v>3760153971.00</x:v>
      </x:c>
      <x:c r="K19" s="33">
        <x:f>SUM(F19:J19)</x:f>
        <x:v>6145972886.00</x:v>
      </x:c>
      <x:c r="L19" s="33">
        <x:v>2300348478.6500001</x:v>
      </x:c>
      <x:c r="M19" s="33">
        <x:v>-320525468.00</x:v>
      </x:c>
      <x:c r="N19" s="33">
        <x:v>0.00</x:v>
      </x:c>
      <x:c r="O19" s="33">
        <x:v>0.00</x:v>
      </x:c>
      <x:c r="P19" s="33">
        <x:v>0.00</x:v>
      </x:c>
      <x:c r="Q19" s="33">
        <x:v>1491054032.1300001</x:v>
      </x:c>
      <x:c r="R19" s="19">
        <x:f>SUM(L19:Q19)</x:f>
        <x:v>3470877042.7800002</x:v>
      </x:c>
      <x:c r="S19" s="37">
        <x:f>IF(K19=0,0,R19/K19)</x:f>
        <x:v>0.564740051275911242</x:v>
      </x:c>
    </x:row>
    <x:row r="20" s="20" customFormat="1">
      <x:c r="A20" s="20">
        <x:v>32</x:v>
      </x:c>
      <x:c r="B20" s="7">
        <x:v>15</x:v>
      </x:c>
      <x:c r="C20" s="8"/>
      <x:c r="D20" s="21"/>
      <x:c r="E20" s="22" t="s">
        <x:v>40</x:v>
      </x:c>
      <x:c r="F20" s="33">
        <x:v>40935666622.00</x:v>
      </x:c>
      <x:c r="G20" s="33">
        <x:v>4443882066.00</x:v>
      </x:c>
      <x:c r="H20" s="33">
        <x:v>26048340.00</x:v>
      </x:c>
      <x:c r="I20" s="33">
        <x:v>53152695.00</x:v>
      </x:c>
      <x:c r="J20" s="33">
        <x:v>14103682420.00</x:v>
      </x:c>
      <x:c r="K20" s="33">
        <x:f>SUM(F20:J20)</x:f>
        <x:v>59562432143.00</x:v>
      </x:c>
      <x:c r="L20" s="33">
        <x:v>13785695482.49999957</x:v>
      </x:c>
      <x:c r="M20" s="33">
        <x:v>1268095741.00</x:v>
      </x:c>
      <x:c r="N20" s="33"/>
      <x:c r="O20" s="33"/>
      <x:c r="P20" s="33">
        <x:v>8579359655.5100001</x:v>
      </x:c>
      <x:c r="Q20" s="33">
        <x:v>7059752999.05000013</x:v>
      </x:c>
      <x:c r="R20" s="19">
        <x:v>22113544222.54999970</x:v>
      </x:c>
      <x:c r="S20" s="37">
        <x:f>IF(K20=0,0,R20/K20)</x:f>
        <x:v>0.371266642864060180</x:v>
      </x:c>
    </x:row>
    <x:row r="21" s="20" customFormat="1">
      <x:c r="A21" s="20">
        <x:v>37</x:v>
      </x:c>
      <x:c r="B21" s="7">
        <x:v>16</x:v>
      </x:c>
      <x:c r="C21" s="8"/>
      <x:c r="D21" s="21"/>
      <x:c r="E21" s="22" t="s">
        <x:v>41</x:v>
      </x:c>
      <x:c r="F21" s="33">
        <x:v>2396724198.00</x:v>
      </x:c>
      <x:c r="G21" s="33">
        <x:v>0.00</x:v>
      </x:c>
      <x:c r="H21" s="33">
        <x:v>41053155.00</x:v>
      </x:c>
      <x:c r="I21" s="33">
        <x:v>101532380.00</x:v>
      </x:c>
      <x:c r="J21" s="33">
        <x:v>1756397793.00</x:v>
      </x:c>
      <x:c r="K21" s="33">
        <x:f>SUM(F21:J21)</x:f>
        <x:v>4295707526.00</x:v>
      </x:c>
      <x:c r="L21" s="33">
        <x:v>1187676913.449999999697</x:v>
      </x:c>
      <x:c r="M21" s="33"/>
      <x:c r="N21" s="33">
        <x:v>10057795.7300000003</x:v>
      </x:c>
      <x:c r="O21" s="33">
        <x:v>21083656.470000000</x:v>
      </x:c>
      <x:c r="P21" s="33">
        <x:v>474324796.1900000102</x:v>
      </x:c>
      <x:c r="Q21" s="33">
        <x:f>N21+O21+P21</x:f>
        <x:v>505466248.3900000105</x:v>
      </x:c>
      <x:c r="R21" s="19">
        <x:f>SUM(L21:P21)</x:f>
        <x:v>1693143161.840000010197</x:v>
      </x:c>
      <x:c r="S21" s="37">
        <x:f>IF(K21=0,0,R21/K21)</x:f>
        <x:v>0.394147681515131160</x:v>
      </x:c>
    </x:row>
    <x:row r="22" s="23" customFormat="1">
      <x:c r="B22" s="12"/>
      <x:c r="C22" s="13" t="s">
        <x:v>34</x:v>
      </x:c>
      <x:c r="D22" s="14"/>
      <x:c r="E22" s="15" t="s">
        <x:v>42</x:v>
      </x:c>
      <x:c r="F22" s="32">
        <x:f>F18+F19-F20-F21</x:f>
        <x:v>110381100831.00</x:v>
      </x:c>
      <x:c r="G22" s="32">
        <x:f>G18+G19-G20-G21</x:f>
        <x:v>-3470289726.00</x:v>
      </x:c>
      <x:c r="H22" s="32">
        <x:f>H18+H19-H20-H21</x:f>
        <x:v>662920681.00</x:v>
      </x:c>
      <x:c r="I22" s="32">
        <x:f>I18+I19-I20-I21</x:f>
        <x:v>1482716980.00</x:v>
      </x:c>
      <x:c r="J22" s="32">
        <x:f>J18+J19-J20-J21</x:f>
        <x:v>5071423901.00</x:v>
      </x:c>
      <x:c r="K22" s="32">
        <x:f>K18+K19-K20-K21</x:f>
        <x:v>114127872667.00</x:v>
      </x:c>
      <x:c r="L22" s="32">
        <x:f>L18+L19-L20-L21</x:f>
        <x:v>37532981293.359999530303</x:v>
      </x:c>
      <x:c r="M22" s="32">
        <x:f>M18+M19-M20-M21</x:f>
        <x:v>-1291066789.00</x:v>
      </x:c>
      <x:c r="N22" s="32">
        <x:f>N18+N19-N20-N21</x:f>
        <x:v>1109291.7699999997</x:v>
      </x:c>
      <x:c r="O22" s="32">
        <x:f>O18+O19-O20-O21</x:f>
        <x:v>686212750.099999980</x:v>
      </x:c>
      <x:c r="P22" s="32">
        <x:f>P18+P19-P20-P21</x:f>
        <x:v>27705045009.8399983898</x:v>
      </x:c>
      <x:c r="Q22" s="32">
        <x:f>Q18+Q19-Q20-Q21</x:f>
        <x:v>31403027740.2999984395</x:v>
      </x:c>
      <x:c r="R22" s="16">
        <x:f>R18+R19-R20-R21</x:f>
        <x:v>67644942244.659997969803</x:v>
      </x:c>
      <x:c r="S22" s="37">
        <x:f>IF(K22=0,0,R22/K22)</x:f>
        <x:v>0.592711847368197628</x:v>
      </x:c>
    </x:row>
    <x:row r="23" s="20" customFormat="1">
      <x:c r="B23" s="7"/>
      <x:c r="C23" s="8"/>
      <x:c r="D23" s="21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19"/>
      <x:c r="S23" s="19"/>
    </x:row>
    <x:row r="24" s="23" customFormat="1">
      <x:c r="B24" s="12"/>
      <x:c r="C24" s="13" t="s">
        <x:v>27</x:v>
      </x:c>
      <x:c r="D24" s="14" t="s">
        <x:v>43</x:v>
      </x:c>
      <x:c r="E24" s="15"/>
      <x:c r="F24" s="32">
        <x:f>F15-F22</x:f>
        <x:v>43103406698.00</x:v>
      </x:c>
      <x:c r="G24" s="32">
        <x:f>G15-G22</x:f>
        <x:v>3470289726.00</x:v>
      </x:c>
      <x:c r="H24" s="32">
        <x:f>H15-H22</x:f>
        <x:v>1046385296.00</x:v>
      </x:c>
      <x:c r="I24" s="32">
        <x:f>I15-I22</x:f>
        <x:v>2304463470.00</x:v>
      </x:c>
      <x:c r="J24" s="32">
        <x:f>J15-J22</x:f>
        <x:v>2713308814.00</x:v>
      </x:c>
      <x:c r="K24" s="32">
        <x:f>K15-K22</x:f>
        <x:v>52637854004.00</x:v>
      </x:c>
      <x:c r="L24" s="32">
        <x:f>L15-L22</x:f>
        <x:v>28713887262.029997076697</x:v>
      </x:c>
      <x:c r="M24" s="32">
        <x:f>M15-M22</x:f>
        <x:v>1291066789.00</x:v>
      </x:c>
      <x:c r="N24" s="32">
        <x:f>N15-N22</x:f>
        <x:v>431365719.6000000073</x:v>
      </x:c>
      <x:c r="O24" s="32">
        <x:f>O15-O22</x:f>
        <x:v>2072947765.59999983099</x:v>
      </x:c>
      <x:c r="P24" s="32">
        <x:f>P15-P22</x:f>
        <x:v>-6961112703.2899981256</x:v>
      </x:c>
      <x:c r="Q24" s="32">
        <x:f>Q15-Q22</x:f>
        <x:v>-7467459906.67999835731</x:v>
      </x:c>
      <x:c r="R24" s="16">
        <x:f>R15-R22</x:f>
        <x:v>22537494144.349998719387</x:v>
      </x:c>
      <x:c r="S24" s="37">
        <x:f>IF(K24=0,0,R24/K24)</x:f>
        <x:v>0.428161340746097919</x:v>
      </x:c>
    </x:row>
    <x:row r="25" s="20" customFormat="1">
      <x:c r="B25" s="7"/>
      <x:c r="C25" s="8"/>
      <x:c r="D25" s="21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19"/>
      <x:c r="S25" s="19"/>
    </x:row>
    <x:row r="26" s="23" customFormat="1">
      <x:c r="B26" s="12">
        <x:v>19</x:v>
      </x:c>
      <x:c r="C26" s="13" t="s">
        <x:v>27</x:v>
      </x:c>
      <x:c r="D26" s="14" t="s">
        <x:v>44</x:v>
      </x:c>
      <x:c r="E26" s="15"/>
      <x:c r="F26" s="15">
        <x:v>0.00</x:v>
      </x:c>
      <x:c r="G26" s="15">
        <x:v>0.00</x:v>
      </x:c>
      <x:c r="H26" s="15">
        <x:v>0.00</x:v>
      </x:c>
      <x:c r="I26" s="15">
        <x:v>0.00</x:v>
      </x:c>
      <x:c r="J26" s="15">
        <x:v>0.00</x:v>
      </x:c>
      <x:c r="K26" s="15">
        <x:v>0.00</x:v>
      </x:c>
      <x:c r="L26" s="15"/>
      <x:c r="M26" s="15"/>
      <x:c r="N26" s="15"/>
      <x:c r="O26" s="15"/>
      <x:c r="P26" s="15"/>
      <x:c r="Q26" s="15"/>
      <x:c r="R26" s="19"/>
      <x:c r="S26" s="19"/>
    </x:row>
    <x:row r="27" s="20" customFormat="1">
      <x:c r="B27" s="7"/>
      <x:c r="C27" s="8"/>
      <x:c r="D27" s="21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19"/>
      <x:c r="S27" s="19"/>
    </x:row>
    <x:row r="28" s="23" customFormat="1">
      <x:c r="B28" s="12"/>
      <x:c r="C28" s="13" t="s">
        <x:v>27</x:v>
      </x:c>
      <x:c r="D28" s="14" t="s">
        <x:v>45</x:v>
      </x:c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6"/>
      <x:c r="S28" s="16"/>
    </x:row>
    <x:row r="29" s="23" customFormat="1">
      <x:c r="B29" s="12"/>
      <x:c r="C29" s="13" t="s">
        <x:v>29</x:v>
      </x:c>
      <x:c r="D29" s="14"/>
      <x:c r="E29" s="15" t="s">
        <x:v>46</x:v>
      </x:c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6"/>
      <x:c r="S29" s="16"/>
    </x:row>
    <x:row r="30" s="20" customFormat="1">
      <x:c r="A30" s="20">
        <x:v>94</x:v>
      </x:c>
      <x:c r="B30" s="7"/>
      <x:c r="C30" s="8"/>
      <x:c r="D30" s="21"/>
      <x:c r="E30" s="24" t="s">
        <x:v>47</x:v>
      </x:c>
      <x:c r="F30" s="31">
        <x:v>1373594926.00</x:v>
      </x:c>
      <x:c r="G30" s="31">
        <x:v>0.00</x:v>
      </x:c>
      <x:c r="H30" s="31">
        <x:v>28166228.00</x:v>
      </x:c>
      <x:c r="I30" s="31">
        <x:v>36250676.00</x:v>
      </x:c>
      <x:c r="J30" s="31">
        <x:v>159503313.00</x:v>
      </x:c>
      <x:c r="K30" s="33">
        <x:f>SUM(F30:J30)</x:f>
        <x:v>1597515143.00</x:v>
      </x:c>
      <x:c r="L30" s="31">
        <x:v>586183549.90999997</x:v>
      </x:c>
      <x:c r="M30" s="31"/>
      <x:c r="N30" s="31">
        <x:v>4688599.192024776962468490655657927156</x:v>
      </x:c>
      <x:c r="O30" s="31">
        <x:v>28155570.025698467295228907585538828934</x:v>
      </x:c>
      <x:c r="P30" s="31">
        <x:v>224545738.872276755742302601758288464093</x:v>
      </x:c>
      <x:c r="Q30" s="31">
        <x:f>N30+O30+P30</x:f>
        <x:v>257389908.09</x:v>
      </x:c>
      <x:c r="R30" s="19">
        <x:f>SUM(L30:P30)</x:f>
        <x:v>843573457.99999997</x:v>
      </x:c>
      <x:c r="S30" s="37">
        <x:f>IF(K30=0,0,R30/K30)</x:f>
        <x:v>0.528053497142968847</x:v>
      </x:c>
    </x:row>
    <x:row r="31" s="20" customFormat="1">
      <x:c r="A31" s="20">
        <x:v>95</x:v>
      </x:c>
      <x:c r="B31" s="7"/>
      <x:c r="C31" s="8"/>
      <x:c r="D31" s="21"/>
      <x:c r="E31" s="24" t="s">
        <x:v>48</x:v>
      </x:c>
      <x:c r="F31" s="31">
        <x:v>43007556.00</x:v>
      </x:c>
      <x:c r="G31" s="31">
        <x:v>0.00</x:v>
      </x:c>
      <x:c r="H31" s="31">
        <x:v>881891.00</x:v>
      </x:c>
      <x:c r="I31" s="31">
        <x:v>1135017.00</x:v>
      </x:c>
      <x:c r="J31" s="31">
        <x:v>4994083.00</x:v>
      </x:c>
      <x:c r="K31" s="33">
        <x:f>SUM(F31:J31)</x:f>
        <x:v>50018547.00</x:v>
      </x:c>
      <x:c r="L31" s="31">
        <x:v>13063148.689999999</x:v>
      </x:c>
      <x:c r="M31" s="31"/>
      <x:c r="N31" s="31">
        <x:v>115856.701069138944432605517663383166</x:v>
      </x:c>
      <x:c r="O31" s="31">
        <x:v>695732.632775942749368268112919321698</x:v>
      </x:c>
      <x:c r="P31" s="31">
        <x:v>5548592.976154917906199126369404574770</x:v>
      </x:c>
      <x:c r="Q31" s="31">
        <x:f>N31+O31+P31</x:f>
        <x:v>6360182.3099999996</x:v>
      </x:c>
      <x:c r="R31" s="19">
        <x:f>SUM(L31:P31)</x:f>
        <x:v>19423330.9999999986</x:v>
      </x:c>
      <x:c r="S31" s="37">
        <x:f>IF(K31=0,0,R31/K31)</x:f>
        <x:v>0.388322575623798080</x:v>
      </x:c>
    </x:row>
    <x:row r="32" s="20" customFormat="1">
      <x:c r="A32" s="20">
        <x:v>96</x:v>
      </x:c>
      <x:c r="B32" s="7"/>
      <x:c r="C32" s="8"/>
      <x:c r="D32" s="21"/>
      <x:c r="E32" s="24" t="s">
        <x:v>49</x:v>
      </x:c>
      <x:c r="F32" s="31">
        <x:v>192494242.00</x:v>
      </x:c>
      <x:c r="G32" s="31">
        <x:v>0.00</x:v>
      </x:c>
      <x:c r="H32" s="31">
        <x:v>3947187.00</x:v>
      </x:c>
      <x:c r="I32" s="31">
        <x:v>5080134.00</x:v>
      </x:c>
      <x:c r="J32" s="31">
        <x:v>22352637.00</x:v>
      </x:c>
      <x:c r="K32" s="33">
        <x:f>SUM(F32:J32)</x:f>
        <x:v>223874200.00</x:v>
      </x:c>
      <x:c r="L32" s="31">
        <x:v>8343150.00</x:v>
      </x:c>
      <x:c r="M32" s="31"/>
      <x:c r="N32" s="31">
        <x:v>66612.961178573633621762952058648800</x:v>
      </x:c>
      <x:c r="O32" s="31">
        <x:v>400018.388492814509122884976838788950</x:v>
      </x:c>
      <x:c r="P32" s="31">
        <x:v>3190218.650328611857255352071095248550</x:v>
      </x:c>
      <x:c r="Q32" s="31">
        <x:f>N32+O32+P32</x:f>
        <x:v>3656850.00</x:v>
      </x:c>
      <x:c r="R32" s="19">
        <x:f>SUM(L32:P32)</x:f>
        <x:v>12000000.00</x:v>
      </x:c>
      <x:c r="S32" s="37">
        <x:f>IF(K32=0,0,R32/K32)</x:f>
        <x:v>0.053601531574428853</x:v>
      </x:c>
    </x:row>
    <x:row r="33" s="20" customFormat="1">
      <x:c r="A33" s="20">
        <x:v>97</x:v>
      </x:c>
      <x:c r="B33" s="7"/>
      <x:c r="C33" s="8"/>
      <x:c r="D33" s="21"/>
      <x:c r="E33" s="24" t="s">
        <x:v>50</x:v>
      </x:c>
      <x:c r="F33" s="31">
        <x:v>8819257.00</x:v>
      </x:c>
      <x:c r="G33" s="31">
        <x:v>0.00</x:v>
      </x:c>
      <x:c r="H33" s="31">
        <x:v>180843.00</x:v>
      </x:c>
      <x:c r="I33" s="31">
        <x:v>232750.00</x:v>
      </x:c>
      <x:c r="J33" s="31">
        <x:v>1024102.00</x:v>
      </x:c>
      <x:c r="K33" s="33">
        <x:f>SUM(F33:J33)</x:f>
        <x:v>10256952.00</x:v>
      </x:c>
      <x:c r="L33" s="31"/>
      <x:c r="M33" s="31"/>
      <x:c r="N33" s="31"/>
      <x:c r="O33" s="31"/>
      <x:c r="P33" s="31"/>
      <x:c r="Q33" s="31"/>
      <x:c r="R33" s="19"/>
      <x:c r="S33" s="37"/>
    </x:row>
    <x:row r="34" s="20" customFormat="1">
      <x:c r="A34" s="20">
        <x:v>100</x:v>
      </x:c>
      <x:c r="B34" s="7"/>
      <x:c r="C34" s="8"/>
      <x:c r="D34" s="21"/>
      <x:c r="E34" s="24" t="s">
        <x:v>51</x:v>
      </x:c>
      <x:c r="F34" s="31">
        <x:v>139781686.00</x:v>
      </x:c>
      <x:c r="G34" s="31">
        <x:v>0.00</x:v>
      </x:c>
      <x:c r="H34" s="31">
        <x:v>2866291.00</x:v>
      </x:c>
      <x:c r="I34" s="31">
        <x:v>3688992.00</x:v>
      </x:c>
      <x:c r="J34" s="31">
        <x:v>16231599.00</x:v>
      </x:c>
      <x:c r="K34" s="33">
        <x:f>SUM(F34:J34)</x:f>
        <x:v>162568568.00</x:v>
      </x:c>
      <x:c r="L34" s="31"/>
      <x:c r="M34" s="31"/>
      <x:c r="N34" s="31"/>
      <x:c r="O34" s="31"/>
      <x:c r="P34" s="31"/>
      <x:c r="Q34" s="31"/>
      <x:c r="R34" s="19"/>
      <x:c r="S34" s="37"/>
    </x:row>
    <x:row r="35" s="20" customFormat="1">
      <x:c r="A35" s="20">
        <x:v>101</x:v>
      </x:c>
      <x:c r="B35" s="7"/>
      <x:c r="C35" s="8"/>
      <x:c r="D35" s="21"/>
      <x:c r="E35" s="24" t="s">
        <x:v>52</x:v>
      </x:c>
      <x:c r="F35" s="31">
        <x:v>1320125564.00</x:v>
      </x:c>
      <x:c r="G35" s="31">
        <x:v>0.00</x:v>
      </x:c>
      <x:c r="H35" s="31">
        <x:v>27069812.00</x:v>
      </x:c>
      <x:c r="I35" s="31">
        <x:v>34839561.00</x:v>
      </x:c>
      <x:c r="J35" s="31">
        <x:v>153294394.00</x:v>
      </x:c>
      <x:c r="K35" s="33">
        <x:f>SUM(F35:J35)</x:f>
        <x:v>1535329331.00</x:v>
      </x:c>
      <x:c r="L35" s="31">
        <x:v>717573596.47000003</x:v>
      </x:c>
      <x:c r="M35" s="31"/>
      <x:c r="N35" s="31">
        <x:v>5740037.808050995093364440173440299574</x:v>
      </x:c>
      <x:c r="O35" s="31">
        <x:v>34469578.190782249821135326908903335958</x:v>
      </x:c>
      <x:c r="P35" s="31">
        <x:v>274901090.491166765085500232917026143053</x:v>
      </x:c>
      <x:c r="Q35" s="31">
        <x:f>N35+O35+P35</x:f>
        <x:v>315110706.49000001</x:v>
      </x:c>
      <x:c r="R35" s="19">
        <x:f>SUM(L35:P35)</x:f>
        <x:v>1032684302.96000004</x:v>
      </x:c>
      <x:c r="S35" s="37">
        <x:f>IF(K35=0,0,R35/K35)</x:f>
        <x:v>0.672614195605437853</x:v>
      </x:c>
    </x:row>
    <x:row r="36" s="20" customFormat="1">
      <x:c r="A36" s="20">
        <x:v>102</x:v>
      </x:c>
      <x:c r="B36" s="7"/>
      <x:c r="C36" s="8"/>
      <x:c r="D36" s="21"/>
      <x:c r="E36" s="24" t="s">
        <x:v>53</x:v>
      </x:c>
      <x:c r="F36" s="31">
        <x:v>0.00</x:v>
      </x:c>
      <x:c r="G36" s="31">
        <x:v>0.00</x:v>
      </x:c>
      <x:c r="H36" s="31">
        <x:v>0.00</x:v>
      </x:c>
      <x:c r="I36" s="31">
        <x:v>0.00</x:v>
      </x:c>
      <x:c r="J36" s="31">
        <x:v>0.00</x:v>
      </x:c>
      <x:c r="K36" s="33">
        <x:f>SUM(F36:J36)</x:f>
        <x:v>0.00</x:v>
      </x:c>
      <x:c r="L36" s="31"/>
      <x:c r="M36" s="31"/>
      <x:c r="N36" s="31"/>
      <x:c r="O36" s="31"/>
      <x:c r="P36" s="31"/>
      <x:c r="Q36" s="31"/>
      <x:c r="R36" s="19"/>
      <x:c r="S36" s="37"/>
    </x:row>
    <x:row r="37" s="20" customFormat="1">
      <x:c r="A37" s="20">
        <x:v>103</x:v>
      </x:c>
      <x:c r="B37" s="7"/>
      <x:c r="C37" s="8"/>
      <x:c r="D37" s="21"/>
      <x:c r="E37" s="24" t="s">
        <x:v>54</x:v>
      </x:c>
      <x:c r="F37" s="31">
        <x:v>0.00</x:v>
      </x:c>
      <x:c r="G37" s="31">
        <x:v>0.00</x:v>
      </x:c>
      <x:c r="H37" s="31">
        <x:v>0.00</x:v>
      </x:c>
      <x:c r="I37" s="31">
        <x:v>0.00</x:v>
      </x:c>
      <x:c r="J37" s="31">
        <x:v>0.00</x:v>
      </x:c>
      <x:c r="K37" s="33">
        <x:f>SUM(F37:J37)</x:f>
        <x:v>0.00</x:v>
      </x:c>
      <x:c r="L37" s="31"/>
      <x:c r="M37" s="31"/>
      <x:c r="N37" s="31"/>
      <x:c r="O37" s="31"/>
      <x:c r="P37" s="31"/>
      <x:c r="Q37" s="31"/>
      <x:c r="R37" s="19"/>
      <x:c r="S37" s="37"/>
    </x:row>
    <x:row r="38" s="20" customFormat="1">
      <x:c r="A38" s="20">
        <x:v>104</x:v>
      </x:c>
      <x:c r="B38" s="7"/>
      <x:c r="C38" s="8"/>
      <x:c r="D38" s="21"/>
      <x:c r="E38" s="24" t="s">
        <x:v>55</x:v>
      </x:c>
      <x:c r="F38" s="31">
        <x:v>211364124.00</x:v>
      </x:c>
      <x:c r="G38" s="31">
        <x:v>0.00</x:v>
      </x:c>
      <x:c r="H38" s="31">
        <x:v>4334123.00</x:v>
      </x:c>
      <x:c r="I38" s="31">
        <x:v>5578131.00</x:v>
      </x:c>
      <x:c r="J38" s="31">
        <x:v>24543828.00</x:v>
      </x:c>
      <x:c r="K38" s="33">
        <x:f>SUM(F38:J38)</x:f>
        <x:v>245820206.00</x:v>
      </x:c>
      <x:c r="L38" s="31"/>
      <x:c r="M38" s="31"/>
      <x:c r="N38" s="31"/>
      <x:c r="O38" s="31"/>
      <x:c r="P38" s="31"/>
      <x:c r="Q38" s="31"/>
      <x:c r="R38" s="19"/>
      <x:c r="S38" s="37"/>
    </x:row>
    <x:row r="39" s="20" customFormat="1">
      <x:c r="A39" s="20">
        <x:v>105</x:v>
      </x:c>
      <x:c r="B39" s="7"/>
      <x:c r="C39" s="8"/>
      <x:c r="D39" s="21"/>
      <x:c r="E39" s="24" t="s">
        <x:v>56</x:v>
      </x:c>
      <x:c r="F39" s="31">
        <x:v>53644310.00</x:v>
      </x:c>
      <x:c r="G39" s="31">
        <x:v>0.00</x:v>
      </x:c>
      <x:c r="H39" s="31">
        <x:v>1100002.00</x:v>
      </x:c>
      <x:c r="I39" s="31">
        <x:v>1415732.00</x:v>
      </x:c>
      <x:c r="J39" s="31">
        <x:v>6229235.00</x:v>
      </x:c>
      <x:c r="K39" s="33">
        <x:f>SUM(F39:J39)</x:f>
        <x:v>62389279.00</x:v>
      </x:c>
      <x:c r="L39" s="31"/>
      <x:c r="M39" s="31"/>
      <x:c r="N39" s="31"/>
      <x:c r="O39" s="31"/>
      <x:c r="P39" s="31"/>
      <x:c r="Q39" s="31"/>
      <x:c r="R39" s="19"/>
      <x:c r="S39" s="37"/>
    </x:row>
    <x:row r="40" s="20" customFormat="1">
      <x:c r="A40" s="20">
        <x:v>106</x:v>
      </x:c>
      <x:c r="B40" s="7"/>
      <x:c r="C40" s="8"/>
      <x:c r="D40" s="21"/>
      <x:c r="E40" s="24" t="s">
        <x:v>57</x:v>
      </x:c>
      <x:c r="F40" s="31">
        <x:v>76099765.00</x:v>
      </x:c>
      <x:c r="G40" s="31">
        <x:v>0.00</x:v>
      </x:c>
      <x:c r="H40" s="31">
        <x:v>1560462.00</x:v>
      </x:c>
      <x:c r="I40" s="31">
        <x:v>2008356.00</x:v>
      </x:c>
      <x:c r="J40" s="31">
        <x:v>8836786.00</x:v>
      </x:c>
      <x:c r="K40" s="33">
        <x:f>SUM(F40:J40)</x:f>
        <x:v>88505369.00</x:v>
      </x:c>
      <x:c r="L40" s="31"/>
      <x:c r="M40" s="31"/>
      <x:c r="N40" s="31"/>
      <x:c r="O40" s="31"/>
      <x:c r="P40" s="31"/>
      <x:c r="Q40" s="31"/>
      <x:c r="R40" s="19"/>
      <x:c r="S40" s="37"/>
    </x:row>
    <x:row r="41" s="20" customFormat="1">
      <x:c r="A41" s="20">
        <x:v>107</x:v>
      </x:c>
      <x:c r="B41" s="7"/>
      <x:c r="C41" s="8"/>
      <x:c r="D41" s="21"/>
      <x:c r="E41" s="24" t="s">
        <x:v>58</x:v>
      </x:c>
      <x:c r="F41" s="31">
        <x:v>11044568.00</x:v>
      </x:c>
      <x:c r="G41" s="31">
        <x:v>0.00</x:v>
      </x:c>
      <x:c r="H41" s="31">
        <x:v>226474.00</x:v>
      </x:c>
      <x:c r="I41" s="31">
        <x:v>291478.00</x:v>
      </x:c>
      <x:c r="J41" s="31">
        <x:v>1282507.00</x:v>
      </x:c>
      <x:c r="K41" s="33">
        <x:f>SUM(F41:J41)</x:f>
        <x:v>12845027.00</x:v>
      </x:c>
      <x:c r="L41" s="31"/>
      <x:c r="M41" s="31"/>
      <x:c r="N41" s="31"/>
      <x:c r="O41" s="31"/>
      <x:c r="P41" s="31"/>
      <x:c r="Q41" s="31"/>
      <x:c r="R41" s="19"/>
      <x:c r="S41" s="37"/>
    </x:row>
    <x:row r="42" s="20" customFormat="1">
      <x:c r="A42" s="20">
        <x:v>108</x:v>
      </x:c>
      <x:c r="B42" s="7"/>
      <x:c r="C42" s="8"/>
      <x:c r="D42" s="21"/>
      <x:c r="E42" s="24" t="s">
        <x:v>59</x:v>
      </x:c>
      <x:c r="F42" s="31">
        <x:v>25591071.00</x:v>
      </x:c>
      <x:c r="G42" s="31">
        <x:v>0.00</x:v>
      </x:c>
      <x:c r="H42" s="31">
        <x:v>524757.00</x:v>
      </x:c>
      <x:c r="I42" s="31">
        <x:v>675376.00</x:v>
      </x:c>
      <x:c r="J42" s="31">
        <x:v>2971663.00</x:v>
      </x:c>
      <x:c r="K42" s="33">
        <x:f>SUM(F42:J42)</x:f>
        <x:v>29762867.00</x:v>
      </x:c>
      <x:c r="L42" s="31"/>
      <x:c r="M42" s="31"/>
      <x:c r="N42" s="31"/>
      <x:c r="O42" s="31"/>
      <x:c r="P42" s="31"/>
      <x:c r="Q42" s="31"/>
      <x:c r="R42" s="19"/>
      <x:c r="S42" s="37"/>
    </x:row>
    <x:row r="43" s="20" customFormat="1">
      <x:c r="A43" s="20">
        <x:v>109</x:v>
      </x:c>
      <x:c r="B43" s="7"/>
      <x:c r="C43" s="8"/>
      <x:c r="D43" s="21"/>
      <x:c r="E43" s="24" t="s">
        <x:v>60</x:v>
      </x:c>
      <x:c r="F43" s="31">
        <x:v>208448745.00</x:v>
      </x:c>
      <x:c r="G43" s="31">
        <x:v>0.00</x:v>
      </x:c>
      <x:c r="H43" s="31">
        <x:v>4274342.00</x:v>
      </x:c>
      <x:c r="I43" s="31">
        <x:v>5501191.00</x:v>
      </x:c>
      <x:c r="J43" s="31">
        <x:v>24205291.00</x:v>
      </x:c>
      <x:c r="K43" s="33">
        <x:f>SUM(F43:J43)</x:f>
        <x:v>242429569.00</x:v>
      </x:c>
      <x:c r="L43" s="31">
        <x:v>216741831.97</x:v>
      </x:c>
      <x:c r="M43" s="31"/>
      <x:c r="N43" s="31">
        <x:v>1805775.624766054775240360685218857576</x:v>
      </x:c>
      <x:c r="O43" s="31">
        <x:v>10843887.475022918549081443801271850159</x:v>
      </x:c>
      <x:c r="P43" s="31">
        <x:v>86481954.480211024675678195513311029028</x:v>
      </x:c>
      <x:c r="Q43" s="31">
        <x:f>N43+O43+P43</x:f>
        <x:v>99131617.579999998</x:v>
      </x:c>
      <x:c r="R43" s="19">
        <x:f>SUM(L43:P43)</x:f>
        <x:v>315873449.549999998</x:v>
      </x:c>
      <x:c r="S43" s="37">
        <x:f>IF(K43=0,0,R43/K43)</x:f>
        <x:v>1.302949350827744935</x:v>
      </x:c>
    </x:row>
    <x:row r="44" s="20" customFormat="1">
      <x:c r="A44" s="20">
        <x:v>110</x:v>
      </x:c>
      <x:c r="B44" s="7"/>
      <x:c r="C44" s="8"/>
      <x:c r="D44" s="21"/>
      <x:c r="E44" s="24" t="s">
        <x:v>61</x:v>
      </x:c>
      <x:c r="F44" s="31">
        <x:v>1636557381.00</x:v>
      </x:c>
      <x:c r="G44" s="31">
        <x:v>0.00</x:v>
      </x:c>
      <x:c r="H44" s="31">
        <x:v>33558400.00</x:v>
      </x:c>
      <x:c r="I44" s="31">
        <x:v>43190544.00</x:v>
      </x:c>
      <x:c r="J44" s="31">
        <x:v>190038795.00</x:v>
      </x:c>
      <x:c r="K44" s="33">
        <x:f>SUM(F44:J44)</x:f>
        <x:v>1903345120.00</x:v>
      </x:c>
      <x:c r="L44" s="31">
        <x:v>303542314.75999999</x:v>
      </x:c>
      <x:c r="M44" s="31"/>
      <x:c r="N44" s="31">
        <x:v>2656168.959068526724532824693177893665</x:v>
      </x:c>
      <x:c r="O44" s="31">
        <x:v>15950595.916654609788684704506291118126</x:v>
      </x:c>
      <x:c r="P44" s="31">
        <x:v>127208873.494276863486782470800239356930</x:v>
      </x:c>
      <x:c r="Q44" s="31">
        <x:f>N44+O44+P44</x:f>
        <x:v>145815638.37</x:v>
      </x:c>
      <x:c r="R44" s="19">
        <x:f>SUM(L44:P44)</x:f>
        <x:v>449357953.12999999</x:v>
      </x:c>
      <x:c r="S44" s="37">
        <x:f>IF(K44=0,0,R44/K44)</x:f>
        <x:v>0.236088530875577619</x:v>
      </x:c>
    </x:row>
    <x:row r="45" s="20" customFormat="1">
      <x:c r="A45" s="20">
        <x:v>111</x:v>
      </x:c>
      <x:c r="B45" s="7"/>
      <x:c r="C45" s="8"/>
      <x:c r="D45" s="21"/>
      <x:c r="E45" s="24" t="s">
        <x:v>62</x:v>
      </x:c>
      <x:c r="F45" s="31">
        <x:v>32713050.00</x:v>
      </x:c>
      <x:c r="G45" s="31">
        <x:v>0.00</x:v>
      </x:c>
      <x:c r="H45" s="31">
        <x:v>670797.00</x:v>
      </x:c>
      <x:c r="I45" s="31">
        <x:v>863333.00</x:v>
      </x:c>
      <x:c r="J45" s="31">
        <x:v>3798674.00</x:v>
      </x:c>
      <x:c r="K45" s="33">
        <x:f>SUM(F45:J45)</x:f>
        <x:v>38045854.00</x:v>
      </x:c>
      <x:c r="L45" s="31">
        <x:v>27000826.899999999</x:v>
      </x:c>
      <x:c r="M45" s="31"/>
      <x:c r="N45" s="31">
        <x:v>216147.434522187752473255142877583844</x:v>
      </x:c>
      <x:c r="O45" s="31">
        <x:v>1297989.864204278809415793479596175166</x:v>
      </x:c>
      <x:c r="P45" s="31">
        <x:v>10351702.801273533438110951377502509308</x:v>
      </x:c>
      <x:c r="Q45" s="31">
        <x:f>N45+O45+P45</x:f>
        <x:v>11865840.10</x:v>
      </x:c>
      <x:c r="R45" s="19">
        <x:f>SUM(L45:P45)</x:f>
        <x:v>38866666.999999999</x:v>
      </x:c>
      <x:c r="S45" s="37">
        <x:f>IF(K45=0,0,R45/K45)</x:f>
        <x:v>1.021574308727568554</x:v>
      </x:c>
    </x:row>
    <x:row r="46" s="20" customFormat="1">
      <x:c r="A46" s="20">
        <x:v>112</x:v>
      </x:c>
      <x:c r="B46" s="7"/>
      <x:c r="C46" s="8"/>
      <x:c r="D46" s="21"/>
      <x:c r="E46" s="24" t="s">
        <x:v>63</x:v>
      </x:c>
      <x:c r="F46" s="31">
        <x:v>754992506.00</x:v>
      </x:c>
      <x:c r="G46" s="31">
        <x:v>0.00</x:v>
      </x:c>
      <x:c r="H46" s="31">
        <x:v>15481486.00</x:v>
      </x:c>
      <x:c r="I46" s="31">
        <x:v>19925080.00</x:v>
      </x:c>
      <x:c r="J46" s="31">
        <x:v>87670538.00</x:v>
      </x:c>
      <x:c r="K46" s="33">
        <x:f>SUM(F46:J46)</x:f>
        <x:v>878069610.00</x:v>
      </x:c>
      <x:c r="L46" s="31">
        <x:v>346952356.89999998</x:v>
      </x:c>
      <x:c r="M46" s="31"/>
      <x:c r="N46" s="31">
        <x:v>2780013.157221679131248453037021951989</x:v>
      </x:c>
      <x:c r="O46" s="31">
        <x:v>16694294.375526658494845389319704435045</x:v>
      </x:c>
      <x:c r="P46" s="31">
        <x:v>133140002.567251652373906157642968384345</x:v>
      </x:c>
      <x:c r="Q46" s="31">
        <x:f>N46+O46+P46</x:f>
        <x:v>152614310.09999999</x:v>
      </x:c>
      <x:c r="R46" s="19">
        <x:f>SUM(L46:P46)</x:f>
        <x:v>499566666.99999997</x:v>
      </x:c>
      <x:c r="S46" s="37">
        <x:f>IF(K46=0,0,R46/K46)</x:f>
        <x:v>0.568937429687379762</x:v>
      </x:c>
    </x:row>
    <x:row r="47" s="20" customFormat="1">
      <x:c r="A47" s="20">
        <x:v>113</x:v>
      </x:c>
      <x:c r="B47" s="7"/>
      <x:c r="C47" s="8"/>
      <x:c r="D47" s="21"/>
      <x:c r="E47" s="24" t="s">
        <x:v>64</x:v>
      </x:c>
      <x:c r="F47" s="31">
        <x:v>17568241.00</x:v>
      </x:c>
      <x:c r="G47" s="31">
        <x:v>0.00</x:v>
      </x:c>
      <x:c r="H47" s="31">
        <x:v>360245.00</x:v>
      </x:c>
      <x:c r="I47" s="31">
        <x:v>463645.00</x:v>
      </x:c>
      <x:c r="J47" s="31">
        <x:v>2040043.00</x:v>
      </x:c>
      <x:c r="K47" s="33">
        <x:f>SUM(F47:J47)</x:f>
        <x:v>20432174.00</x:v>
      </x:c>
      <x:c r="L47" s="31"/>
      <x:c r="M47" s="31"/>
      <x:c r="N47" s="31"/>
      <x:c r="O47" s="31"/>
      <x:c r="P47" s="31"/>
      <x:c r="Q47" s="31"/>
      <x:c r="R47" s="19"/>
      <x:c r="S47" s="37"/>
    </x:row>
    <x:row r="48" s="20" customFormat="1">
      <x:c r="A48" s="20">
        <x:v>114</x:v>
      </x:c>
      <x:c r="B48" s="7"/>
      <x:c r="C48" s="8"/>
      <x:c r="D48" s="21"/>
      <x:c r="E48" s="24" t="s">
        <x:v>65</x:v>
      </x:c>
      <x:c r="F48" s="31">
        <x:v>168557514.00</x:v>
      </x:c>
      <x:c r="G48" s="31">
        <x:v>0.00</x:v>
      </x:c>
      <x:c r="H48" s="31">
        <x:v>3456353.00</x:v>
      </x:c>
      <x:c r="I48" s="31">
        <x:v>4448418.00</x:v>
      </x:c>
      <x:c r="J48" s="31">
        <x:v>19573079.00</x:v>
      </x:c>
      <x:c r="K48" s="33">
        <x:f>SUM(F48:J48)</x:f>
        <x:v>196035364.00</x:v>
      </x:c>
      <x:c r="L48" s="31"/>
      <x:c r="M48" s="31"/>
      <x:c r="N48" s="31"/>
      <x:c r="O48" s="31"/>
      <x:c r="P48" s="31"/>
      <x:c r="Q48" s="31"/>
      <x:c r="R48" s="19"/>
      <x:c r="S48" s="37"/>
    </x:row>
    <x:row r="49" s="20" customFormat="1">
      <x:c r="A49" s="20">
        <x:v>115</x:v>
      </x:c>
      <x:c r="B49" s="7"/>
      <x:c r="C49" s="8"/>
      <x:c r="D49" s="21"/>
      <x:c r="E49" s="24" t="s">
        <x:v>66</x:v>
      </x:c>
      <x:c r="F49" s="31">
        <x:v>193643098.00</x:v>
      </x:c>
      <x:c r="G49" s="31">
        <x:v>0.00</x:v>
      </x:c>
      <x:c r="H49" s="31">
        <x:v>3970745.00</x:v>
      </x:c>
      <x:c r="I49" s="31">
        <x:v>5110454.00</x:v>
      </x:c>
      <x:c r="J49" s="31">
        <x:v>22486044.00</x:v>
      </x:c>
      <x:c r="K49" s="33">
        <x:f>SUM(F49:J49)</x:f>
        <x:v>225210341.00</x:v>
      </x:c>
      <x:c r="L49" s="31">
        <x:v>117948569.20</x:v>
      </x:c>
      <x:c r="M49" s="31"/>
      <x:c r="N49" s="31">
        <x:v>917344.383514627382922690627857402113</x:v>
      </x:c>
      <x:c r="O49" s="31">
        <x:v>5508757.087119079910128862055875703820</x:v>
      </x:c>
      <x:c r="P49" s="31">
        <x:v>43933329.329366289706948447316166175204</x:v>
      </x:c>
      <x:c r="Q49" s="31">
        <x:f>N49+O49+P49</x:f>
        <x:v>50359430.799999997</x:v>
      </x:c>
      <x:c r="R49" s="19">
        <x:f>SUM(L49:P49)</x:f>
        <x:v>168307999.999999997</x:v>
      </x:c>
      <x:c r="S49" s="37">
        <x:f>IF(K49=0,0,R49/K49)</x:f>
        <x:v>0.747336908477040124</x:v>
      </x:c>
    </x:row>
    <x:row r="50" s="20" customFormat="1">
      <x:c r="A50" s="20">
        <x:v>124</x:v>
      </x:c>
      <x:c r="B50" s="7"/>
      <x:c r="C50" s="8"/>
      <x:c r="D50" s="21"/>
      <x:c r="E50" s="24" t="s">
        <x:v>67</x:v>
      </x:c>
      <x:c r="F50" s="31">
        <x:v>45514555.00</x:v>
      </x:c>
      <x:c r="G50" s="31">
        <x:v>0.00</x:v>
      </x:c>
      <x:c r="H50" s="31">
        <x:v>933298.00</x:v>
      </x:c>
      <x:c r="I50" s="31">
        <x:v>1201179.00</x:v>
      </x:c>
      <x:c r="J50" s="31">
        <x:v>5285199.00</x:v>
      </x:c>
      <x:c r="K50" s="33">
        <x:f>SUM(F50:J50)</x:f>
        <x:v>52934231.00</x:v>
      </x:c>
      <x:c r="L50" s="31"/>
      <x:c r="M50" s="31"/>
      <x:c r="N50" s="31"/>
      <x:c r="O50" s="31"/>
      <x:c r="P50" s="31"/>
      <x:c r="Q50" s="31"/>
      <x:c r="R50" s="19"/>
      <x:c r="S50" s="37"/>
    </x:row>
    <x:row r="51" s="20" customFormat="1">
      <x:c r="A51" s="20">
        <x:v>143</x:v>
      </x:c>
      <x:c r="B51" s="7"/>
      <x:c r="C51" s="8"/>
      <x:c r="D51" s="21"/>
      <x:c r="E51" s="24" t="s">
        <x:v>68</x:v>
      </x:c>
      <x:c r="F51" s="31">
        <x:v>0.00</x:v>
      </x:c>
      <x:c r="G51" s="31">
        <x:v>0.00</x:v>
      </x:c>
      <x:c r="H51" s="31">
        <x:v>0.00</x:v>
      </x:c>
      <x:c r="I51" s="31">
        <x:v>0.00</x:v>
      </x:c>
      <x:c r="J51" s="31">
        <x:v>0.00</x:v>
      </x:c>
      <x:c r="K51" s="33">
        <x:f>SUM(F51:J51)</x:f>
        <x:v>0.00</x:v>
      </x:c>
      <x:c r="L51" s="31"/>
      <x:c r="M51" s="31"/>
      <x:c r="N51" s="31"/>
      <x:c r="O51" s="31"/>
      <x:c r="P51" s="31"/>
      <x:c r="Q51" s="31"/>
      <x:c r="R51" s="19"/>
      <x:c r="S51" s="37"/>
    </x:row>
    <x:row r="52" s="20" customFormat="1">
      <x:c r="A52" s="20">
        <x:v>0</x:v>
      </x:c>
      <x:c r="B52" s="7"/>
      <x:c r="C52" s="8"/>
      <x:c r="D52" s="21"/>
      <x:c r="E52" s="24" t="s">
        <x:v>69</x:v>
      </x:c>
      <x:c r="F52" s="31">
        <x:v>97601340.00</x:v>
      </x:c>
      <x:c r="G52" s="31">
        <x:v>0.00</x:v>
      </x:c>
      <x:c r="H52" s="31">
        <x:v>2001363.00</x:v>
      </x:c>
      <x:c r="I52" s="31">
        <x:v>2575806.00</x:v>
      </x:c>
      <x:c r="J52" s="31">
        <x:v>11333572.00</x:v>
      </x:c>
      <x:c r="K52" s="33">
        <x:f>SUM(F52:J52)</x:f>
        <x:v>113512081.00</x:v>
      </x:c>
      <x:c r="L52" s="31">
        <x:v>63692204.399999999</x:v>
      </x:c>
      <x:c r="M52" s="31"/>
      <x:c r="N52" s="31">
        <x:v>513679.726384850122175087326857019966</x:v>
      </x:c>
      <x:c r="O52" s="31">
        <x:v>3084705.029086616491998999740564093235</x:v>
      </x:c>
      <x:c r="P52" s="31">
        <x:v>24601077.844528534385825912932522487873</x:v>
      </x:c>
      <x:c r="Q52" s="31">
        <x:f>N52+O52+P52</x:f>
        <x:v>28199462.600000001</x:v>
      </x:c>
      <x:c r="R52" s="19">
        <x:f>SUM(L52:P52)</x:f>
        <x:v>91891667.000000000</x:v>
      </x:c>
      <x:c r="S52" s="37">
        <x:f>IF(K52=0,0,R52/K52)</x:f>
        <x:v>0.809532044434988378</x:v>
      </x:c>
    </x:row>
    <x:row r="53" s="23" customFormat="1">
      <x:c r="B53" s="12">
        <x:v>21</x:v>
      </x:c>
      <x:c r="C53" s="8" t="s">
        <x:v>34</x:v>
      </x:c>
      <x:c r="D53" s="14"/>
      <x:c r="E53" s="15" t="s">
        <x:v>70</x:v>
      </x:c>
      <x:c r="F53" s="32">
        <x:f>SUM(F30:F52)</x:f>
        <x:v>6611163499.00</x:v>
      </x:c>
      <x:c r="G53" s="32">
        <x:f>SUM(G30:G52)</x:f>
        <x:v>0.00</x:v>
      </x:c>
      <x:c r="H53" s="32">
        <x:f>SUM(H30:H52)</x:f>
        <x:v>135565099.00</x:v>
      </x:c>
      <x:c r="I53" s="32">
        <x:f>SUM(I30:I52)</x:f>
        <x:v>174475853.00</x:v>
      </x:c>
      <x:c r="J53" s="32">
        <x:f>SUM(J30:J52)</x:f>
        <x:v>767695382.00</x:v>
      </x:c>
      <x:c r="K53" s="32">
        <x:f>SUM(K30:K52)</x:f>
        <x:v>7688899833.00</x:v>
      </x:c>
      <x:c r="L53" s="32">
        <x:f>SUM(L30:L52)</x:f>
        <x:v>2401041549.199999967</x:v>
      </x:c>
      <x:c r="M53" s="32"/>
      <x:c r="N53" s="32">
        <x:f>SUM(N30:N52)</x:f>
        <x:v>19500235.947801410522479970811830967849</x:v>
      </x:c>
      <x:c r="O53" s="32">
        <x:f>SUM(O30:O52)</x:f>
        <x:v>117101128.985363636419010580487503651091</x:v>
      </x:c>
      <x:c r="P53" s="32">
        <x:f>SUM(P30:P52)</x:f>
        <x:v>933902581.506834948658509448698524373154</x:v>
      </x:c>
      <x:c r="Q53" s="32">
        <x:f>SUM(Q30:Q52)</x:f>
        <x:v>1070503946.4399999956</x:v>
      </x:c>
      <x:c r="R53" s="16">
        <x:f>SUM(R30:R52)</x:f>
        <x:v>3471545495.6399999626</x:v>
      </x:c>
      <x:c r="S53" s="37">
        <x:f>IF(K53=0,0,R53/K53)</x:f>
        <x:v>0.451500939151329423</x:v>
      </x:c>
    </x:row>
    <x:row r="54" s="20" customFormat="1">
      <x:c r="B54" s="7"/>
      <x:c r="C54" s="8" t="s">
        <x:v>36</x:v>
      </x:c>
      <x:c r="D54" s="21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19"/>
      <x:c r="S54" s="19"/>
    </x:row>
    <x:row r="55" s="20" customFormat="1">
      <x:c r="B55" s="7"/>
      <x:c r="C55" s="8" t="s">
        <x:v>29</x:v>
      </x:c>
      <x:c r="D55" s="21"/>
      <x:c r="E55" s="22" t="s">
        <x:v>71</x:v>
      </x:c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19"/>
      <x:c r="S55" s="19"/>
    </x:row>
    <x:row r="56" s="20" customFormat="1">
      <x:c r="A56" s="20">
        <x:v>169</x:v>
      </x:c>
      <x:c r="B56" s="7"/>
      <x:c r="C56" s="8"/>
      <x:c r="D56" s="21"/>
      <x:c r="E56" s="24" t="s">
        <x:v>72</x:v>
      </x:c>
      <x:c r="F56" s="31">
        <x:v>0.00</x:v>
      </x:c>
      <x:c r="G56" s="31">
        <x:v>0.00</x:v>
      </x:c>
      <x:c r="H56" s="31">
        <x:v>0.00</x:v>
      </x:c>
      <x:c r="I56" s="31">
        <x:v>0.00</x:v>
      </x:c>
      <x:c r="J56" s="31">
        <x:v>0.00</x:v>
      </x:c>
      <x:c r="K56" s="33">
        <x:f>SUM(F56:J56)</x:f>
        <x:v>0.00</x:v>
      </x:c>
      <x:c r="L56" s="31"/>
      <x:c r="M56" s="31"/>
      <x:c r="N56" s="31"/>
      <x:c r="O56" s="31"/>
      <x:c r="P56" s="31"/>
      <x:c r="Q56" s="31"/>
      <x:c r="R56" s="19"/>
      <x:c r="S56" s="37"/>
    </x:row>
    <x:row r="57" s="20" customFormat="1">
      <x:c r="A57" s="20">
        <x:v>171</x:v>
      </x:c>
      <x:c r="B57" s="7"/>
      <x:c r="C57" s="8"/>
      <x:c r="D57" s="21"/>
      <x:c r="E57" s="24" t="s">
        <x:v>73</x:v>
      </x:c>
      <x:c r="F57" s="31">
        <x:v>0.00</x:v>
      </x:c>
      <x:c r="G57" s="31">
        <x:v>0.00</x:v>
      </x:c>
      <x:c r="H57" s="31">
        <x:v>0.00</x:v>
      </x:c>
      <x:c r="I57" s="31">
        <x:v>0.00</x:v>
      </x:c>
      <x:c r="J57" s="31">
        <x:v>0.00</x:v>
      </x:c>
      <x:c r="K57" s="33">
        <x:f>SUM(F57:J57)</x:f>
        <x:v>0.00</x:v>
      </x:c>
      <x:c r="L57" s="31"/>
      <x:c r="M57" s="31"/>
      <x:c r="N57" s="31"/>
      <x:c r="O57" s="31"/>
      <x:c r="P57" s="31"/>
      <x:c r="Q57" s="31"/>
      <x:c r="R57" s="19"/>
      <x:c r="S57" s="37"/>
    </x:row>
    <x:row r="58" s="20" customFormat="1">
      <x:c r="A58" s="20">
        <x:v>175</x:v>
      </x:c>
      <x:c r="B58" s="7"/>
      <x:c r="C58" s="8"/>
      <x:c r="D58" s="21"/>
      <x:c r="E58" s="24" t="s">
        <x:v>74</x:v>
      </x:c>
      <x:c r="F58" s="31">
        <x:v>0.00</x:v>
      </x:c>
      <x:c r="G58" s="31">
        <x:v>0.00</x:v>
      </x:c>
      <x:c r="H58" s="31">
        <x:v>0.00</x:v>
      </x:c>
      <x:c r="I58" s="31">
        <x:v>0.00</x:v>
      </x:c>
      <x:c r="J58" s="31">
        <x:v>0.00</x:v>
      </x:c>
      <x:c r="K58" s="33">
        <x:f>SUM(F58:J58)</x:f>
        <x:v>0.00</x:v>
      </x:c>
      <x:c r="L58" s="31"/>
      <x:c r="M58" s="31"/>
      <x:c r="N58" s="31"/>
      <x:c r="O58" s="31"/>
      <x:c r="P58" s="31"/>
      <x:c r="Q58" s="31"/>
      <x:c r="R58" s="19"/>
      <x:c r="S58" s="37"/>
    </x:row>
    <x:row r="59" s="20" customFormat="1">
      <x:c r="A59" s="20">
        <x:v>176</x:v>
      </x:c>
      <x:c r="B59" s="7"/>
      <x:c r="C59" s="8"/>
      <x:c r="D59" s="21"/>
      <x:c r="E59" s="24" t="s">
        <x:v>75</x:v>
      </x:c>
      <x:c r="F59" s="31">
        <x:v>0.00</x:v>
      </x:c>
      <x:c r="G59" s="31">
        <x:v>0.00</x:v>
      </x:c>
      <x:c r="H59" s="31">
        <x:v>0.00</x:v>
      </x:c>
      <x:c r="I59" s="31">
        <x:v>0.00</x:v>
      </x:c>
      <x:c r="J59" s="31">
        <x:v>0.00</x:v>
      </x:c>
      <x:c r="K59" s="33">
        <x:f>SUM(F59:J59)</x:f>
        <x:v>0.00</x:v>
      </x:c>
      <x:c r="L59" s="31"/>
      <x:c r="M59" s="31"/>
      <x:c r="N59" s="31"/>
      <x:c r="O59" s="31"/>
      <x:c r="P59" s="31"/>
      <x:c r="Q59" s="31"/>
      <x:c r="R59" s="19"/>
      <x:c r="S59" s="37"/>
    </x:row>
    <x:row r="60" s="20" customFormat="1">
      <x:c r="A60" s="20">
        <x:v>177</x:v>
      </x:c>
      <x:c r="B60" s="7"/>
      <x:c r="C60" s="8"/>
      <x:c r="D60" s="21"/>
      <x:c r="E60" s="24" t="s">
        <x:v>76</x:v>
      </x:c>
      <x:c r="F60" s="31">
        <x:v>0.00</x:v>
      </x:c>
      <x:c r="G60" s="31">
        <x:v>0.00</x:v>
      </x:c>
      <x:c r="H60" s="31">
        <x:v>0.00</x:v>
      </x:c>
      <x:c r="I60" s="31">
        <x:v>0.00</x:v>
      </x:c>
      <x:c r="J60" s="31">
        <x:v>0.00</x:v>
      </x:c>
      <x:c r="K60" s="33">
        <x:f>SUM(F60:J60)</x:f>
        <x:v>0.00</x:v>
      </x:c>
      <x:c r="L60" s="31"/>
      <x:c r="M60" s="31"/>
      <x:c r="N60" s="31"/>
      <x:c r="O60" s="31"/>
      <x:c r="P60" s="31"/>
      <x:c r="Q60" s="31"/>
      <x:c r="R60" s="19"/>
      <x:c r="S60" s="37"/>
    </x:row>
    <x:row r="61" s="20" customFormat="1">
      <x:c r="A61" s="20">
        <x:v>179</x:v>
      </x:c>
      <x:c r="B61" s="7"/>
      <x:c r="C61" s="8"/>
      <x:c r="D61" s="21"/>
      <x:c r="E61" s="24" t="s">
        <x:v>77</x:v>
      </x:c>
      <x:c r="F61" s="31">
        <x:v>62905579.00</x:v>
      </x:c>
      <x:c r="G61" s="31">
        <x:v>0.00</x:v>
      </x:c>
      <x:c r="H61" s="31">
        <x:v>1289909.00</x:v>
      </x:c>
      <x:c r="I61" s="31">
        <x:v>1660147.00</x:v>
      </x:c>
      <x:c r="J61" s="31">
        <x:v>7304663.00</x:v>
      </x:c>
      <x:c r="K61" s="33">
        <x:f>SUM(F61:J61)</x:f>
        <x:v>73160298.00</x:v>
      </x:c>
      <x:c r="L61" s="31">
        <x:v>41076052.789999999</x:v>
      </x:c>
      <x:c r="M61" s="31"/>
      <x:c r="N61" s="31">
        <x:v>326103.551711922174392255503962997147</x:v>
      </x:c>
      <x:c r="O61" s="31">
        <x:v>1958288.821418515832382847616586976289</x:v>
      </x:c>
      <x:c r="P61" s="31">
        <x:v>15617705.836869562993224896879414222366</x:v>
      </x:c>
      <x:c r="Q61" s="31">
        <x:f>N61+O61+P61</x:f>
        <x:v>17902098.210000001</x:v>
      </x:c>
      <x:c r="R61" s="19">
        <x:f>SUM(L61:P61)</x:f>
        <x:v>58978151.000000000</x:v>
      </x:c>
      <x:c r="S61" s="37">
        <x:f>IF(K61=0,0,R61/K61)</x:f>
        <x:v>0.806149682441151346</x:v>
      </x:c>
    </x:row>
    <x:row r="62" s="20" customFormat="1">
      <x:c r="A62" s="20">
        <x:v>180</x:v>
      </x:c>
      <x:c r="B62" s="7"/>
      <x:c r="C62" s="8"/>
      <x:c r="D62" s="21"/>
      <x:c r="E62" s="24" t="s">
        <x:v>78</x:v>
      </x:c>
      <x:c r="F62" s="31">
        <x:v>9390882.00</x:v>
      </x:c>
      <x:c r="G62" s="31">
        <x:v>0.00</x:v>
      </x:c>
      <x:c r="H62" s="31">
        <x:v>192565.00</x:v>
      </x:c>
      <x:c r="I62" s="31">
        <x:v>247836.00</x:v>
      </x:c>
      <x:c r="J62" s="31">
        <x:v>1090479.00</x:v>
      </x:c>
      <x:c r="K62" s="33">
        <x:f>SUM(F62:J62)</x:f>
        <x:v>10921762.00</x:v>
      </x:c>
      <x:c r="L62" s="31">
        <x:v>4605260.0199999996</x:v>
      </x:c>
      <x:c r="M62" s="31"/>
      <x:c r="N62" s="31">
        <x:v>37673.114346936858516767206539867615</x:v>
      </x:c>
      <x:c r="O62" s="31">
        <x:v>226231.325314727601362132204914523002</x:v>
      </x:c>
      <x:c r="P62" s="31">
        <x:v>1804235.540338335540121100588541473102</x:v>
      </x:c>
      <x:c r="Q62" s="31">
        <x:f>N62+O62+P62</x:f>
        <x:v>2068139.98</x:v>
      </x:c>
      <x:c r="R62" s="19">
        <x:f>SUM(L62:P62)</x:f>
        <x:v>6673399.9999999996</x:v>
      </x:c>
      <x:c r="S62" s="37">
        <x:f>IF(K62=0,0,R62/K62)</x:f>
        <x:v>0.611018625016732611</x:v>
      </x:c>
    </x:row>
    <x:row r="63" s="20" customFormat="1">
      <x:c r="A63" s="20">
        <x:v>181</x:v>
      </x:c>
      <x:c r="B63" s="7"/>
      <x:c r="C63" s="8"/>
      <x:c r="D63" s="21"/>
      <x:c r="E63" s="24" t="s">
        <x:v>79</x:v>
      </x:c>
      <x:c r="F63" s="31">
        <x:v>446963084.00</x:v>
      </x:c>
      <x:c r="G63" s="31">
        <x:v>0.00</x:v>
      </x:c>
      <x:c r="H63" s="31">
        <x:v>9165194.00</x:v>
      </x:c>
      <x:c r="I63" s="31">
        <x:v>11795846.00</x:v>
      </x:c>
      <x:c r="J63" s="31">
        <x:v>51901832.00</x:v>
      </x:c>
      <x:c r="K63" s="33">
        <x:f>SUM(F63:J63)</x:f>
        <x:v>519825956.00</x:v>
      </x:c>
      <x:c r="L63" s="31">
        <x:v>228154293.33000001</x:v>
      </x:c>
      <x:c r="M63" s="31"/>
      <x:c r="N63" s="31">
        <x:v>1944368.067322101605531886381317732478</x:v>
      </x:c>
      <x:c r="O63" s="31">
        <x:v>11676150.814584307068899159851373342901</x:v>
      </x:c>
      <x:c r="P63" s="31">
        <x:v>93119404.418093591325568953767095444773</x:v>
      </x:c>
      <x:c r="Q63" s="31">
        <x:f>N63+O63+P63</x:f>
        <x:v>106739923.30</x:v>
      </x:c>
      <x:c r="R63" s="19">
        <x:f>SUM(L63:P63)</x:f>
        <x:v>334894216.63000001</x:v>
      </x:c>
      <x:c r="S63" s="37">
        <x:f>IF(K63=0,0,R63/K63)</x:f>
        <x:v>0.644242967794397727</x:v>
      </x:c>
    </x:row>
    <x:row r="64" s="20" customFormat="1">
      <x:c r="A64" s="20">
        <x:v>134</x:v>
      </x:c>
      <x:c r="B64" s="7"/>
      <x:c r="C64" s="8"/>
      <x:c r="D64" s="21"/>
      <x:c r="E64" s="24" t="s">
        <x:v>80</x:v>
      </x:c>
      <x:c r="F64" s="31">
        <x:v>0.00</x:v>
      </x:c>
      <x:c r="G64" s="31">
        <x:v>0.00</x:v>
      </x:c>
      <x:c r="H64" s="31">
        <x:v>0.00</x:v>
      </x:c>
      <x:c r="I64" s="31">
        <x:v>0.00</x:v>
      </x:c>
      <x:c r="J64" s="31">
        <x:v>0.00</x:v>
      </x:c>
      <x:c r="K64" s="33">
        <x:f>SUM(F64:J64)</x:f>
        <x:v>0.00</x:v>
      </x:c>
      <x:c r="L64" s="31"/>
      <x:c r="M64" s="31"/>
      <x:c r="N64" s="31"/>
      <x:c r="O64" s="31"/>
      <x:c r="P64" s="31"/>
      <x:c r="Q64" s="31"/>
      <x:c r="R64" s="19"/>
      <x:c r="S64" s="37"/>
    </x:row>
    <x:row r="65" s="20" customFormat="1">
      <x:c r="A65" s="20">
        <x:v>132</x:v>
      </x:c>
      <x:c r="B65" s="7"/>
      <x:c r="C65" s="8"/>
      <x:c r="D65" s="21"/>
      <x:c r="E65" s="24" t="s">
        <x:v>81</x:v>
      </x:c>
      <x:c r="F65" s="31">
        <x:v>0.00</x:v>
      </x:c>
      <x:c r="G65" s="31">
        <x:v>0.00</x:v>
      </x:c>
      <x:c r="H65" s="31">
        <x:v>0.00</x:v>
      </x:c>
      <x:c r="I65" s="31">
        <x:v>0.00</x:v>
      </x:c>
      <x:c r="J65" s="31">
        <x:v>0.00</x:v>
      </x:c>
      <x:c r="K65" s="33">
        <x:f>SUM(F65:J65)</x:f>
        <x:v>0.00</x:v>
      </x:c>
      <x:c r="L65" s="31"/>
      <x:c r="M65" s="31"/>
      <x:c r="N65" s="31"/>
      <x:c r="O65" s="31"/>
      <x:c r="P65" s="31"/>
      <x:c r="Q65" s="31"/>
      <x:c r="R65" s="19"/>
      <x:c r="S65" s="37"/>
    </x:row>
    <x:row r="66" s="20" customFormat="1">
      <x:c r="A66" s="20">
        <x:v>133</x:v>
      </x:c>
      <x:c r="B66" s="7"/>
      <x:c r="C66" s="8"/>
      <x:c r="D66" s="21"/>
      <x:c r="E66" s="24" t="s">
        <x:v>82</x:v>
      </x:c>
      <x:c r="F66" s="31">
        <x:v>0.00</x:v>
      </x:c>
      <x:c r="G66" s="31">
        <x:v>0.00</x:v>
      </x:c>
      <x:c r="H66" s="31">
        <x:v>0.00</x:v>
      </x:c>
      <x:c r="I66" s="31">
        <x:v>0.00</x:v>
      </x:c>
      <x:c r="J66" s="31">
        <x:v>0.00</x:v>
      </x:c>
      <x:c r="K66" s="33">
        <x:f>SUM(F66:J66)</x:f>
        <x:v>0.00</x:v>
      </x:c>
      <x:c r="L66" s="31"/>
      <x:c r="M66" s="31"/>
      <x:c r="N66" s="31"/>
      <x:c r="O66" s="31"/>
      <x:c r="P66" s="31"/>
      <x:c r="Q66" s="31"/>
      <x:c r="R66" s="19"/>
      <x:c r="S66" s="37"/>
    </x:row>
    <x:row r="67" s="20" customFormat="1">
      <x:c r="A67" s="20">
        <x:v>182</x:v>
      </x:c>
      <x:c r="B67" s="7"/>
      <x:c r="C67" s="8"/>
      <x:c r="D67" s="21"/>
      <x:c r="E67" s="24" t="s">
        <x:v>83</x:v>
      </x:c>
      <x:c r="F67" s="31">
        <x:v>0.00</x:v>
      </x:c>
      <x:c r="G67" s="31">
        <x:v>0.00</x:v>
      </x:c>
      <x:c r="H67" s="31">
        <x:v>0.00</x:v>
      </x:c>
      <x:c r="I67" s="31">
        <x:v>0.00</x:v>
      </x:c>
      <x:c r="J67" s="31">
        <x:v>0.00</x:v>
      </x:c>
      <x:c r="K67" s="33">
        <x:f>SUM(F67:J67)</x:f>
        <x:v>0.00</x:v>
      </x:c>
      <x:c r="L67" s="31"/>
      <x:c r="M67" s="31"/>
      <x:c r="N67" s="31"/>
      <x:c r="O67" s="31"/>
      <x:c r="P67" s="31"/>
      <x:c r="Q67" s="31"/>
      <x:c r="R67" s="19"/>
      <x:c r="S67" s="37"/>
    </x:row>
    <x:row r="68" s="20" customFormat="1">
      <x:c r="A68" s="20">
        <x:v>137</x:v>
      </x:c>
      <x:c r="B68" s="7"/>
      <x:c r="C68" s="8"/>
      <x:c r="D68" s="21"/>
      <x:c r="E68" s="24" t="s">
        <x:v>84</x:v>
      </x:c>
      <x:c r="F68" s="31">
        <x:v>0.00</x:v>
      </x:c>
      <x:c r="G68" s="31">
        <x:v>0.00</x:v>
      </x:c>
      <x:c r="H68" s="31">
        <x:v>0.00</x:v>
      </x:c>
      <x:c r="I68" s="31">
        <x:v>0.00</x:v>
      </x:c>
      <x:c r="J68" s="31">
        <x:v>0.00</x:v>
      </x:c>
      <x:c r="K68" s="33">
        <x:f>SUM(F68:J68)</x:f>
        <x:v>0.00</x:v>
      </x:c>
      <x:c r="L68" s="31"/>
      <x:c r="M68" s="31"/>
      <x:c r="N68" s="31"/>
      <x:c r="O68" s="31"/>
      <x:c r="P68" s="31"/>
      <x:c r="Q68" s="31"/>
      <x:c r="R68" s="19"/>
      <x:c r="S68" s="37"/>
    </x:row>
    <x:row r="69" s="20" customFormat="1">
      <x:c r="A69" s="20">
        <x:v>129</x:v>
      </x:c>
      <x:c r="B69" s="7"/>
      <x:c r="C69" s="8"/>
      <x:c r="D69" s="21"/>
      <x:c r="E69" s="24" t="s">
        <x:v>85</x:v>
      </x:c>
      <x:c r="F69" s="31">
        <x:v>0.00</x:v>
      </x:c>
      <x:c r="G69" s="31">
        <x:v>0.00</x:v>
      </x:c>
      <x:c r="H69" s="31">
        <x:v>0.00</x:v>
      </x:c>
      <x:c r="I69" s="31">
        <x:v>0.00</x:v>
      </x:c>
      <x:c r="J69" s="31">
        <x:v>0.00</x:v>
      </x:c>
      <x:c r="K69" s="33">
        <x:f>SUM(F69:J69)</x:f>
        <x:v>0.00</x:v>
      </x:c>
      <x:c r="L69" s="31"/>
      <x:c r="M69" s="31"/>
      <x:c r="N69" s="31"/>
      <x:c r="O69" s="31"/>
      <x:c r="P69" s="31"/>
      <x:c r="Q69" s="31"/>
      <x:c r="R69" s="19"/>
      <x:c r="S69" s="37"/>
    </x:row>
    <x:row r="70" s="20" customFormat="1">
      <x:c r="A70" s="20">
        <x:v>5</x:v>
      </x:c>
      <x:c r="B70" s="7"/>
      <x:c r="C70" s="8"/>
      <x:c r="D70" s="21"/>
      <x:c r="E70" s="24" t="s">
        <x:v>86</x:v>
      </x:c>
      <x:c r="F70" s="31">
        <x:v>0.00</x:v>
      </x:c>
      <x:c r="G70" s="31">
        <x:v>0.00</x:v>
      </x:c>
      <x:c r="H70" s="31">
        <x:v>0.00</x:v>
      </x:c>
      <x:c r="I70" s="31">
        <x:v>0.00</x:v>
      </x:c>
      <x:c r="J70" s="31">
        <x:v>0.00</x:v>
      </x:c>
      <x:c r="K70" s="33">
        <x:f>SUM(F70:J70)</x:f>
        <x:v>0.00</x:v>
      </x:c>
      <x:c r="L70" s="31"/>
      <x:c r="M70" s="31"/>
      <x:c r="N70" s="31"/>
      <x:c r="O70" s="31"/>
      <x:c r="P70" s="31"/>
      <x:c r="Q70" s="31"/>
      <x:c r="R70" s="19"/>
      <x:c r="S70" s="37"/>
    </x:row>
    <x:row r="71" s="20" customFormat="1">
      <x:c r="A71" s="20">
        <x:v>183</x:v>
      </x:c>
      <x:c r="B71" s="7"/>
      <x:c r="C71" s="8"/>
      <x:c r="D71" s="21"/>
      <x:c r="E71" s="24" t="s">
        <x:v>87</x:v>
      </x:c>
      <x:c r="F71" s="31">
        <x:v>88305142.00</x:v>
      </x:c>
      <x:c r="G71" s="31">
        <x:v>0.00</x:v>
      </x:c>
      <x:c r="H71" s="31">
        <x:v>1810740.00</x:v>
      </x:c>
      <x:c r="I71" s="31">
        <x:v>2330470.00</x:v>
      </x:c>
      <x:c r="J71" s="31">
        <x:v>10254088.00</x:v>
      </x:c>
      <x:c r="K71" s="33">
        <x:f>SUM(F71:J71)</x:f>
        <x:v>102700440.00</x:v>
      </x:c>
      <x:c r="L71" s="31">
        <x:v>22031577.690000001</x:v>
      </x:c>
      <x:c r="M71" s="31"/>
      <x:c r="N71" s="31">
        <x:v>167096.811468879500899940507248586783</x:v>
      </x:c>
      <x:c r="O71" s="31">
        <x:v>1003435.308436172565643074710248501248</x:v>
      </x:c>
      <x:c r="P71" s="31">
        <x:v>8002577.200094948233456984782484565748</x:v>
      </x:c>
      <x:c r="Q71" s="31">
        <x:f>N71+O71+P71</x:f>
        <x:v>9173109.3200000003</x:v>
      </x:c>
      <x:c r="R71" s="19">
        <x:f>SUM(L71:P71)</x:f>
        <x:v>31204687.0100000013</x:v>
      </x:c>
      <x:c r="S71" s="37">
        <x:f>IF(K71=0,0,R71/K71)</x:f>
        <x:v>0.303841804475229135</x:v>
      </x:c>
    </x:row>
    <x:row r="72" s="20" customFormat="1">
      <x:c r="A72" s="20">
        <x:v>184</x:v>
      </x:c>
      <x:c r="B72" s="7"/>
      <x:c r="C72" s="8"/>
      <x:c r="D72" s="21"/>
      <x:c r="E72" s="24" t="s">
        <x:v>88</x:v>
      </x:c>
      <x:c r="F72" s="31">
        <x:v>8323041.00</x:v>
      </x:c>
      <x:c r="G72" s="31">
        <x:v>0.00</x:v>
      </x:c>
      <x:c r="H72" s="31">
        <x:v>170668.00</x:v>
      </x:c>
      <x:c r="I72" s="31">
        <x:v>219654.00</x:v>
      </x:c>
      <x:c r="J72" s="31">
        <x:v>966480.00</x:v>
      </x:c>
      <x:c r="K72" s="33">
        <x:f>SUM(F72:J72)</x:f>
        <x:v>9679843.00</x:v>
      </x:c>
      <x:c r="L72" s="31">
        <x:v>15882730.85</x:v>
      </x:c>
      <x:c r="M72" s="31"/>
      <x:c r="N72" s="31">
        <x:v>128731.014316183844986562712827734247</x:v>
      </x:c>
      <x:c r="O72" s="31">
        <x:v>773044.344294497854567165700653456355</x:v>
      </x:c>
      <x:c r="P72" s="31">
        <x:v>6165167.791389318700446271586504675510</x:v>
      </x:c>
      <x:c r="Q72" s="31">
        <x:f>N72+O72+P72</x:f>
        <x:v>7066943.1500000004</x:v>
      </x:c>
      <x:c r="R72" s="19">
        <x:f>SUM(L72:P72)</x:f>
        <x:v>22949674.0000000004</x:v>
      </x:c>
      <x:c r="S72" s="37">
        <x:f>IF(K72=0,0,R72/K72)</x:f>
        <x:v>2.370872544110477866</x:v>
      </x:c>
    </x:row>
    <x:row r="73" s="20" customFormat="1">
      <x:c r="A73" s="20">
        <x:v>185</x:v>
      </x:c>
      <x:c r="B73" s="7"/>
      <x:c r="C73" s="8"/>
      <x:c r="D73" s="21"/>
      <x:c r="E73" s="24" t="s">
        <x:v>89</x:v>
      </x:c>
      <x:c r="F73" s="31">
        <x:v>46865884.00</x:v>
      </x:c>
      <x:c r="G73" s="31">
        <x:v>0.00</x:v>
      </x:c>
      <x:c r="H73" s="31">
        <x:v>961008.00</x:v>
      </x:c>
      <x:c r="I73" s="31">
        <x:v>1236842.00</x:v>
      </x:c>
      <x:c r="J73" s="31">
        <x:v>5442117.00</x:v>
      </x:c>
      <x:c r="K73" s="33">
        <x:f>SUM(F73:J73)</x:f>
        <x:v>54505851.00</x:v>
      </x:c>
      <x:c r="L73" s="31">
        <x:v>54589570.00</x:v>
      </x:c>
      <x:c r="M73" s="31"/>
      <x:c r="N73" s="31">
        <x:v>446480.528886923594550464829847236640</x:v>
      </x:c>
      <x:c r="O73" s="31">
        <x:v>2681166.224993077519953192945529282810</x:v>
      </x:c>
      <x:c r="P73" s="31">
        <x:v>21382783.246119998885496342224574459690</x:v>
      </x:c>
      <x:c r="Q73" s="31">
        <x:f>N73+O73+P73</x:f>
        <x:v>24510430.00</x:v>
      </x:c>
      <x:c r="R73" s="19">
        <x:f>SUM(L73:P73)</x:f>
        <x:v>79100000.00</x:v>
      </x:c>
      <x:c r="S73" s="37">
        <x:f>IF(K73=0,0,R73/K73)</x:f>
        <x:v>1.451220346967887906</x:v>
      </x:c>
    </x:row>
    <x:row r="74" s="20" customFormat="1">
      <x:c r="A74" s="20">
        <x:v>186</x:v>
      </x:c>
      <x:c r="B74" s="7"/>
      <x:c r="C74" s="8"/>
      <x:c r="D74" s="21"/>
      <x:c r="E74" s="24" t="s">
        <x:v>90</x:v>
      </x:c>
      <x:c r="F74" s="31">
        <x:v>0.00</x:v>
      </x:c>
      <x:c r="G74" s="31">
        <x:v>0.00</x:v>
      </x:c>
      <x:c r="H74" s="31">
        <x:v>0.00</x:v>
      </x:c>
      <x:c r="I74" s="31">
        <x:v>0.00</x:v>
      </x:c>
      <x:c r="J74" s="31">
        <x:v>0.00</x:v>
      </x:c>
      <x:c r="K74" s="33">
        <x:f>SUM(F74:J74)</x:f>
        <x:v>0.00</x:v>
      </x:c>
      <x:c r="L74" s="31"/>
      <x:c r="M74" s="31"/>
      <x:c r="N74" s="31"/>
      <x:c r="O74" s="31"/>
      <x:c r="P74" s="31"/>
      <x:c r="Q74" s="31"/>
      <x:c r="R74" s="19"/>
      <x:c r="S74" s="37"/>
    </x:row>
    <x:row r="75" s="20" customFormat="1">
      <x:c r="A75" s="20">
        <x:v>187</x:v>
      </x:c>
      <x:c r="B75" s="7"/>
      <x:c r="C75" s="8"/>
      <x:c r="D75" s="21"/>
      <x:c r="E75" s="24" t="s">
        <x:v>91</x:v>
      </x:c>
      <x:c r="F75" s="31">
        <x:v>0.00</x:v>
      </x:c>
      <x:c r="G75" s="31">
        <x:v>0.00</x:v>
      </x:c>
      <x:c r="H75" s="31">
        <x:v>0.00</x:v>
      </x:c>
      <x:c r="I75" s="31">
        <x:v>0.00</x:v>
      </x:c>
      <x:c r="J75" s="31">
        <x:v>0.00</x:v>
      </x:c>
      <x:c r="K75" s="33">
        <x:f>SUM(F75:J75)</x:f>
        <x:v>0.00</x:v>
      </x:c>
      <x:c r="L75" s="31"/>
      <x:c r="M75" s="31"/>
      <x:c r="N75" s="31"/>
      <x:c r="O75" s="31"/>
      <x:c r="P75" s="31"/>
      <x:c r="Q75" s="31"/>
      <x:c r="R75" s="19"/>
      <x:c r="S75" s="37"/>
    </x:row>
    <x:row r="76" s="20" customFormat="1">
      <x:c r="A76" s="20">
        <x:v>188</x:v>
      </x:c>
      <x:c r="B76" s="7"/>
      <x:c r="C76" s="8"/>
      <x:c r="D76" s="21"/>
      <x:c r="E76" s="24" t="s">
        <x:v>92</x:v>
      </x:c>
      <x:c r="F76" s="31">
        <x:v>0.00</x:v>
      </x:c>
      <x:c r="G76" s="31">
        <x:v>0.00</x:v>
      </x:c>
      <x:c r="H76" s="31">
        <x:v>0.00</x:v>
      </x:c>
      <x:c r="I76" s="31">
        <x:v>0.00</x:v>
      </x:c>
      <x:c r="J76" s="31">
        <x:v>0.00</x:v>
      </x:c>
      <x:c r="K76" s="33">
        <x:f>SUM(F76:J76)</x:f>
        <x:v>0.00</x:v>
      </x:c>
      <x:c r="L76" s="31"/>
      <x:c r="M76" s="31"/>
      <x:c r="N76" s="31"/>
      <x:c r="O76" s="31"/>
      <x:c r="P76" s="31"/>
      <x:c r="Q76" s="31"/>
      <x:c r="R76" s="19"/>
      <x:c r="S76" s="37"/>
    </x:row>
    <x:row r="77" s="20" customFormat="1">
      <x:c r="A77" s="20">
        <x:v>189</x:v>
      </x:c>
      <x:c r="B77" s="7"/>
      <x:c r="C77" s="8"/>
      <x:c r="D77" s="21"/>
      <x:c r="E77" s="24" t="s">
        <x:v>93</x:v>
      </x:c>
      <x:c r="F77" s="31">
        <x:v>128875222.00</x:v>
      </x:c>
      <x:c r="G77" s="31">
        <x:v>0.00</x:v>
      </x:c>
      <x:c r="H77" s="31">
        <x:v>2642649.00</x:v>
      </x:c>
      <x:c r="I77" s="31">
        <x:v>3401158.00</x:v>
      </x:c>
      <x:c r="J77" s="31">
        <x:v>14965129.00</x:v>
      </x:c>
      <x:c r="K77" s="33">
        <x:f>SUM(F77:J77)</x:f>
        <x:v>149884158.00</x:v>
      </x:c>
      <x:c r="L77" s="31">
        <x:v>64498558.840000004</x:v>
      </x:c>
      <x:c r="M77" s="31"/>
      <x:c r="N77" s="31">
        <x:v>523437.615402374325757674815182149912</x:v>
      </x:c>
      <x:c r="O77" s="31">
        <x:v>3143302.259577809408424873259325274643</x:v>
      </x:c>
      <x:c r="P77" s="31">
        <x:v>25068401.305019816265817451925435105161</x:v>
      </x:c>
      <x:c r="Q77" s="31">
        <x:f>N77+O77+P77</x:f>
        <x:v>28735141.18</x:v>
      </x:c>
      <x:c r="R77" s="19">
        <x:f>SUM(L77:P77)</x:f>
        <x:v>93233700.020000004</x:v>
      </x:c>
      <x:c r="S77" s="37">
        <x:f>IF(K77=0,0,R77/K77)</x:f>
        <x:v>0.622038387939571332</x:v>
      </x:c>
    </x:row>
    <x:row r="78" s="20" customFormat="1">
      <x:c r="A78" s="20">
        <x:v>190</x:v>
      </x:c>
      <x:c r="B78" s="7"/>
      <x:c r="C78" s="8"/>
      <x:c r="D78" s="21"/>
      <x:c r="E78" s="24" t="s">
        <x:v>94</x:v>
      </x:c>
      <x:c r="F78" s="31">
        <x:v>20525825.00</x:v>
      </x:c>
      <x:c r="G78" s="31">
        <x:v>0.00</x:v>
      </x:c>
      <x:c r="H78" s="31">
        <x:v>420892.00</x:v>
      </x:c>
      <x:c r="I78" s="31">
        <x:v>541699.00</x:v>
      </x:c>
      <x:c r="J78" s="31">
        <x:v>2383481.00</x:v>
      </x:c>
      <x:c r="K78" s="33">
        <x:f>SUM(F78:J78)</x:f>
        <x:v>23871897.00</x:v>
      </x:c>
      <x:c r="L78" s="31">
        <x:v>26897369.710000001</x:v>
      </x:c>
      <x:c r="M78" s="31"/>
      <x:c r="N78" s="31">
        <x:v>215539.717783908354562796675605135324</x:v>
      </x:c>
      <x:c r="O78" s="31">
        <x:v>1294340.456251148693595623265323328536</x:v>
      </x:c>
      <x:c r="P78" s="31">
        <x:v>10322598.115964941951841580059047871182</x:v>
      </x:c>
      <x:c r="Q78" s="31">
        <x:f>N78+O78+P78</x:f>
        <x:v>11832478.289999999</x:v>
      </x:c>
      <x:c r="R78" s="19">
        <x:f>SUM(L78:P78)</x:f>
        <x:v>38729848.000000000</x:v>
      </x:c>
      <x:c r="S78" s="37">
        <x:f>IF(K78=0,0,R78/K78)</x:f>
        <x:v>1.622403447870104332</x:v>
      </x:c>
    </x:row>
    <x:row r="79" s="20" customFormat="1">
      <x:c r="A79" s="20">
        <x:v>192</x:v>
      </x:c>
      <x:c r="B79" s="7"/>
      <x:c r="C79" s="8"/>
      <x:c r="D79" s="21"/>
      <x:c r="E79" s="24" t="s">
        <x:v>95</x:v>
      </x:c>
      <x:c r="F79" s="31">
        <x:v>4728599.00</x:v>
      </x:c>
      <x:c r="G79" s="31">
        <x:v>0.00</x:v>
      </x:c>
      <x:c r="H79" s="31">
        <x:v>96962.00</x:v>
      </x:c>
      <x:c r="I79" s="31">
        <x:v>124793.00</x:v>
      </x:c>
      <x:c r="J79" s="31">
        <x:v>549090.00</x:v>
      </x:c>
      <x:c r="K79" s="33">
        <x:f>SUM(F79:J79)</x:f>
        <x:v>5499444.00</x:v>
      </x:c>
      <x:c r="L79" s="31">
        <x:v>1902806.37</x:v>
      </x:c>
      <x:c r="M79" s="31"/>
      <x:c r="N79" s="31">
        <x:v>15284.880356324838969784596997567632</x:v>
      </x:c>
      <x:c r="O79" s="31">
        <x:v>91787.440466003631545541963009796460</x:v>
      </x:c>
      <x:c r="P79" s="31">
        <x:v>732021.359177671529484673439990957719</x:v>
      </x:c>
      <x:c r="Q79" s="31">
        <x:f>N79+O79+P79</x:f>
        <x:v>839093.68</x:v>
      </x:c>
      <x:c r="R79" s="19">
        <x:f>SUM(L79:P79)</x:f>
        <x:v>2741900.05</x:v>
      </x:c>
      <x:c r="S79" s="37">
        <x:f>IF(K79=0,0,R79/K79)</x:f>
        <x:v>0.498577683489458207</x:v>
      </x:c>
    </x:row>
    <x:row r="80" s="20" customFormat="1">
      <x:c r="A80" s="20">
        <x:v>193</x:v>
      </x:c>
      <x:c r="B80" s="7"/>
      <x:c r="C80" s="8"/>
      <x:c r="D80" s="21"/>
      <x:c r="E80" s="24" t="s">
        <x:v>96</x:v>
      </x:c>
      <x:c r="F80" s="31">
        <x:v>22095102.00</x:v>
      </x:c>
      <x:c r="G80" s="31">
        <x:v>0.00</x:v>
      </x:c>
      <x:c r="H80" s="31">
        <x:v>453071.00</x:v>
      </x:c>
      <x:c r="I80" s="31">
        <x:v>583114.00</x:v>
      </x:c>
      <x:c r="J80" s="31">
        <x:v>2565707.00</x:v>
      </x:c>
      <x:c r="K80" s="33">
        <x:f>SUM(F80:J80)</x:f>
        <x:v>25696994.00</x:v>
      </x:c>
      <x:c r="L80" s="31">
        <x:v>34206028.979999997</x:v>
      </x:c>
      <x:c r="M80" s="31"/>
      <x:c r="N80" s="31">
        <x:v>288295.271262829927911831674852302528</x:v>
      </x:c>
      <x:c r="O80" s="31">
        <x:v>1731245.808327018971366333302712966823</x:v>
      </x:c>
      <x:c r="P80" s="31">
        <x:v>13806996.940410151100721835022403077571</x:v>
      </x:c>
      <x:c r="Q80" s="31">
        <x:f>N80+O80+P80</x:f>
        <x:v>15826538.02</x:v>
      </x:c>
      <x:c r="R80" s="19">
        <x:f>SUM(L80:P80)</x:f>
        <x:v>50032566.999999997</x:v>
      </x:c>
      <x:c r="S80" s="37">
        <x:f>IF(K80=0,0,R80/K80)</x:f>
        <x:v>1.947020223454930059</x:v>
      </x:c>
    </x:row>
    <x:row r="81" s="20" customFormat="1">
      <x:c r="A81" s="20">
        <x:v>204</x:v>
      </x:c>
      <x:c r="B81" s="7"/>
      <x:c r="C81" s="8"/>
      <x:c r="D81" s="21"/>
      <x:c r="E81" s="24" t="s">
        <x:v>97</x:v>
      </x:c>
      <x:c r="F81" s="31">
        <x:v>106595790.00</x:v>
      </x:c>
      <x:c r="G81" s="31">
        <x:v>0.00</x:v>
      </x:c>
      <x:c r="H81" s="31">
        <x:v>2185798.00</x:v>
      </x:c>
      <x:c r="I81" s="31">
        <x:v>2813180.00</x:v>
      </x:c>
      <x:c r="J81" s="31">
        <x:v>12378017.00</x:v>
      </x:c>
      <x:c r="K81" s="33">
        <x:f>SUM(F81:J81)</x:f>
        <x:v>123972785.00</x:v>
      </x:c>
      <x:c r="L81" s="31">
        <x:v>47577522.950000003</x:v>
      </x:c>
      <x:c r="M81" s="31"/>
      <x:c r="N81" s="31">
        <x:v>383960.344295087515960331335243301731</x:v>
      </x:c>
      <x:c r="O81" s="31">
        <x:v>2305725.424190727175721772717980148591</x:v>
      </x:c>
      <x:c r="P81" s="31">
        <x:v>18388575.281514186308317895946734393154</x:v>
      </x:c>
      <x:c r="Q81" s="31">
        <x:f>N81+O81+P81</x:f>
        <x:v>21078261.050000001</x:v>
      </x:c>
      <x:c r="R81" s="19">
        <x:f>SUM(L81:P81)</x:f>
        <x:v>68655784.000000004</x:v>
      </x:c>
      <x:c r="S81" s="37">
        <x:f>IF(K81=0,0,R81/K81)</x:f>
        <x:v>0.553797222511376218</x:v>
      </x:c>
    </x:row>
    <x:row r="82" s="20" customFormat="1">
      <x:c r="A82" s="20">
        <x:v>194</x:v>
      </x:c>
      <x:c r="B82" s="7"/>
      <x:c r="C82" s="8"/>
      <x:c r="D82" s="21"/>
      <x:c r="E82" s="24" t="s">
        <x:v>98</x:v>
      </x:c>
      <x:c r="F82" s="31">
        <x:v>0.00</x:v>
      </x:c>
      <x:c r="G82" s="31">
        <x:v>0.00</x:v>
      </x:c>
      <x:c r="H82" s="31">
        <x:v>0.00</x:v>
      </x:c>
      <x:c r="I82" s="31">
        <x:v>0.00</x:v>
      </x:c>
      <x:c r="J82" s="31">
        <x:v>0.00</x:v>
      </x:c>
      <x:c r="K82" s="33">
        <x:f>SUM(F82:J82)</x:f>
        <x:v>0.00</x:v>
      </x:c>
      <x:c r="L82" s="31"/>
      <x:c r="M82" s="31"/>
      <x:c r="N82" s="31"/>
      <x:c r="O82" s="31"/>
      <x:c r="P82" s="31"/>
      <x:c r="Q82" s="31"/>
      <x:c r="R82" s="19"/>
      <x:c r="S82" s="37"/>
    </x:row>
    <x:row r="83" s="20" customFormat="1">
      <x:c r="A83" s="20">
        <x:v>195</x:v>
      </x:c>
      <x:c r="B83" s="7"/>
      <x:c r="C83" s="8"/>
      <x:c r="D83" s="21"/>
      <x:c r="E83" s="24" t="s">
        <x:v>99</x:v>
      </x:c>
      <x:c r="F83" s="31">
        <x:v>0.00</x:v>
      </x:c>
      <x:c r="G83" s="31">
        <x:v>0.00</x:v>
      </x:c>
      <x:c r="H83" s="31">
        <x:v>0.00</x:v>
      </x:c>
      <x:c r="I83" s="31">
        <x:v>0.00</x:v>
      </x:c>
      <x:c r="J83" s="31">
        <x:v>0.00</x:v>
      </x:c>
      <x:c r="K83" s="33">
        <x:f>SUM(F83:J83)</x:f>
        <x:v>0.00</x:v>
      </x:c>
      <x:c r="L83" s="31"/>
      <x:c r="M83" s="31"/>
      <x:c r="N83" s="31"/>
      <x:c r="O83" s="31"/>
      <x:c r="P83" s="31"/>
      <x:c r="Q83" s="31"/>
      <x:c r="R83" s="19"/>
      <x:c r="S83" s="37"/>
    </x:row>
    <x:row r="84" s="20" customFormat="1">
      <x:c r="A84" s="20">
        <x:v>196</x:v>
      </x:c>
      <x:c r="B84" s="7"/>
      <x:c r="C84" s="8"/>
      <x:c r="D84" s="21"/>
      <x:c r="E84" s="24" t="s">
        <x:v>100</x:v>
      </x:c>
      <x:c r="F84" s="31">
        <x:v>0.00</x:v>
      </x:c>
      <x:c r="G84" s="31">
        <x:v>0.00</x:v>
      </x:c>
      <x:c r="H84" s="31">
        <x:v>0.00</x:v>
      </x:c>
      <x:c r="I84" s="31">
        <x:v>0.00</x:v>
      </x:c>
      <x:c r="J84" s="31">
        <x:v>0.00</x:v>
      </x:c>
      <x:c r="K84" s="33">
        <x:f>SUM(F84:J84)</x:f>
        <x:v>0.00</x:v>
      </x:c>
      <x:c r="L84" s="31"/>
      <x:c r="M84" s="31"/>
      <x:c r="N84" s="31"/>
      <x:c r="O84" s="31"/>
      <x:c r="P84" s="31"/>
      <x:c r="Q84" s="31"/>
      <x:c r="R84" s="19"/>
      <x:c r="S84" s="37"/>
    </x:row>
    <x:row r="85" s="20" customFormat="1">
      <x:c r="A85" s="20">
        <x:v>197</x:v>
      </x:c>
      <x:c r="B85" s="7"/>
      <x:c r="C85" s="8"/>
      <x:c r="D85" s="21"/>
      <x:c r="E85" s="24" t="s">
        <x:v>101</x:v>
      </x:c>
      <x:c r="F85" s="31">
        <x:v>0.00</x:v>
      </x:c>
      <x:c r="G85" s="31">
        <x:v>0.00</x:v>
      </x:c>
      <x:c r="H85" s="31">
        <x:v>0.00</x:v>
      </x:c>
      <x:c r="I85" s="31">
        <x:v>0.00</x:v>
      </x:c>
      <x:c r="J85" s="31">
        <x:v>0.00</x:v>
      </x:c>
      <x:c r="K85" s="33">
        <x:f>SUM(F85:J85)</x:f>
        <x:v>0.00</x:v>
      </x:c>
      <x:c r="L85" s="31"/>
      <x:c r="M85" s="31"/>
      <x:c r="N85" s="31"/>
      <x:c r="O85" s="31"/>
      <x:c r="P85" s="31"/>
      <x:c r="Q85" s="31"/>
      <x:c r="R85" s="19"/>
      <x:c r="S85" s="37"/>
    </x:row>
    <x:row r="86" s="20" customFormat="1">
      <x:c r="A86" s="20">
        <x:v>198</x:v>
      </x:c>
      <x:c r="B86" s="7"/>
      <x:c r="C86" s="8"/>
      <x:c r="D86" s="21"/>
      <x:c r="E86" s="24" t="s">
        <x:v>102</x:v>
      </x:c>
      <x:c r="F86" s="31">
        <x:v>0.00</x:v>
      </x:c>
      <x:c r="G86" s="31">
        <x:v>0.00</x:v>
      </x:c>
      <x:c r="H86" s="31">
        <x:v>0.00</x:v>
      </x:c>
      <x:c r="I86" s="31">
        <x:v>0.00</x:v>
      </x:c>
      <x:c r="J86" s="31">
        <x:v>0.00</x:v>
      </x:c>
      <x:c r="K86" s="33">
        <x:f>SUM(F86:J86)</x:f>
        <x:v>0.00</x:v>
      </x:c>
      <x:c r="L86" s="31"/>
      <x:c r="M86" s="31"/>
      <x:c r="N86" s="31"/>
      <x:c r="O86" s="31"/>
      <x:c r="P86" s="31"/>
      <x:c r="Q86" s="31"/>
      <x:c r="R86" s="19"/>
      <x:c r="S86" s="37"/>
    </x:row>
    <x:row r="87" s="28" customFormat="1">
      <x:c r="A87" s="28">
        <x:v>202</x:v>
      </x:c>
      <x:c r="B87" s="7"/>
      <x:c r="C87" s="8"/>
      <x:c r="D87" s="59"/>
      <x:c r="E87" s="60" t="s">
        <x:v>103</x:v>
      </x:c>
      <x:c r="F87" s="61">
        <x:v>103898926.00</x:v>
      </x:c>
      <x:c r="G87" s="61">
        <x:v>0.00</x:v>
      </x:c>
      <x:c r="H87" s="61">
        <x:v>2130498.00</x:v>
      </x:c>
      <x:c r="I87" s="61">
        <x:v>2742007.00</x:v>
      </x:c>
      <x:c r="J87" s="61">
        <x:v>12064855.00</x:v>
      </x:c>
      <x:c r="K87" s="64">
        <x:f>SUM(F87:J87)</x:f>
        <x:v>120836286.00</x:v>
      </x:c>
      <x:c r="L87" s="61">
        <x:v>46073840.799999997</x:v>
      </x:c>
      <x:c r="M87" s="61"/>
      <x:c r="N87" s="61">
        <x:v>394572.006782400230917431611075762475</x:v>
      </x:c>
      <x:c r="O87" s="61">
        <x:v>2369449.661220590108440052072383276726</x:v>
      </x:c>
      <x:c r="P87" s="61">
        <x:v>18896787.541997010660642516316497639179</x:v>
      </x:c>
      <x:c r="Q87" s="61">
        <x:f>N87+O87+P87</x:f>
        <x:v>21660809.210000001</x:v>
      </x:c>
      <x:c r="R87" s="62">
        <x:f>SUM(L87:P87)</x:f>
        <x:v>67734650.009999998</x:v>
      </x:c>
      <x:c r="S87" s="65">
        <x:v>0.560548923276241691</x:v>
      </x:c>
    </x:row>
    <x:row r="88" s="20" customFormat="1">
      <x:c r="A88" s="20">
        <x:v>203</x:v>
      </x:c>
      <x:c r="B88" s="7"/>
      <x:c r="C88" s="8"/>
      <x:c r="D88" s="21"/>
      <x:c r="E88" s="24" t="s">
        <x:v>104</x:v>
      </x:c>
      <x:c r="F88" s="31">
        <x:v>2227419.00</x:v>
      </x:c>
      <x:c r="G88" s="31">
        <x:v>0.00</x:v>
      </x:c>
      <x:c r="H88" s="31">
        <x:v>45674.00</x:v>
      </x:c>
      <x:c r="I88" s="31">
        <x:v>58784.00</x:v>
      </x:c>
      <x:c r="J88" s="31">
        <x:v>258650.00</x:v>
      </x:c>
      <x:c r="K88" s="33">
        <x:f>SUM(F88:J88)</x:f>
        <x:v>2590527.00</x:v>
      </x:c>
      <x:c r="L88" s="31"/>
      <x:c r="M88" s="31"/>
      <x:c r="N88" s="31"/>
      <x:c r="O88" s="31"/>
      <x:c r="P88" s="31"/>
      <x:c r="Q88" s="31"/>
      <x:c r="R88" s="19"/>
      <x:c r="S88" s="37"/>
    </x:row>
    <x:row r="89" s="20" customFormat="1">
      <x:c r="A89" s="20">
        <x:v>205</x:v>
      </x:c>
      <x:c r="B89" s="7"/>
      <x:c r="C89" s="8"/>
      <x:c r="D89" s="21"/>
      <x:c r="E89" s="24" t="s">
        <x:v>105</x:v>
      </x:c>
      <x:c r="F89" s="31">
        <x:v>36237013.00</x:v>
      </x:c>
      <x:c r="G89" s="31">
        <x:v>0.00</x:v>
      </x:c>
      <x:c r="H89" s="31">
        <x:v>743057.00</x:v>
      </x:c>
      <x:c r="I89" s="31">
        <x:v>956335.00</x:v>
      </x:c>
      <x:c r="J89" s="31">
        <x:v>4207881.00</x:v>
      </x:c>
      <x:c r="K89" s="33">
        <x:f>SUM(F89:J89)</x:f>
        <x:v>42144286.00</x:v>
      </x:c>
      <x:c r="L89" s="31">
        <x:v>23861072.690000001</x:v>
      </x:c>
      <x:c r="M89" s="31"/>
      <x:c r="N89" s="31">
        <x:v>203202.134666705338043089678929037504</x:v>
      </x:c>
      <x:c r="O89" s="31">
        <x:v>1220251.870049291705784303048419084003</x:v>
      </x:c>
      <x:c r="P89" s="31">
        <x:v>9731728.305284003956172607272629568127</x:v>
      </x:c>
      <x:c r="Q89" s="31">
        <x:f>N89+O89+P89</x:f>
        <x:v>11155182.310000001</x:v>
      </x:c>
      <x:c r="R89" s="19">
        <x:f>SUM(L89:P89)</x:f>
        <x:v>35016255.000000002</x:v>
      </x:c>
      <x:c r="S89" s="37">
        <x:f>IF(K89=0,0,R89/K89)</x:f>
        <x:v>0.830866015857997973</x:v>
      </x:c>
    </x:row>
    <x:row r="90" s="20" customFormat="1">
      <x:c r="A90" s="20">
        <x:v>206</x:v>
      </x:c>
      <x:c r="B90" s="7"/>
      <x:c r="C90" s="8"/>
      <x:c r="D90" s="21"/>
      <x:c r="E90" s="24" t="s">
        <x:v>106</x:v>
      </x:c>
      <x:c r="F90" s="31">
        <x:v>0.00</x:v>
      </x:c>
      <x:c r="G90" s="31">
        <x:v>0.00</x:v>
      </x:c>
      <x:c r="H90" s="31">
        <x:v>0.00</x:v>
      </x:c>
      <x:c r="I90" s="31">
        <x:v>0.00</x:v>
      </x:c>
      <x:c r="J90" s="31">
        <x:v>0.00</x:v>
      </x:c>
      <x:c r="K90" s="33">
        <x:f>SUM(F90:J90)</x:f>
        <x:v>0.00</x:v>
      </x:c>
      <x:c r="L90" s="31"/>
      <x:c r="M90" s="31"/>
      <x:c r="N90" s="31"/>
      <x:c r="O90" s="31"/>
      <x:c r="P90" s="31"/>
      <x:c r="Q90" s="31"/>
      <x:c r="R90" s="19"/>
      <x:c r="S90" s="37"/>
    </x:row>
    <x:row r="91" s="20" customFormat="1">
      <x:c r="A91" s="20">
        <x:v>244</x:v>
      </x:c>
      <x:c r="B91" s="7"/>
      <x:c r="C91" s="8"/>
      <x:c r="D91" s="21"/>
      <x:c r="E91" s="24" t="s">
        <x:v>107</x:v>
      </x:c>
      <x:c r="F91" s="31">
        <x:v>9988572.00</x:v>
      </x:c>
      <x:c r="G91" s="31">
        <x:v>0.00</x:v>
      </x:c>
      <x:c r="H91" s="31">
        <x:v>204821.00</x:v>
      </x:c>
      <x:c r="I91" s="31">
        <x:v>263609.00</x:v>
      </x:c>
      <x:c r="J91" s="31">
        <x:v>1159884.00</x:v>
      </x:c>
      <x:c r="K91" s="33">
        <x:f>SUM(F91:J91)</x:f>
        <x:v>11616886.00</x:v>
      </x:c>
      <x:c r="L91" s="31">
        <x:v>7847148.1500000004</x:v>
      </x:c>
      <x:c r="M91" s="31"/>
      <x:c r="N91" s="31">
        <x:v>72494.921991442525333944052590855208</x:v>
      </x:c>
      <x:c r="O91" s="31">
        <x:v>435340.230427361596562244380795323153</x:v>
      </x:c>
      <x:c r="P91" s="31">
        <x:v>3471916.697581195878103811566605862133</x:v>
      </x:c>
      <x:c r="Q91" s="31">
        <x:f>N91+O91+P91</x:f>
        <x:v>3979751.85</x:v>
      </x:c>
      <x:c r="R91" s="19">
        <x:f>SUM(L91:P91)</x:f>
        <x:v>11826900.0000000004</x:v>
      </x:c>
      <x:c r="S91" s="37">
        <x:f>IF(K91=0,0,R91/K91)</x:f>
        <x:v>1.018078338721753867</x:v>
      </x:c>
    </x:row>
    <x:row r="92" s="20" customFormat="1">
      <x:c r="A92" s="20">
        <x:v>213</x:v>
      </x:c>
      <x:c r="B92" s="7"/>
      <x:c r="C92" s="8"/>
      <x:c r="D92" s="21"/>
      <x:c r="E92" s="24" t="s">
        <x:v>108</x:v>
      </x:c>
      <x:c r="F92" s="31">
        <x:v>0.00</x:v>
      </x:c>
      <x:c r="G92" s="31">
        <x:v>0.00</x:v>
      </x:c>
      <x:c r="H92" s="31">
        <x:v>0.00</x:v>
      </x:c>
      <x:c r="I92" s="31">
        <x:v>0.00</x:v>
      </x:c>
      <x:c r="J92" s="31">
        <x:v>0.00</x:v>
      </x:c>
      <x:c r="K92" s="33">
        <x:f>SUM(F92:J92)</x:f>
        <x:v>0.00</x:v>
      </x:c>
      <x:c r="L92" s="31"/>
      <x:c r="M92" s="31"/>
      <x:c r="N92" s="31"/>
      <x:c r="O92" s="31"/>
      <x:c r="P92" s="31"/>
      <x:c r="Q92" s="31"/>
      <x:c r="R92" s="19"/>
      <x:c r="S92" s="37"/>
    </x:row>
    <x:row r="93" s="20" customFormat="1">
      <x:c r="A93" s="20">
        <x:v>207</x:v>
      </x:c>
      <x:c r="B93" s="7"/>
      <x:c r="C93" s="8"/>
      <x:c r="D93" s="21"/>
      <x:c r="E93" s="24" t="s">
        <x:v>109</x:v>
      </x:c>
      <x:c r="F93" s="31">
        <x:v>0.00</x:v>
      </x:c>
      <x:c r="G93" s="31">
        <x:v>0.00</x:v>
      </x:c>
      <x:c r="H93" s="31">
        <x:v>0.00</x:v>
      </x:c>
      <x:c r="I93" s="31">
        <x:v>0.00</x:v>
      </x:c>
      <x:c r="J93" s="31">
        <x:v>0.00</x:v>
      </x:c>
      <x:c r="K93" s="33">
        <x:f>SUM(F93:J93)</x:f>
        <x:v>0.00</x:v>
      </x:c>
      <x:c r="L93" s="31"/>
      <x:c r="M93" s="31"/>
      <x:c r="N93" s="31"/>
      <x:c r="O93" s="31"/>
      <x:c r="P93" s="31"/>
      <x:c r="Q93" s="31"/>
      <x:c r="R93" s="19"/>
      <x:c r="S93" s="37"/>
    </x:row>
    <x:row r="94" s="20" customFormat="1">
      <x:c r="A94" s="20">
        <x:v>208</x:v>
      </x:c>
      <x:c r="B94" s="7"/>
      <x:c r="C94" s="8"/>
      <x:c r="D94" s="21"/>
      <x:c r="E94" s="24" t="s">
        <x:v>110</x:v>
      </x:c>
      <x:c r="F94" s="31">
        <x:v>0.00</x:v>
      </x:c>
      <x:c r="G94" s="31">
        <x:v>0.00</x:v>
      </x:c>
      <x:c r="H94" s="31">
        <x:v>0.00</x:v>
      </x:c>
      <x:c r="I94" s="31">
        <x:v>0.00</x:v>
      </x:c>
      <x:c r="J94" s="31">
        <x:v>0.00</x:v>
      </x:c>
      <x:c r="K94" s="33">
        <x:f>SUM(F94:J94)</x:f>
        <x:v>0.00</x:v>
      </x:c>
      <x:c r="L94" s="31"/>
      <x:c r="M94" s="31"/>
      <x:c r="N94" s="31"/>
      <x:c r="O94" s="31"/>
      <x:c r="P94" s="31"/>
      <x:c r="Q94" s="31"/>
      <x:c r="R94" s="19"/>
      <x:c r="S94" s="37"/>
    </x:row>
    <x:row r="95" s="20" customFormat="1">
      <x:c r="A95" s="20">
        <x:v>209</x:v>
      </x:c>
      <x:c r="B95" s="7"/>
      <x:c r="C95" s="8"/>
      <x:c r="D95" s="21"/>
      <x:c r="E95" s="24" t="s">
        <x:v>111</x:v>
      </x:c>
      <x:c r="F95" s="31">
        <x:v>0.00</x:v>
      </x:c>
      <x:c r="G95" s="31">
        <x:v>0.00</x:v>
      </x:c>
      <x:c r="H95" s="31">
        <x:v>0.00</x:v>
      </x:c>
      <x:c r="I95" s="31">
        <x:v>0.00</x:v>
      </x:c>
      <x:c r="J95" s="31">
        <x:v>0.00</x:v>
      </x:c>
      <x:c r="K95" s="33">
        <x:f>SUM(F95:J95)</x:f>
        <x:v>0.00</x:v>
      </x:c>
      <x:c r="L95" s="31"/>
      <x:c r="M95" s="31"/>
      <x:c r="N95" s="31"/>
      <x:c r="O95" s="31"/>
      <x:c r="P95" s="31"/>
      <x:c r="Q95" s="31"/>
      <x:c r="R95" s="19"/>
      <x:c r="S95" s="37"/>
    </x:row>
    <x:row r="96" s="20" customFormat="1">
      <x:c r="A96" s="20">
        <x:v>211</x:v>
      </x:c>
      <x:c r="B96" s="7"/>
      <x:c r="C96" s="8"/>
      <x:c r="D96" s="21"/>
      <x:c r="E96" s="24" t="s">
        <x:v>112</x:v>
      </x:c>
      <x:c r="F96" s="31">
        <x:v>0.00</x:v>
      </x:c>
      <x:c r="G96" s="31">
        <x:v>0.00</x:v>
      </x:c>
      <x:c r="H96" s="31">
        <x:v>0.00</x:v>
      </x:c>
      <x:c r="I96" s="31">
        <x:v>0.00</x:v>
      </x:c>
      <x:c r="J96" s="31">
        <x:v>0.00</x:v>
      </x:c>
      <x:c r="K96" s="33">
        <x:f>SUM(F96:J96)</x:f>
        <x:v>0.00</x:v>
      </x:c>
      <x:c r="L96" s="31"/>
      <x:c r="M96" s="31"/>
      <x:c r="N96" s="31"/>
      <x:c r="O96" s="31"/>
      <x:c r="P96" s="31"/>
      <x:c r="Q96" s="31"/>
      <x:c r="R96" s="19"/>
      <x:c r="S96" s="37"/>
    </x:row>
    <x:row r="97" s="20" customFormat="1">
      <x:c r="A97" s="20">
        <x:v>212</x:v>
      </x:c>
      <x:c r="B97" s="7"/>
      <x:c r="C97" s="8"/>
      <x:c r="D97" s="21"/>
      <x:c r="E97" s="24" t="s">
        <x:v>113</x:v>
      </x:c>
      <x:c r="F97" s="31">
        <x:v>0.00</x:v>
      </x:c>
      <x:c r="G97" s="31">
        <x:v>0.00</x:v>
      </x:c>
      <x:c r="H97" s="31">
        <x:v>0.00</x:v>
      </x:c>
      <x:c r="I97" s="31">
        <x:v>0.00</x:v>
      </x:c>
      <x:c r="J97" s="31">
        <x:v>0.00</x:v>
      </x:c>
      <x:c r="K97" s="33">
        <x:f>SUM(F97:J97)</x:f>
        <x:v>0.00</x:v>
      </x:c>
      <x:c r="L97" s="31"/>
      <x:c r="M97" s="31"/>
      <x:c r="N97" s="31"/>
      <x:c r="O97" s="31"/>
      <x:c r="P97" s="31"/>
      <x:c r="Q97" s="31"/>
      <x:c r="R97" s="19"/>
      <x:c r="S97" s="37"/>
    </x:row>
    <x:row r="98" s="20" customFormat="1">
      <x:c r="A98" s="20">
        <x:v>214</x:v>
      </x:c>
      <x:c r="B98" s="7"/>
      <x:c r="C98" s="8"/>
      <x:c r="D98" s="21"/>
      <x:c r="E98" s="24" t="s">
        <x:v>114</x:v>
      </x:c>
      <x:c r="F98" s="31">
        <x:v>189495774.00</x:v>
      </x:c>
      <x:c r="G98" s="31">
        <x:v>0.00</x:v>
      </x:c>
      <x:c r="H98" s="31">
        <x:v>3885702.00</x:v>
      </x:c>
      <x:c r="I98" s="31">
        <x:v>5001001.00</x:v>
      </x:c>
      <x:c r="J98" s="31">
        <x:v>22004452.00</x:v>
      </x:c>
      <x:c r="K98" s="33">
        <x:f>SUM(F98:J98)</x:f>
        <x:v>220386929.00</x:v>
      </x:c>
      <x:c r="L98" s="31">
        <x:v>13003080.869999999</x:v>
      </x:c>
      <x:c r="M98" s="31"/>
      <x:c r="N98" s="31">
        <x:v>108670.345410052326773731410494933062</x:v>
      </x:c>
      <x:c r="O98" s="31">
        <x:v>652577.751818500806745339821192114707</x:v>
      </x:c>
      <x:c r="P98" s="31">
        <x:v>5204425.032771446766480928768301020884</x:v>
      </x:c>
      <x:c r="Q98" s="31">
        <x:f>N98+O98+P98</x:f>
        <x:v>5965673.1299999999</x:v>
      </x:c>
      <x:c r="R98" s="19">
        <x:f>SUM(L98:P98)</x:f>
        <x:v>18968753.9999999989</x:v>
      </x:c>
      <x:c r="S98" s="37">
        <x:f>IF(K98=0,0,R98/K98)</x:f>
        <x:v>0.086070231506334020</x:v>
      </x:c>
    </x:row>
    <x:row r="99" s="20" customFormat="1">
      <x:c r="A99" s="20">
        <x:v>215</x:v>
      </x:c>
      <x:c r="B99" s="7"/>
      <x:c r="C99" s="8"/>
      <x:c r="D99" s="21"/>
      <x:c r="E99" s="24" t="s">
        <x:v>115</x:v>
      </x:c>
      <x:c r="F99" s="31">
        <x:v>0.00</x:v>
      </x:c>
      <x:c r="G99" s="31">
        <x:v>0.00</x:v>
      </x:c>
      <x:c r="H99" s="31">
        <x:v>0.00</x:v>
      </x:c>
      <x:c r="I99" s="31">
        <x:v>0.00</x:v>
      </x:c>
      <x:c r="J99" s="31">
        <x:v>0.00</x:v>
      </x:c>
      <x:c r="K99" s="33">
        <x:f>SUM(F99:J99)</x:f>
        <x:v>0.00</x:v>
      </x:c>
      <x:c r="L99" s="31"/>
      <x:c r="M99" s="31"/>
      <x:c r="N99" s="31"/>
      <x:c r="O99" s="31"/>
      <x:c r="P99" s="31"/>
      <x:c r="Q99" s="31"/>
      <x:c r="R99" s="19"/>
      <x:c r="S99" s="37"/>
    </x:row>
    <x:row r="100" s="20" customFormat="1">
      <x:c r="A100" s="20">
        <x:v>216</x:v>
      </x:c>
      <x:c r="B100" s="7"/>
      <x:c r="C100" s="8"/>
      <x:c r="D100" s="21"/>
      <x:c r="E100" s="24" t="s">
        <x:v>116</x:v>
      </x:c>
      <x:c r="F100" s="31">
        <x:v>43884781.00</x:v>
      </x:c>
      <x:c r="G100" s="31">
        <x:v>0.00</x:v>
      </x:c>
      <x:c r="H100" s="31">
        <x:v>899879.00</x:v>
      </x:c>
      <x:c r="I100" s="31">
        <x:v>1158167.00</x:v>
      </x:c>
      <x:c r="J100" s="31">
        <x:v>5095948.00</x:v>
      </x:c>
      <x:c r="K100" s="33">
        <x:f>SUM(F100:J100)</x:f>
        <x:v>51038775.00</x:v>
      </x:c>
      <x:c r="L100" s="31">
        <x:v>17980393.789999999</x:v>
      </x:c>
      <x:c r="M100" s="31"/>
      <x:c r="N100" s="31">
        <x:v>139483.593495835950710894383054653898</x:v>
      </x:c>
      <x:c r="O100" s="31">
        <x:v>837614.802047535487848434603101082771</x:v>
      </x:c>
      <x:c r="P100" s="31">
        <x:v>6680128.814456628561440671013828948876</x:v>
      </x:c>
      <x:c r="Q100" s="31">
        <x:f>N100+O100+P100</x:f>
        <x:v>7657227.21</x:v>
      </x:c>
      <x:c r="R100" s="19">
        <x:f>SUM(L100:P100)</x:f>
        <x:v>25637620.999999999</x:v>
      </x:c>
      <x:c r="S100" s="37">
        <x:f>IF(K100=0,0,R100/K100)</x:f>
        <x:v>0.502316542667804997</x:v>
      </x:c>
    </x:row>
    <x:row r="101" s="20" customFormat="1">
      <x:c r="A101" s="20">
        <x:v>210</x:v>
      </x:c>
      <x:c r="B101" s="7"/>
      <x:c r="C101" s="8"/>
      <x:c r="D101" s="21"/>
      <x:c r="E101" s="24" t="s">
        <x:v>117</x:v>
      </x:c>
      <x:c r="F101" s="31">
        <x:v>0.00</x:v>
      </x:c>
      <x:c r="G101" s="31">
        <x:v>0.00</x:v>
      </x:c>
      <x:c r="H101" s="31">
        <x:v>0.00</x:v>
      </x:c>
      <x:c r="I101" s="31">
        <x:v>0.00</x:v>
      </x:c>
      <x:c r="J101" s="31">
        <x:v>0.00</x:v>
      </x:c>
      <x:c r="K101" s="33">
        <x:f>SUM(F101:J101)</x:f>
        <x:v>0.00</x:v>
      </x:c>
      <x:c r="L101" s="31"/>
      <x:c r="M101" s="31"/>
      <x:c r="N101" s="31"/>
      <x:c r="O101" s="31"/>
      <x:c r="P101" s="31"/>
      <x:c r="Q101" s="31"/>
      <x:c r="R101" s="19"/>
      <x:c r="S101" s="37"/>
    </x:row>
    <x:row r="102" s="20" customFormat="1">
      <x:c r="A102" s="20">
        <x:v>217</x:v>
      </x:c>
      <x:c r="B102" s="7"/>
      <x:c r="C102" s="8"/>
      <x:c r="D102" s="21"/>
      <x:c r="E102" s="24" t="s">
        <x:v>118</x:v>
      </x:c>
      <x:c r="F102" s="31">
        <x:v>110582938.00</x:v>
      </x:c>
      <x:c r="G102" s="31">
        <x:v>0.00</x:v>
      </x:c>
      <x:c r="H102" s="31">
        <x:v>2267557.00</x:v>
      </x:c>
      <x:c r="I102" s="31">
        <x:v>2918405.00</x:v>
      </x:c>
      <x:c r="J102" s="31">
        <x:v>12841009.00</x:v>
      </x:c>
      <x:c r="K102" s="33">
        <x:f>SUM(F102:J102)</x:f>
        <x:v>128609909.00</x:v>
      </x:c>
      <x:c r="L102" s="31">
        <x:v>120158150.53</x:v>
      </x:c>
      <x:c r="M102" s="31"/>
      <x:c r="N102" s="31">
        <x:v>962555.904072450213276309722614969413</x:v>
      </x:c>
      <x:c r="O102" s="31">
        <x:v>5780257.396891636723097064344280042508</x:v>
      </x:c>
      <x:c r="P102" s="31">
        <x:v>46098593.169035912063626625932999305265</x:v>
      </x:c>
      <x:c r="Q102" s="31">
        <x:f>N102+O102+P102</x:f>
        <x:v>52841406.469999999</x:v>
      </x:c>
      <x:c r="R102" s="19">
        <x:f>SUM(L102:P102)</x:f>
        <x:v>172999556.999999999</x:v>
      </x:c>
      <x:c r="S102" s="37">
        <x:f>IF(K102=0,0,R102/K102)</x:f>
        <x:v>1.345149517211772531</x:v>
      </x:c>
    </x:row>
    <x:row r="103" s="20" customFormat="1">
      <x:c r="A103" s="20">
        <x:v>218</x:v>
      </x:c>
      <x:c r="B103" s="7"/>
      <x:c r="C103" s="8"/>
      <x:c r="D103" s="21"/>
      <x:c r="E103" s="24" t="s">
        <x:v>119</x:v>
      </x:c>
      <x:c r="F103" s="31">
        <x:v>21347985.00</x:v>
      </x:c>
      <x:c r="G103" s="31">
        <x:v>0.00</x:v>
      </x:c>
      <x:c r="H103" s="31">
        <x:v>437751.00</x:v>
      </x:c>
      <x:c r="I103" s="31">
        <x:v>563397.00</x:v>
      </x:c>
      <x:c r="J103" s="31">
        <x:v>2478951.00</x:v>
      </x:c>
      <x:c r="K103" s="33">
        <x:f>SUM(F103:J103)</x:f>
        <x:v>24828084.00</x:v>
      </x:c>
      <x:c r="L103" s="31"/>
      <x:c r="M103" s="31"/>
      <x:c r="N103" s="31"/>
      <x:c r="O103" s="31"/>
      <x:c r="P103" s="31"/>
      <x:c r="Q103" s="31"/>
      <x:c r="R103" s="19"/>
      <x:c r="S103" s="37"/>
    </x:row>
    <x:row r="104" s="20" customFormat="1">
      <x:c r="A104" s="20">
        <x:v>219</x:v>
      </x:c>
      <x:c r="B104" s="7"/>
      <x:c r="C104" s="8"/>
      <x:c r="D104" s="21"/>
      <x:c r="E104" s="24" t="s">
        <x:v>120</x:v>
      </x:c>
      <x:c r="F104" s="31">
        <x:v>0.00</x:v>
      </x:c>
      <x:c r="G104" s="31">
        <x:v>0.00</x:v>
      </x:c>
      <x:c r="H104" s="31">
        <x:v>0.00</x:v>
      </x:c>
      <x:c r="I104" s="31">
        <x:v>0.00</x:v>
      </x:c>
      <x:c r="J104" s="31">
        <x:v>0.00</x:v>
      </x:c>
      <x:c r="K104" s="33">
        <x:f>SUM(F104:J104)</x:f>
        <x:v>0.00</x:v>
      </x:c>
      <x:c r="L104" s="31"/>
      <x:c r="M104" s="31"/>
      <x:c r="N104" s="31"/>
      <x:c r="O104" s="31"/>
      <x:c r="P104" s="31"/>
      <x:c r="Q104" s="31"/>
      <x:c r="R104" s="19"/>
      <x:c r="S104" s="37"/>
    </x:row>
    <x:row r="105" s="20" customFormat="1">
      <x:c r="A105" s="20">
        <x:v>220</x:v>
      </x:c>
      <x:c r="B105" s="7"/>
      <x:c r="C105" s="8"/>
      <x:c r="D105" s="21"/>
      <x:c r="E105" s="24" t="s">
        <x:v>121</x:v>
      </x:c>
      <x:c r="F105" s="31">
        <x:v>0.00</x:v>
      </x:c>
      <x:c r="G105" s="31">
        <x:v>0.00</x:v>
      </x:c>
      <x:c r="H105" s="31">
        <x:v>0.00</x:v>
      </x:c>
      <x:c r="I105" s="31">
        <x:v>0.00</x:v>
      </x:c>
      <x:c r="J105" s="31">
        <x:v>0.00</x:v>
      </x:c>
      <x:c r="K105" s="33">
        <x:f>SUM(F105:J105)</x:f>
        <x:v>0.00</x:v>
      </x:c>
      <x:c r="L105" s="31"/>
      <x:c r="M105" s="31"/>
      <x:c r="N105" s="31"/>
      <x:c r="O105" s="31"/>
      <x:c r="P105" s="31"/>
      <x:c r="Q105" s="31"/>
      <x:c r="R105" s="19"/>
      <x:c r="S105" s="37"/>
    </x:row>
    <x:row r="106" s="20" customFormat="1">
      <x:c r="A106" s="20">
        <x:v>0</x:v>
      </x:c>
      <x:c r="B106" s="7"/>
      <x:c r="C106" s="8"/>
      <x:c r="D106" s="21"/>
      <x:c r="E106" s="24" t="s">
        <x:v>122</x:v>
      </x:c>
      <x:c r="F106" s="31">
        <x:v>0.00</x:v>
      </x:c>
      <x:c r="G106" s="31">
        <x:v>0.00</x:v>
      </x:c>
      <x:c r="H106" s="31">
        <x:v>0.00</x:v>
      </x:c>
      <x:c r="I106" s="31">
        <x:v>0.00</x:v>
      </x:c>
      <x:c r="J106" s="31">
        <x:v>0.00</x:v>
      </x:c>
      <x:c r="K106" s="33">
        <x:f>SUM(F106:J106)</x:f>
        <x:v>0.00</x:v>
      </x:c>
      <x:c r="L106" s="31"/>
      <x:c r="M106" s="31"/>
      <x:c r="N106" s="31"/>
      <x:c r="O106" s="31"/>
      <x:c r="P106" s="31"/>
      <x:c r="Q106" s="31"/>
      <x:c r="R106" s="19"/>
      <x:c r="S106" s="37"/>
    </x:row>
    <x:row r="107" s="20" customFormat="1">
      <x:c r="A107" s="20">
        <x:v>225</x:v>
      </x:c>
      <x:c r="B107" s="7"/>
      <x:c r="C107" s="8"/>
      <x:c r="D107" s="21"/>
      <x:c r="E107" s="24" t="s">
        <x:v>123</x:v>
      </x:c>
      <x:c r="F107" s="31">
        <x:v>0.00</x:v>
      </x:c>
      <x:c r="G107" s="31">
        <x:v>0.00</x:v>
      </x:c>
      <x:c r="H107" s="31">
        <x:v>0.00</x:v>
      </x:c>
      <x:c r="I107" s="31">
        <x:v>0.00</x:v>
      </x:c>
      <x:c r="J107" s="31">
        <x:v>0.00</x:v>
      </x:c>
      <x:c r="K107" s="33">
        <x:f>SUM(F107:J107)</x:f>
        <x:v>0.00</x:v>
      </x:c>
      <x:c r="L107" s="31"/>
      <x:c r="M107" s="31"/>
      <x:c r="N107" s="31"/>
      <x:c r="O107" s="31"/>
      <x:c r="P107" s="31"/>
      <x:c r="Q107" s="31"/>
      <x:c r="R107" s="19"/>
      <x:c r="S107" s="37"/>
    </x:row>
    <x:row r="108" s="20" customFormat="1">
      <x:c r="A108" s="20">
        <x:v>229</x:v>
      </x:c>
      <x:c r="B108" s="7"/>
      <x:c r="C108" s="8"/>
      <x:c r="D108" s="21"/>
      <x:c r="E108" s="24" t="s">
        <x:v>124</x:v>
      </x:c>
      <x:c r="F108" s="31">
        <x:v>0.00</x:v>
      </x:c>
      <x:c r="G108" s="31">
        <x:v>0.00</x:v>
      </x:c>
      <x:c r="H108" s="31">
        <x:v>0.00</x:v>
      </x:c>
      <x:c r="I108" s="31">
        <x:v>0.00</x:v>
      </x:c>
      <x:c r="J108" s="31">
        <x:v>0.00</x:v>
      </x:c>
      <x:c r="K108" s="33">
        <x:f>SUM(F108:J108)</x:f>
        <x:v>0.00</x:v>
      </x:c>
      <x:c r="L108" s="31"/>
      <x:c r="M108" s="31"/>
      <x:c r="N108" s="31"/>
      <x:c r="O108" s="31"/>
      <x:c r="P108" s="31"/>
      <x:c r="Q108" s="31"/>
      <x:c r="R108" s="19"/>
      <x:c r="S108" s="37"/>
    </x:row>
    <x:row r="109" s="20" customFormat="1">
      <x:c r="A109" s="20">
        <x:v>230</x:v>
      </x:c>
      <x:c r="B109" s="7"/>
      <x:c r="C109" s="8"/>
      <x:c r="D109" s="21"/>
      <x:c r="E109" s="24" t="s">
        <x:v>125</x:v>
      </x:c>
      <x:c r="F109" s="31">
        <x:v>0.00</x:v>
      </x:c>
      <x:c r="G109" s="31">
        <x:v>0.00</x:v>
      </x:c>
      <x:c r="H109" s="31">
        <x:v>0.00</x:v>
      </x:c>
      <x:c r="I109" s="31">
        <x:v>0.00</x:v>
      </x:c>
      <x:c r="J109" s="31">
        <x:v>0.00</x:v>
      </x:c>
      <x:c r="K109" s="33">
        <x:f>SUM(F109:J109)</x:f>
        <x:v>0.00</x:v>
      </x:c>
      <x:c r="L109" s="31"/>
      <x:c r="M109" s="31"/>
      <x:c r="N109" s="31"/>
      <x:c r="O109" s="31"/>
      <x:c r="P109" s="31"/>
      <x:c r="Q109" s="31"/>
      <x:c r="R109" s="19"/>
      <x:c r="S109" s="37"/>
    </x:row>
    <x:row r="110" s="20" customFormat="1">
      <x:c r="A110" s="20">
        <x:v>231</x:v>
      </x:c>
      <x:c r="B110" s="7"/>
      <x:c r="C110" s="8"/>
      <x:c r="D110" s="21"/>
      <x:c r="E110" s="24" t="s">
        <x:v>126</x:v>
      </x:c>
      <x:c r="F110" s="31">
        <x:v>37321437.00</x:v>
      </x:c>
      <x:c r="G110" s="31">
        <x:v>0.00</x:v>
      </x:c>
      <x:c r="H110" s="31">
        <x:v>765294.00</x:v>
      </x:c>
      <x:c r="I110" s="31">
        <x:v>984954.00</x:v>
      </x:c>
      <x:c r="J110" s="31">
        <x:v>4333805.00</x:v>
      </x:c>
      <x:c r="K110" s="33">
        <x:f>SUM(F110:J110)</x:f>
        <x:v>43405490.00</x:v>
      </x:c>
      <x:c r="L110" s="31">
        <x:v>15081047.439999999</x:v>
      </x:c>
      <x:c r="M110" s="31"/>
      <x:c r="N110" s="31">
        <x:v>132798.477303683719236219634329034874</x:v>
      </x:c>
      <x:c r="O110" s="31">
        <x:v>797469.920949949406201986941747442499</x:v>
      </x:c>
      <x:c r="P110" s="31">
        <x:v>6359966.161746366474561793423908942157</x:v>
      </x:c>
      <x:c r="Q110" s="31">
        <x:f>N110+O110+P110</x:f>
        <x:v>7290234.5599999996</x:v>
      </x:c>
      <x:c r="R110" s="19">
        <x:f>SUM(L110:P110)</x:f>
        <x:v>22371281.9999999986</x:v>
      </x:c>
      <x:c r="S110" s="37">
        <x:f>IF(K110=0,0,R110/K110)</x:f>
        <x:v>0.515402130007056678</x:v>
      </x:c>
    </x:row>
    <x:row r="111" s="20" customFormat="1">
      <x:c r="A111" s="20">
        <x:v>255</x:v>
      </x:c>
      <x:c r="B111" s="7"/>
      <x:c r="C111" s="8"/>
      <x:c r="D111" s="21"/>
      <x:c r="E111" s="24" t="s">
        <x:v>127</x:v>
      </x:c>
      <x:c r="F111" s="31">
        <x:v>586033869.00</x:v>
      </x:c>
      <x:c r="G111" s="31">
        <x:v>0.00</x:v>
      </x:c>
      <x:c r="H111" s="31">
        <x:v>12016908.00</x:v>
      </x:c>
      <x:c r="I111" s="31">
        <x:v>15466076.00</x:v>
      </x:c>
      <x:c r="J111" s="31">
        <x:v>68050880.00</x:v>
      </x:c>
      <x:c r="K111" s="33">
        <x:f>SUM(F111:J111)</x:f>
        <x:v>681567733.00</x:v>
      </x:c>
      <x:c r="L111" s="31">
        <x:v>311171016.64999998</x:v>
      </x:c>
      <x:c r="M111" s="31"/>
      <x:c r="N111" s="31">
        <x:v>3237842.181922586685530436889202711384</x:v>
      </x:c>
      <x:c r="O111" s="31">
        <x:v>19443609.605263087679030768349136965853</x:v>
      </x:c>
      <x:c r="P111" s="31">
        <x:v>155066286.392814335635438794761304827286</x:v>
      </x:c>
      <x:c r="Q111" s="31">
        <x:f>N111+O111+P111</x:f>
        <x:v>177747738.18000001</x:v>
      </x:c>
      <x:c r="R111" s="19">
        <x:f>SUM(L111:P111)</x:f>
        <x:v>488918754.82999999</x:v>
      </x:c>
      <x:c r="S111" s="37">
        <x:f>IF(K111=0,0,R111/K111)</x:f>
        <x:v>0.717344338878789013</x:v>
      </x:c>
    </x:row>
    <x:row r="112" s="20" customFormat="1">
      <x:c r="A112" s="20">
        <x:v>200</x:v>
      </x:c>
      <x:c r="B112" s="7"/>
      <x:c r="C112" s="8"/>
      <x:c r="D112" s="21"/>
      <x:c r="E112" s="24" t="s">
        <x:v>128</x:v>
      </x:c>
      <x:c r="F112" s="31">
        <x:v>4934224.00</x:v>
      </x:c>
      <x:c r="G112" s="31">
        <x:v>0.00</x:v>
      </x:c>
      <x:c r="H112" s="31">
        <x:v>101179.00</x:v>
      </x:c>
      <x:c r="I112" s="31">
        <x:v>130220.00</x:v>
      </x:c>
      <x:c r="J112" s="31">
        <x:v>572967.00</x:v>
      </x:c>
      <x:c r="K112" s="33">
        <x:f>SUM(F112:J112)</x:f>
        <x:v>5738590.00</x:v>
      </x:c>
      <x:c r="L112" s="31">
        <x:v>5601055.4500000002</x:v>
      </x:c>
      <x:c r="M112" s="31"/>
      <x:c r="N112" s="31">
        <x:v>44534.389975388831875191855264114956</x:v>
      </x:c>
      <x:c r="O112" s="31">
        <x:v>267434.063810928945280988785635627917</x:v>
      </x:c>
      <x:c r="P112" s="31">
        <x:v>2132834.796213682222843819359095367519</x:v>
      </x:c>
      <x:c r="Q112" s="31">
        <x:f>N112+O112+P112</x:f>
        <x:v>2444803.25</x:v>
      </x:c>
      <x:c r="R112" s="19">
        <x:f>SUM(L112:P112)</x:f>
        <x:v>8045858.7000000002</x:v>
      </x:c>
      <x:c r="S112" s="37">
        <x:f>IF(K112=0,0,R112/K112)</x:f>
        <x:v>1.402061952500527167</x:v>
      </x:c>
    </x:row>
    <x:row r="113" s="20" customFormat="1">
      <x:c r="A113" s="20">
        <x:v>201</x:v>
      </x:c>
      <x:c r="B113" s="7"/>
      <x:c r="C113" s="8"/>
      <x:c r="D113" s="21"/>
      <x:c r="E113" s="24" t="s">
        <x:v>129</x:v>
      </x:c>
      <x:c r="F113" s="31">
        <x:v>0.00</x:v>
      </x:c>
      <x:c r="G113" s="31">
        <x:v>0.00</x:v>
      </x:c>
      <x:c r="H113" s="31">
        <x:v>0.00</x:v>
      </x:c>
      <x:c r="I113" s="31">
        <x:v>0.00</x:v>
      </x:c>
      <x:c r="J113" s="31">
        <x:v>0.00</x:v>
      </x:c>
      <x:c r="K113" s="33">
        <x:f>SUM(F113:J113)</x:f>
        <x:v>0.00</x:v>
      </x:c>
      <x:c r="L113" s="31"/>
      <x:c r="M113" s="31"/>
      <x:c r="N113" s="31"/>
      <x:c r="O113" s="31"/>
      <x:c r="P113" s="31"/>
      <x:c r="Q113" s="31"/>
      <x:c r="R113" s="19"/>
      <x:c r="S113" s="37"/>
    </x:row>
    <x:row r="114" s="20" customFormat="1">
      <x:c r="A114" s="20">
        <x:v>223</x:v>
      </x:c>
      <x:c r="B114" s="7"/>
      <x:c r="C114" s="8"/>
      <x:c r="D114" s="21"/>
      <x:c r="E114" s="24" t="s">
        <x:v>130</x:v>
      </x:c>
      <x:c r="F114" s="31">
        <x:v>4301089.00</x:v>
      </x:c>
      <x:c r="G114" s="31">
        <x:v>0.00</x:v>
      </x:c>
      <x:c r="H114" s="31">
        <x:v>88196.00</x:v>
      </x:c>
      <x:c r="I114" s="31">
        <x:v>113510.00</x:v>
      </x:c>
      <x:c r="J114" s="31">
        <x:v>499447.00</x:v>
      </x:c>
      <x:c r="K114" s="33">
        <x:f>SUM(F114:J114)</x:f>
        <x:v>5002242.00</x:v>
      </x:c>
      <x:c r="L114" s="31"/>
      <x:c r="M114" s="31"/>
      <x:c r="N114" s="31"/>
      <x:c r="O114" s="31"/>
      <x:c r="P114" s="31"/>
      <x:c r="Q114" s="31"/>
      <x:c r="R114" s="19"/>
      <x:c r="S114" s="37"/>
    </x:row>
    <x:row r="115" s="20" customFormat="1">
      <x:c r="A115" s="20">
        <x:v>222</x:v>
      </x:c>
      <x:c r="B115" s="7"/>
      <x:c r="C115" s="8"/>
      <x:c r="D115" s="21"/>
      <x:c r="E115" s="24" t="s">
        <x:v>131</x:v>
      </x:c>
      <x:c r="F115" s="31">
        <x:v>1356265.00</x:v>
      </x:c>
      <x:c r="G115" s="31">
        <x:v>0.00</x:v>
      </x:c>
      <x:c r="H115" s="31">
        <x:v>27811.00</x:v>
      </x:c>
      <x:c r="I115" s="31">
        <x:v>35793.00</x:v>
      </x:c>
      <x:c r="J115" s="31">
        <x:v>157491.00</x:v>
      </x:c>
      <x:c r="K115" s="33">
        <x:f>SUM(F115:J115)</x:f>
        <x:v>1577360.00</x:v>
      </x:c>
      <x:c r="L115" s="31"/>
      <x:c r="M115" s="31"/>
      <x:c r="N115" s="31"/>
      <x:c r="O115" s="31"/>
      <x:c r="P115" s="31"/>
      <x:c r="Q115" s="31"/>
      <x:c r="R115" s="19"/>
      <x:c r="S115" s="37"/>
    </x:row>
    <x:row r="116" s="20" customFormat="1">
      <x:c r="A116" s="20">
        <x:v>221</x:v>
      </x:c>
      <x:c r="B116" s="7"/>
      <x:c r="C116" s="8"/>
      <x:c r="D116" s="21"/>
      <x:c r="E116" s="24" t="s">
        <x:v>132</x:v>
      </x:c>
      <x:c r="F116" s="31">
        <x:v>699271.00</x:v>
      </x:c>
      <x:c r="G116" s="31">
        <x:v>0.00</x:v>
      </x:c>
      <x:c r="H116" s="31">
        <x:v>14339.00</x:v>
      </x:c>
      <x:c r="I116" s="31">
        <x:v>18455.00</x:v>
      </x:c>
      <x:c r="J116" s="31">
        <x:v>81200.00</x:v>
      </x:c>
      <x:c r="K116" s="33">
        <x:f>SUM(F116:J116)</x:f>
        <x:v>813265.00</x:v>
      </x:c>
      <x:c r="L116" s="31"/>
      <x:c r="M116" s="31"/>
      <x:c r="N116" s="31"/>
      <x:c r="O116" s="31"/>
      <x:c r="P116" s="31"/>
      <x:c r="Q116" s="31"/>
      <x:c r="R116" s="19"/>
      <x:c r="S116" s="37"/>
    </x:row>
    <x:row r="117" s="20" customFormat="1">
      <x:c r="A117" s="20">
        <x:v>235</x:v>
      </x:c>
      <x:c r="B117" s="7"/>
      <x:c r="C117" s="8"/>
      <x:c r="D117" s="21"/>
      <x:c r="E117" s="24" t="s">
        <x:v>133</x:v>
      </x:c>
      <x:c r="F117" s="31">
        <x:v>2082013.00</x:v>
      </x:c>
      <x:c r="G117" s="31">
        <x:v>0.00</x:v>
      </x:c>
      <x:c r="H117" s="31">
        <x:v>42693.00</x:v>
      </x:c>
      <x:c r="I117" s="31">
        <x:v>54947.00</x:v>
      </x:c>
      <x:c r="J117" s="31">
        <x:v>241766.00</x:v>
      </x:c>
      <x:c r="K117" s="33">
        <x:f>SUM(F117:J117)</x:f>
        <x:v>2421419.00</x:v>
      </x:c>
      <x:c r="L117" s="31"/>
      <x:c r="M117" s="31"/>
      <x:c r="N117" s="31"/>
      <x:c r="O117" s="31"/>
      <x:c r="P117" s="31"/>
      <x:c r="Q117" s="31"/>
      <x:c r="R117" s="19"/>
      <x:c r="S117" s="37"/>
    </x:row>
    <x:row r="118" s="20" customFormat="1">
      <x:c r="A118" s="20">
        <x:v>236</x:v>
      </x:c>
      <x:c r="B118" s="7"/>
      <x:c r="C118" s="8"/>
      <x:c r="D118" s="21"/>
      <x:c r="E118" s="24" t="s">
        <x:v>134</x:v>
      </x:c>
      <x:c r="F118" s="31">
        <x:v>3154610.00</x:v>
      </x:c>
      <x:c r="G118" s="31">
        <x:v>0.00</x:v>
      </x:c>
      <x:c r="H118" s="31">
        <x:v>64687.00</x:v>
      </x:c>
      <x:c r="I118" s="31">
        <x:v>83254.00</x:v>
      </x:c>
      <x:c r="J118" s="31">
        <x:v>366317.00</x:v>
      </x:c>
      <x:c r="K118" s="33">
        <x:f>SUM(F118:J118)</x:f>
        <x:v>3668868.00</x:v>
      </x:c>
      <x:c r="L118" s="31"/>
      <x:c r="M118" s="31"/>
      <x:c r="N118" s="31"/>
      <x:c r="O118" s="31"/>
      <x:c r="P118" s="31"/>
      <x:c r="Q118" s="31"/>
      <x:c r="R118" s="19"/>
      <x:c r="S118" s="37"/>
    </x:row>
    <x:row r="119" s="20" customFormat="1">
      <x:c r="A119" s="20">
        <x:v>240</x:v>
      </x:c>
      <x:c r="B119" s="7"/>
      <x:c r="C119" s="8"/>
      <x:c r="D119" s="21"/>
      <x:c r="E119" s="24" t="s">
        <x:v>135</x:v>
      </x:c>
      <x:c r="F119" s="31">
        <x:v>0.00</x:v>
      </x:c>
      <x:c r="G119" s="31">
        <x:v>0.00</x:v>
      </x:c>
      <x:c r="H119" s="31">
        <x:v>0.00</x:v>
      </x:c>
      <x:c r="I119" s="31">
        <x:v>0.00</x:v>
      </x:c>
      <x:c r="J119" s="31">
        <x:v>0.00</x:v>
      </x:c>
      <x:c r="K119" s="33">
        <x:f>SUM(F119:J119)</x:f>
        <x:v>0.00</x:v>
      </x:c>
      <x:c r="L119" s="31"/>
      <x:c r="M119" s="31"/>
      <x:c r="N119" s="31"/>
      <x:c r="O119" s="31"/>
      <x:c r="P119" s="31"/>
      <x:c r="Q119" s="31"/>
      <x:c r="R119" s="19"/>
      <x:c r="S119" s="37"/>
    </x:row>
    <x:row r="120" s="20" customFormat="1">
      <x:c r="A120" s="20">
        <x:v>241</x:v>
      </x:c>
      <x:c r="B120" s="7"/>
      <x:c r="C120" s="8"/>
      <x:c r="D120" s="21"/>
      <x:c r="E120" s="24" t="s">
        <x:v>136</x:v>
      </x:c>
      <x:c r="F120" s="31">
        <x:v>0.00</x:v>
      </x:c>
      <x:c r="G120" s="31">
        <x:v>0.00</x:v>
      </x:c>
      <x:c r="H120" s="31">
        <x:v>0.00</x:v>
      </x:c>
      <x:c r="I120" s="31">
        <x:v>0.00</x:v>
      </x:c>
      <x:c r="J120" s="31">
        <x:v>0.00</x:v>
      </x:c>
      <x:c r="K120" s="33">
        <x:f>SUM(F120:J120)</x:f>
        <x:v>0.00</x:v>
      </x:c>
      <x:c r="L120" s="31"/>
      <x:c r="M120" s="31"/>
      <x:c r="N120" s="31"/>
      <x:c r="O120" s="31"/>
      <x:c r="P120" s="31"/>
      <x:c r="Q120" s="31"/>
      <x:c r="R120" s="19"/>
      <x:c r="S120" s="37"/>
    </x:row>
    <x:row r="121" s="20" customFormat="1">
      <x:c r="A121" s="20">
        <x:v>242</x:v>
      </x:c>
      <x:c r="B121" s="7"/>
      <x:c r="C121" s="8"/>
      <x:c r="D121" s="21"/>
      <x:c r="E121" s="24" t="s">
        <x:v>137</x:v>
      </x:c>
      <x:c r="F121" s="31">
        <x:v>0.00</x:v>
      </x:c>
      <x:c r="G121" s="31">
        <x:v>0.00</x:v>
      </x:c>
      <x:c r="H121" s="31">
        <x:v>0.00</x:v>
      </x:c>
      <x:c r="I121" s="31">
        <x:v>0.00</x:v>
      </x:c>
      <x:c r="J121" s="31">
        <x:v>0.00</x:v>
      </x:c>
      <x:c r="K121" s="33">
        <x:f>SUM(F121:J121)</x:f>
        <x:v>0.00</x:v>
      </x:c>
      <x:c r="L121" s="31"/>
      <x:c r="M121" s="31"/>
      <x:c r="N121" s="31"/>
      <x:c r="O121" s="31"/>
      <x:c r="P121" s="31"/>
      <x:c r="Q121" s="31"/>
      <x:c r="R121" s="19"/>
      <x:c r="S121" s="37"/>
    </x:row>
    <x:row r="122" s="20" customFormat="1">
      <x:c r="A122" s="20">
        <x:v>243</x:v>
      </x:c>
      <x:c r="B122" s="7"/>
      <x:c r="C122" s="8"/>
      <x:c r="D122" s="21"/>
      <x:c r="E122" s="24" t="s">
        <x:v>138</x:v>
      </x:c>
      <x:c r="F122" s="31">
        <x:v>0.00</x:v>
      </x:c>
      <x:c r="G122" s="31">
        <x:v>0.00</x:v>
      </x:c>
      <x:c r="H122" s="31">
        <x:v>0.00</x:v>
      </x:c>
      <x:c r="I122" s="31">
        <x:v>0.00</x:v>
      </x:c>
      <x:c r="J122" s="31">
        <x:v>0.00</x:v>
      </x:c>
      <x:c r="K122" s="33">
        <x:f>SUM(F122:J122)</x:f>
        <x:v>0.00</x:v>
      </x:c>
      <x:c r="L122" s="31"/>
      <x:c r="M122" s="31"/>
      <x:c r="N122" s="31"/>
      <x:c r="O122" s="31"/>
      <x:c r="P122" s="31"/>
      <x:c r="Q122" s="31"/>
      <x:c r="R122" s="19"/>
      <x:c r="S122" s="37"/>
    </x:row>
    <x:row r="123" s="20" customFormat="1">
      <x:c r="A123" s="20">
        <x:v>245</x:v>
      </x:c>
      <x:c r="B123" s="7"/>
      <x:c r="C123" s="8"/>
      <x:c r="D123" s="21"/>
      <x:c r="E123" s="24" t="s">
        <x:v>139</x:v>
      </x:c>
      <x:c r="F123" s="31">
        <x:v>19456997.00</x:v>
      </x:c>
      <x:c r="G123" s="31">
        <x:v>0.00</x:v>
      </x:c>
      <x:c r="H123" s="31">
        <x:v>398975.00</x:v>
      </x:c>
      <x:c r="I123" s="31">
        <x:v>513491.00</x:v>
      </x:c>
      <x:c r="J123" s="31">
        <x:v>2259367.00</x:v>
      </x:c>
      <x:c r="K123" s="33">
        <x:f>SUM(F123:J123)</x:f>
        <x:v>22628830.00</x:v>
      </x:c>
      <x:c r="L123" s="31">
        <x:v>6301989.7699999996</x:v>
      </x:c>
      <x:c r="M123" s="31"/>
      <x:c r="N123" s="31">
        <x:v>51745.406374413804393873035803522875</x:v>
      </x:c>
      <x:c r="O123" s="31">
        <x:v>310737.035309230286645447933024400761</x:v>
      </x:c>
      <x:c r="P123" s="31">
        <x:v>2478183.788316355908960679031166395031</x:v>
      </x:c>
      <x:c r="Q123" s="31">
        <x:f>N123+O123+P123</x:f>
        <x:v>2840666.23</x:v>
      </x:c>
      <x:c r="R123" s="19">
        <x:f>SUM(L123:P123)</x:f>
        <x:v>9142655.9999999996</x:v>
      </x:c>
      <x:c r="S123" s="37">
        <x:f>IF(K123=0,0,R123/K123)</x:f>
        <x:v>0.404026898430011609</x:v>
      </x:c>
    </x:row>
    <x:row r="124" s="20" customFormat="1">
      <x:c r="A124" s="20">
        <x:v>246</x:v>
      </x:c>
      <x:c r="B124" s="7"/>
      <x:c r="C124" s="8"/>
      <x:c r="D124" s="21"/>
      <x:c r="E124" s="24" t="s">
        <x:v>140</x:v>
      </x:c>
      <x:c r="F124" s="31">
        <x:v>0.00</x:v>
      </x:c>
      <x:c r="G124" s="31">
        <x:v>0.00</x:v>
      </x:c>
      <x:c r="H124" s="31">
        <x:v>0.00</x:v>
      </x:c>
      <x:c r="I124" s="31">
        <x:v>0.00</x:v>
      </x:c>
      <x:c r="J124" s="31">
        <x:v>0.00</x:v>
      </x:c>
      <x:c r="K124" s="33">
        <x:f>SUM(F124:J124)</x:f>
        <x:v>0.00</x:v>
      </x:c>
      <x:c r="L124" s="31"/>
      <x:c r="M124" s="31"/>
      <x:c r="N124" s="31"/>
      <x:c r="O124" s="31"/>
      <x:c r="P124" s="31"/>
      <x:c r="Q124" s="31"/>
      <x:c r="R124" s="19"/>
      <x:c r="S124" s="37"/>
    </x:row>
    <x:row r="125" s="20" customFormat="1">
      <x:c r="A125" s="20">
        <x:v>247</x:v>
      </x:c>
      <x:c r="B125" s="7"/>
      <x:c r="C125" s="8"/>
      <x:c r="D125" s="21"/>
      <x:c r="E125" s="24" t="s">
        <x:v>141</x:v>
      </x:c>
      <x:c r="F125" s="31">
        <x:v>12331272.00</x:v>
      </x:c>
      <x:c r="G125" s="31">
        <x:v>0.00</x:v>
      </x:c>
      <x:c r="H125" s="31">
        <x:v>252859.00</x:v>
      </x:c>
      <x:c r="I125" s="31">
        <x:v>325436.00</x:v>
      </x:c>
      <x:c r="J125" s="31">
        <x:v>1431921.00</x:v>
      </x:c>
      <x:c r="K125" s="33">
        <x:f>SUM(F125:J125)</x:f>
        <x:v>14341488.00</x:v>
      </x:c>
      <x:c r="L125" s="31"/>
      <x:c r="M125" s="31"/>
      <x:c r="N125" s="31"/>
      <x:c r="O125" s="31"/>
      <x:c r="P125" s="31"/>
      <x:c r="Q125" s="31"/>
      <x:c r="R125" s="19"/>
      <x:c r="S125" s="37"/>
    </x:row>
    <x:row r="126" s="20" customFormat="1">
      <x:c r="A126" s="20">
        <x:v>248</x:v>
      </x:c>
      <x:c r="B126" s="7"/>
      <x:c r="C126" s="8"/>
      <x:c r="D126" s="21"/>
      <x:c r="E126" s="24" t="s">
        <x:v>142</x:v>
      </x:c>
      <x:c r="F126" s="31">
        <x:v>25531712.00</x:v>
      </x:c>
      <x:c r="G126" s="31">
        <x:v>0.00</x:v>
      </x:c>
      <x:c r="H126" s="31">
        <x:v>523540.00</x:v>
      </x:c>
      <x:c r="I126" s="31">
        <x:v>673810.00</x:v>
      </x:c>
      <x:c r="J126" s="31">
        <x:v>2964770.00</x:v>
      </x:c>
      <x:c r="K126" s="33">
        <x:f>SUM(F126:J126)</x:f>
        <x:v>29693832.00</x:v>
      </x:c>
      <x:c r="L126" s="31">
        <x:v>10649706.24</x:v>
      </x:c>
      <x:c r="M126" s="31"/>
      <x:c r="N126" s="31">
        <x:v>87622.566541017736472812061596929812</x:v>
      </x:c>
      <x:c r="O126" s="31">
        <x:v>526183.452036906630819023707969215009</x:v>
      </x:c>
      <x:c r="P126" s="31">
        <x:v>4196407.741422075632708164230424234750</x:v>
      </x:c>
      <x:c r="Q126" s="31">
        <x:f>N126+O126+P126</x:f>
        <x:v>4810213.76</x:v>
      </x:c>
      <x:c r="R126" s="19">
        <x:f>SUM(L126:P126)</x:f>
        <x:v>15459920.00</x:v>
      </x:c>
      <x:c r="S126" s="37">
        <x:f>IF(K126=0,0,R126/K126)</x:f>
        <x:v>0.520644152630755100</x:v>
      </x:c>
    </x:row>
    <x:row r="127" s="20" customFormat="1">
      <x:c r="A127" s="20">
        <x:v>249</x:v>
      </x:c>
      <x:c r="B127" s="7"/>
      <x:c r="C127" s="8"/>
      <x:c r="D127" s="21"/>
      <x:c r="E127" s="24" t="s">
        <x:v>143</x:v>
      </x:c>
      <x:c r="F127" s="31">
        <x:v>0.00</x:v>
      </x:c>
      <x:c r="G127" s="31">
        <x:v>0.00</x:v>
      </x:c>
      <x:c r="H127" s="31">
        <x:v>0.00</x:v>
      </x:c>
      <x:c r="I127" s="31">
        <x:v>0.00</x:v>
      </x:c>
      <x:c r="J127" s="31">
        <x:v>0.00</x:v>
      </x:c>
      <x:c r="K127" s="33">
        <x:f>SUM(F127:J127)</x:f>
        <x:v>0.00</x:v>
      </x:c>
      <x:c r="L127" s="31"/>
      <x:c r="M127" s="31"/>
      <x:c r="N127" s="31"/>
      <x:c r="O127" s="31"/>
      <x:c r="P127" s="31"/>
      <x:c r="Q127" s="31"/>
      <x:c r="R127" s="19"/>
      <x:c r="S127" s="37"/>
    </x:row>
    <x:row r="128" s="20" customFormat="1">
      <x:c r="A128" s="20">
        <x:v>250</x:v>
      </x:c>
      <x:c r="B128" s="7"/>
      <x:c r="C128" s="8"/>
      <x:c r="D128" s="21"/>
      <x:c r="E128" s="24" t="s">
        <x:v>144</x:v>
      </x:c>
      <x:c r="F128" s="31">
        <x:v>0.00</x:v>
      </x:c>
      <x:c r="G128" s="31">
        <x:v>0.00</x:v>
      </x:c>
      <x:c r="H128" s="31">
        <x:v>0.00</x:v>
      </x:c>
      <x:c r="I128" s="31">
        <x:v>0.00</x:v>
      </x:c>
      <x:c r="J128" s="31">
        <x:v>0.00</x:v>
      </x:c>
      <x:c r="K128" s="33">
        <x:f>SUM(F128:J128)</x:f>
        <x:v>0.00</x:v>
      </x:c>
      <x:c r="L128" s="31"/>
      <x:c r="M128" s="31"/>
      <x:c r="N128" s="31"/>
      <x:c r="O128" s="31"/>
      <x:c r="P128" s="31"/>
      <x:c r="Q128" s="31"/>
      <x:c r="R128" s="19"/>
      <x:c r="S128" s="37"/>
    </x:row>
    <x:row r="129" s="20" customFormat="1">
      <x:c r="A129" s="20">
        <x:v>251</x:v>
      </x:c>
      <x:c r="B129" s="7"/>
      <x:c r="C129" s="8"/>
      <x:c r="D129" s="21"/>
      <x:c r="E129" s="24" t="s">
        <x:v>145</x:v>
      </x:c>
      <x:c r="F129" s="31">
        <x:v>94766716.00</x:v>
      </x:c>
      <x:c r="G129" s="31">
        <x:v>0.00</x:v>
      </x:c>
      <x:c r="H129" s="31">
        <x:v>1943237.00</x:v>
      </x:c>
      <x:c r="I129" s="31">
        <x:v>2500997.00</x:v>
      </x:c>
      <x:c r="J129" s="31">
        <x:v>11004412.00</x:v>
      </x:c>
      <x:c r="K129" s="33">
        <x:f>SUM(F129:J129)</x:f>
        <x:v>110215362.00</x:v>
      </x:c>
      <x:c r="L129" s="31">
        <x:v>37616604.50</x:v>
      </x:c>
      <x:c r="M129" s="31"/>
      <x:c r="N129" s="31">
        <x:v>291585.807639123327607885856545213320</x:v>
      </x:c>
      <x:c r="O129" s="31">
        <x:v>1751005.852547140763183626167454423948</x:v>
      </x:c>
      <x:c r="P129" s="31">
        <x:v>13964586.849813735909208487975968348374</x:v>
      </x:c>
      <x:c r="Q129" s="31">
        <x:f>N129+O129+P129</x:f>
        <x:v>16007178.51</x:v>
      </x:c>
      <x:c r="R129" s="19">
        <x:f>SUM(L129:P129)</x:f>
        <x:v>53623783.01</x:v>
      </x:c>
      <x:c r="S129" s="37">
        <x:f>IF(K129=0,0,R129/K129)</x:f>
        <x:v>0.486536377841774906</x:v>
      </x:c>
    </x:row>
    <x:row r="130" s="20" customFormat="1">
      <x:c r="A130" s="20">
        <x:v>252</x:v>
      </x:c>
      <x:c r="B130" s="7"/>
      <x:c r="C130" s="8"/>
      <x:c r="D130" s="21"/>
      <x:c r="E130" s="24" t="s">
        <x:v>146</x:v>
      </x:c>
      <x:c r="F130" s="31">
        <x:v>30757764.00</x:v>
      </x:c>
      <x:c r="G130" s="31">
        <x:v>0.00</x:v>
      </x:c>
      <x:c r="H130" s="31">
        <x:v>630703.00</x:v>
      </x:c>
      <x:c r="I130" s="31">
        <x:v>811731.00</x:v>
      </x:c>
      <x:c r="J130" s="31">
        <x:v>3571625.00</x:v>
      </x:c>
      <x:c r="K130" s="33">
        <x:f>SUM(F130:J130)</x:f>
        <x:v>35771823.00</x:v>
      </x:c>
      <x:c r="L130" s="31">
        <x:v>17457974.09</x:v>
      </x:c>
      <x:c r="M130" s="31"/>
      <x:c r="N130" s="31">
        <x:v>134044.763664757024977158560671336747</x:v>
      </x:c>
      <x:c r="O130" s="31">
        <x:v>804954.011927689554899618198396573822</x:v>
      </x:c>
      <x:c r="P130" s="31">
        <x:v>6419653.134407553520123223240917372126</x:v>
      </x:c>
      <x:c r="Q130" s="31">
        <x:f>N130+O130+P130</x:f>
        <x:v>7358651.9100000001</x:v>
      </x:c>
      <x:c r="R130" s="19">
        <x:f>SUM(L130:P130)</x:f>
        <x:v>24816626.0000000001</x:v>
      </x:c>
      <x:c r="S130" s="37">
        <x:f>IF(K130=0,0,R130/K130)</x:f>
        <x:v>0.693747869657076188</x:v>
      </x:c>
    </x:row>
    <x:row r="131" s="20" customFormat="1">
      <x:c r="A131" s="20">
        <x:v>253</x:v>
      </x:c>
      <x:c r="B131" s="7"/>
      <x:c r="C131" s="8"/>
      <x:c r="D131" s="21"/>
      <x:c r="E131" s="24" t="s">
        <x:v>147</x:v>
      </x:c>
      <x:c r="F131" s="31">
        <x:v>4598123.00</x:v>
      </x:c>
      <x:c r="G131" s="31">
        <x:v>0.00</x:v>
      </x:c>
      <x:c r="H131" s="31">
        <x:v>94287.00</x:v>
      </x:c>
      <x:c r="I131" s="31">
        <x:v>121349.00</x:v>
      </x:c>
      <x:c r="J131" s="31">
        <x:v>533939.00</x:v>
      </x:c>
      <x:c r="K131" s="33">
        <x:f>SUM(F131:J131)</x:f>
        <x:v>5347698.00</x:v>
      </x:c>
      <x:c r="L131" s="31">
        <x:v>3169662.50</x:v>
      </x:c>
      <x:c r="M131" s="31"/>
      <x:c r="N131" s="31">
        <x:v>22138.515308630305714423433213716200</x:v>
      </x:c>
      <x:c r="O131" s="31">
        <x:v>132944.295835182179602973657803522612</x:v>
      </x:c>
      <x:c r="P131" s="31">
        <x:v>1060254.688856187514682602908980330512</x:v>
      </x:c>
      <x:c r="Q131" s="31">
        <x:f>N131+O131+P131</x:f>
        <x:v>1215337.50</x:v>
      </x:c>
      <x:c r="R131" s="19">
        <x:f>SUM(L131:P131)</x:f>
        <x:v>4385000.00</x:v>
      </x:c>
      <x:c r="S131" s="37">
        <x:f>IF(K131=0,0,R131/K131)</x:f>
        <x:v>0.819978989090259023</x:v>
      </x:c>
    </x:row>
    <x:row r="132" s="20" customFormat="1">
      <x:c r="A132" s="20">
        <x:v>254</x:v>
      </x:c>
      <x:c r="B132" s="7"/>
      <x:c r="C132" s="8"/>
      <x:c r="D132" s="21"/>
      <x:c r="E132" s="24" t="s">
        <x:v>148</x:v>
      </x:c>
      <x:c r="F132" s="31">
        <x:v>1395176.00</x:v>
      </x:c>
      <x:c r="G132" s="31">
        <x:v>0.00</x:v>
      </x:c>
      <x:c r="H132" s="31">
        <x:v>28609.00</x:v>
      </x:c>
      <x:c r="I132" s="31">
        <x:v>36820.00</x:v>
      </x:c>
      <x:c r="J132" s="31">
        <x:v>162009.00</x:v>
      </x:c>
      <x:c r="K132" s="33">
        <x:f>SUM(F132:J132)</x:f>
        <x:v>1622614.00</x:v>
      </x:c>
      <x:c r="L132" s="31">
        <x:v>664111.10</x:v>
      </x:c>
      <x:c r="M132" s="31"/>
      <x:c r="N132" s="31">
        <x:v>5307.922797918229077568876555668152</x:v>
      </x:c>
      <x:c r="O132" s="31">
        <x:v>31874.678535541213262158739922028623</x:v>
      </x:c>
      <x:c r="P132" s="31">
        <x:v>254206.298666540577660272383521720446</x:v>
      </x:c>
      <x:c r="Q132" s="31">
        <x:f>N132+O132+P132</x:f>
        <x:v>291388.90000000002</x:v>
      </x:c>
      <x:c r="R132" s="19">
        <x:f>SUM(L132:P132)</x:f>
        <x:v>955500.00000000002</x:v>
      </x:c>
      <x:c r="S132" s="37">
        <x:f>IF(K132=0,0,R132/K132)</x:f>
        <x:v>0.588864634472523976</x:v>
      </x:c>
    </x:row>
    <x:row r="133" s="20" customFormat="1">
      <x:c r="A133" s="20">
        <x:v>233</x:v>
      </x:c>
      <x:c r="B133" s="7"/>
      <x:c r="C133" s="8"/>
      <x:c r="D133" s="21"/>
      <x:c r="E133" s="24" t="s">
        <x:v>149</x:v>
      </x:c>
      <x:c r="F133" s="31">
        <x:v>0.00</x:v>
      </x:c>
      <x:c r="G133" s="31">
        <x:v>0.00</x:v>
      </x:c>
      <x:c r="H133" s="31">
        <x:v>0.00</x:v>
      </x:c>
      <x:c r="I133" s="31">
        <x:v>0.00</x:v>
      </x:c>
      <x:c r="J133" s="31">
        <x:v>0.00</x:v>
      </x:c>
      <x:c r="K133" s="33">
        <x:f>SUM(F133:J133)</x:f>
        <x:v>0.00</x:v>
      </x:c>
      <x:c r="L133" s="31"/>
      <x:c r="M133" s="31"/>
      <x:c r="N133" s="31"/>
      <x:c r="O133" s="31"/>
      <x:c r="P133" s="31"/>
      <x:c r="Q133" s="31"/>
      <x:c r="R133" s="19"/>
      <x:c r="S133" s="37"/>
    </x:row>
    <x:row r="134" s="20" customFormat="1">
      <x:c r="A134" s="20">
        <x:v>234</x:v>
      </x:c>
      <x:c r="B134" s="7"/>
      <x:c r="C134" s="8"/>
      <x:c r="D134" s="21"/>
      <x:c r="E134" s="24" t="s">
        <x:v>150</x:v>
      </x:c>
      <x:c r="F134" s="31">
        <x:v>402125.00</x:v>
      </x:c>
      <x:c r="G134" s="31">
        <x:v>0.00</x:v>
      </x:c>
      <x:c r="H134" s="31">
        <x:v>8246.00</x:v>
      </x:c>
      <x:c r="I134" s="31">
        <x:v>10613.00</x:v>
      </x:c>
      <x:c r="J134" s="31">
        <x:v>46695.00</x:v>
      </x:c>
      <x:c r="K134" s="33">
        <x:f>SUM(F134:J134)</x:f>
        <x:v>467679.00</x:v>
      </x:c>
      <x:c r="L134" s="31">
        <x:v>27825.00</x:v>
      </x:c>
      <x:c r="M134" s="31"/>
      <x:c r="N134" s="31">
        <x:v>-506.858538029673449970754649775600</x:v>
      </x:c>
      <x:c r="O134" s="31">
        <x:v>-3043.743019213958383949102227474275</x:v>
      </x:c>
      <x:c r="P134" s="31">
        <x:v>-24274.398442756368166080143122694475</x:v>
      </x:c>
      <x:c r="Q134" s="31">
        <x:f>N134+O134+P134</x:f>
        <x:v>-27825.00</x:v>
      </x:c>
      <x:c r="R134" s="19">
        <x:f>SUM(L134:P134)</x:f>
        <x:v>0.00</x:v>
      </x:c>
      <x:c r="S134" s="37">
        <x:f>IF(K134=0,0,R134/K134)</x:f>
        <x:v>0.000000000000000000</x:v>
      </x:c>
    </x:row>
    <x:row r="135" s="20" customFormat="1">
      <x:c r="A135" s="20">
        <x:v>237</x:v>
      </x:c>
      <x:c r="B135" s="7"/>
      <x:c r="C135" s="8"/>
      <x:c r="D135" s="21"/>
      <x:c r="E135" s="24" t="s">
        <x:v>151</x:v>
      </x:c>
      <x:c r="F135" s="31">
        <x:v>0.00</x:v>
      </x:c>
      <x:c r="G135" s="31">
        <x:v>0.00</x:v>
      </x:c>
      <x:c r="H135" s="31">
        <x:v>0.00</x:v>
      </x:c>
      <x:c r="I135" s="31">
        <x:v>0.00</x:v>
      </x:c>
      <x:c r="J135" s="31">
        <x:v>0.00</x:v>
      </x:c>
      <x:c r="K135" s="33">
        <x:f>SUM(F135:J135)</x:f>
        <x:v>0.00</x:v>
      </x:c>
      <x:c r="L135" s="31"/>
      <x:c r="M135" s="31"/>
      <x:c r="N135" s="31"/>
      <x:c r="O135" s="31"/>
      <x:c r="P135" s="31"/>
      <x:c r="Q135" s="31"/>
      <x:c r="R135" s="19"/>
      <x:c r="S135" s="37"/>
    </x:row>
    <x:row r="136" s="20" customFormat="1">
      <x:c r="A136" s="20">
        <x:v>256</x:v>
      </x:c>
      <x:c r="B136" s="7"/>
      <x:c r="C136" s="8"/>
      <x:c r="D136" s="21"/>
      <x:c r="E136" s="24" t="s">
        <x:v>152</x:v>
      </x:c>
      <x:c r="F136" s="31">
        <x:v>129204602.00</x:v>
      </x:c>
      <x:c r="G136" s="31">
        <x:v>0.00</x:v>
      </x:c>
      <x:c r="H136" s="31">
        <x:v>2649403.00</x:v>
      </x:c>
      <x:c r="I136" s="31">
        <x:v>3409851.00</x:v>
      </x:c>
      <x:c r="J136" s="31">
        <x:v>15003377.00</x:v>
      </x:c>
      <x:c r="K136" s="33">
        <x:f>SUM(F136:J136)</x:f>
        <x:v>150267233.00</x:v>
      </x:c>
      <x:c r="L136" s="31">
        <x:v>79449669.560000002</x:v>
      </x:c>
      <x:c r="M136" s="31"/>
      <x:c r="N136" s="31">
        <x:v>630269.811045891542998707286124132026</x:v>
      </x:c>
      <x:c r="O136" s="31">
        <x:v>3784841.713527421474792553183283718208</x:v>
      </x:c>
      <x:c r="P136" s="31">
        <x:v>30184793.925426689982208739530522949954</x:v>
      </x:c>
      <x:c r="Q136" s="31">
        <x:f>N136+O136+P136</x:f>
        <x:v>34599905.450000003</x:v>
      </x:c>
      <x:c r="R136" s="19">
        <x:f>SUM(L136:P136)</x:f>
        <x:v>114049575.010000005</x:v>
      </x:c>
      <x:c r="S136" s="37">
        <x:f>IF(K136=0,0,R136/K136)</x:f>
        <x:v>0.758978339675689676</x:v>
      </x:c>
    </x:row>
    <x:row r="137" s="20" customFormat="1">
      <x:c r="A137" s="20">
        <x:v>261</x:v>
      </x:c>
      <x:c r="B137" s="7"/>
      <x:c r="C137" s="8"/>
      <x:c r="D137" s="21"/>
      <x:c r="E137" s="24" t="s">
        <x:v>153</x:v>
      </x:c>
      <x:c r="F137" s="31">
        <x:v>0.00</x:v>
      </x:c>
      <x:c r="G137" s="31">
        <x:v>0.00</x:v>
      </x:c>
      <x:c r="H137" s="31">
        <x:v>0.00</x:v>
      </x:c>
      <x:c r="I137" s="31">
        <x:v>0.00</x:v>
      </x:c>
      <x:c r="J137" s="31">
        <x:v>0.00</x:v>
      </x:c>
      <x:c r="K137" s="33">
        <x:f>SUM(F137:J137)</x:f>
        <x:v>0.00</x:v>
      </x:c>
      <x:c r="L137" s="31"/>
      <x:c r="M137" s="31"/>
      <x:c r="N137" s="31"/>
      <x:c r="O137" s="31"/>
      <x:c r="P137" s="31"/>
      <x:c r="Q137" s="31"/>
      <x:c r="R137" s="19"/>
      <x:c r="S137" s="37"/>
    </x:row>
    <x:row r="138" s="20" customFormat="1">
      <x:c r="A138" s="20">
        <x:v>227</x:v>
      </x:c>
      <x:c r="B138" s="7"/>
      <x:c r="C138" s="8"/>
      <x:c r="D138" s="21"/>
      <x:c r="E138" s="24" t="s">
        <x:v>154</x:v>
      </x:c>
      <x:c r="F138" s="31">
        <x:v>59115869.00</x:v>
      </x:c>
      <x:c r="G138" s="31">
        <x:v>0.00</x:v>
      </x:c>
      <x:c r="H138" s="31">
        <x:v>1212199.00</x:v>
      </x:c>
      <x:c r="I138" s="31">
        <x:v>1560133.00</x:v>
      </x:c>
      <x:c r="J138" s="31">
        <x:v>6864598.00</x:v>
      </x:c>
      <x:c r="K138" s="33">
        <x:f>SUM(F138:J138)</x:f>
        <x:v>68752799.00</x:v>
      </x:c>
      <x:c r="L138" s="31"/>
      <x:c r="M138" s="31"/>
      <x:c r="N138" s="31"/>
      <x:c r="O138" s="31"/>
      <x:c r="P138" s="31"/>
      <x:c r="Q138" s="31"/>
      <x:c r="R138" s="19"/>
      <x:c r="S138" s="37"/>
    </x:row>
    <x:row r="139" s="20" customFormat="1">
      <x:c r="A139" s="20">
        <x:v>226</x:v>
      </x:c>
      <x:c r="B139" s="7"/>
      <x:c r="C139" s="8"/>
      <x:c r="D139" s="21"/>
      <x:c r="E139" s="24" t="s">
        <x:v>155</x:v>
      </x:c>
      <x:c r="F139" s="31">
        <x:v>69305.00</x:v>
      </x:c>
      <x:c r="G139" s="31">
        <x:v>0.00</x:v>
      </x:c>
      <x:c r="H139" s="31">
        <x:v>1421.00</x:v>
      </x:c>
      <x:c r="I139" s="31">
        <x:v>1829.00</x:v>
      </x:c>
      <x:c r="J139" s="31">
        <x:v>8047.00</x:v>
      </x:c>
      <x:c r="K139" s="33">
        <x:f>SUM(F139:J139)</x:f>
        <x:v>80602.00</x:v>
      </x:c>
      <x:c r="L139" s="31"/>
      <x:c r="M139" s="31"/>
      <x:c r="N139" s="31"/>
      <x:c r="O139" s="31"/>
      <x:c r="P139" s="31"/>
      <x:c r="Q139" s="31"/>
      <x:c r="R139" s="19"/>
      <x:c r="S139" s="37"/>
    </x:row>
    <x:row r="140" s="20" customFormat="1">
      <x:c r="A140" s="20">
        <x:v>228</x:v>
      </x:c>
      <x:c r="B140" s="7"/>
      <x:c r="C140" s="8"/>
      <x:c r="D140" s="21"/>
      <x:c r="E140" s="24" t="s">
        <x:v>156</x:v>
      </x:c>
      <x:c r="F140" s="31">
        <x:v>371042.00</x:v>
      </x:c>
      <x:c r="G140" s="31">
        <x:v>0.00</x:v>
      </x:c>
      <x:c r="H140" s="31">
        <x:v>7608.00</x:v>
      </x:c>
      <x:c r="I140" s="31">
        <x:v>9792.00</x:v>
      </x:c>
      <x:c r="J140" s="31">
        <x:v>43085.00</x:v>
      </x:c>
      <x:c r="K140" s="33">
        <x:f>SUM(F140:J140)</x:f>
        <x:v>431527.00</x:v>
      </x:c>
      <x:c r="L140" s="31"/>
      <x:c r="M140" s="31"/>
      <x:c r="N140" s="31"/>
      <x:c r="O140" s="31"/>
      <x:c r="P140" s="31"/>
      <x:c r="Q140" s="31"/>
      <x:c r="R140" s="19"/>
      <x:c r="S140" s="37"/>
    </x:row>
    <x:row r="141" s="20" customFormat="1">
      <x:c r="A141" s="20">
        <x:v>260</x:v>
      </x:c>
      <x:c r="B141" s="7"/>
      <x:c r="C141" s="8"/>
      <x:c r="D141" s="21"/>
      <x:c r="E141" s="24" t="s">
        <x:v>157</x:v>
      </x:c>
      <x:c r="F141" s="31">
        <x:v>257950.00</x:v>
      </x:c>
      <x:c r="G141" s="31">
        <x:v>0.00</x:v>
      </x:c>
      <x:c r="H141" s="31">
        <x:v>5289.00</x:v>
      </x:c>
      <x:c r="I141" s="31">
        <x:v>6808.00</x:v>
      </x:c>
      <x:c r="J141" s="31">
        <x:v>29953.00</x:v>
      </x:c>
      <x:c r="K141" s="33">
        <x:f>SUM(F141:J141)</x:f>
        <x:v>300000.00</x:v>
      </x:c>
      <x:c r="L141" s="31"/>
      <x:c r="M141" s="31"/>
      <x:c r="N141" s="31"/>
      <x:c r="O141" s="31"/>
      <x:c r="P141" s="31"/>
      <x:c r="Q141" s="31"/>
      <x:c r="R141" s="19"/>
      <x:c r="S141" s="37"/>
    </x:row>
    <x:row r="142" s="20" customFormat="1">
      <x:c r="A142" s="20">
        <x:v>238</x:v>
      </x:c>
      <x:c r="B142" s="7"/>
      <x:c r="C142" s="8"/>
      <x:c r="D142" s="21"/>
      <x:c r="E142" s="24" t="s">
        <x:v>158</x:v>
      </x:c>
      <x:c r="F142" s="31">
        <x:v>0.00</x:v>
      </x:c>
      <x:c r="G142" s="31">
        <x:v>0.00</x:v>
      </x:c>
      <x:c r="H142" s="31">
        <x:v>0.00</x:v>
      </x:c>
      <x:c r="I142" s="31">
        <x:v>0.00</x:v>
      </x:c>
      <x:c r="J142" s="31">
        <x:v>0.00</x:v>
      </x:c>
      <x:c r="K142" s="33">
        <x:f>SUM(F142:J142)</x:f>
        <x:v>0.00</x:v>
      </x:c>
      <x:c r="L142" s="31"/>
      <x:c r="M142" s="31"/>
      <x:c r="N142" s="31"/>
      <x:c r="O142" s="31"/>
      <x:c r="P142" s="31"/>
      <x:c r="Q142" s="31"/>
      <x:c r="R142" s="19"/>
      <x:c r="S142" s="37"/>
    </x:row>
    <x:row r="143" s="23" customFormat="1">
      <x:c r="B143" s="12">
        <x:v>22</x:v>
      </x:c>
      <x:c r="C143" s="8" t="s">
        <x:v>34</x:v>
      </x:c>
      <x:c r="D143" s="14"/>
      <x:c r="E143" s="15" t="s">
        <x:v>159</x:v>
      </x:c>
      <x:c r="F143" s="32">
        <x:f>SUM(F56:F142)</x:f>
        <x:v>2481378989.00</x:v>
      </x:c>
      <x:c r="G143" s="32">
        <x:f>SUM(G56:G142)</x:f>
        <x:v>0.00</x:v>
      </x:c>
      <x:c r="H143" s="32">
        <x:f>SUM(H56:H142)</x:f>
        <x:v>50881878.00</x:v>
      </x:c>
      <x:c r="I143" s="32">
        <x:f>SUM(I56:I142)</x:f>
        <x:v>65486313.00</x:v>
      </x:c>
      <x:c r="J143" s="32">
        <x:f>SUM(J56:J142)</x:f>
        <x:v>288140384.00</x:v>
      </x:c>
      <x:c r="K143" s="32">
        <x:f>SUM(K56:K142)</x:f>
        <x:v>2885887564.00</x:v>
      </x:c>
      <x:c r="L143" s="32">
        <x:f>SUM(L56:L142)</x:f>
        <x:v>1257536120.6599999918</x:v>
      </x:c>
      <x:c r="M143" s="32"/>
      <x:c r="N143" s="32">
        <x:f>SUM(N56:N142)</x:f>
        <x:v>10995332.807607740661530003833041428343</x:v>
      </x:c>
      <x:c r="O143" s="32">
        <x:f>SUM(O56:O142)</x:f>
        <x:v>66028220.827032786927274352369974966503</x:v>
      </x:c>
      <x:c r="P143" s="32">
        <x:f>SUM(P56:P142)</x:f>
        <x:v>526586945.975359487731195643795776384120</x:v>
      </x:c>
      <x:c r="Q143" s="32">
        <x:f>SUM(Q56:Q142)</x:f>
        <x:v>603610499.61000001532</x:v>
      </x:c>
      <x:c r="R143" s="16">
        <x:f>SUM(R56:R142)</x:f>
        <x:v>1861146620.27000000712</x:v>
      </x:c>
      <x:c r="S143" s="37">
        <x:f>IF(K143=0,0,R143/K143)</x:f>
        <x:v>0.644913074052804645</x:v>
      </x:c>
    </x:row>
    <x:row r="144" s="20" customFormat="1">
      <x:c r="B144" s="7"/>
      <x:c r="C144" s="8" t="s">
        <x:v>36</x:v>
      </x:c>
      <x:c r="D144" s="21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19"/>
      <x:c r="S144" s="19"/>
    </x:row>
    <x:row r="145" s="20" customFormat="1">
      <x:c r="B145" s="7"/>
      <x:c r="C145" s="8" t="s">
        <x:v>29</x:v>
      </x:c>
      <x:c r="D145" s="21"/>
      <x:c r="E145" s="22" t="s">
        <x:v>160</x:v>
      </x:c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19"/>
      <x:c r="S145" s="19"/>
    </x:row>
    <x:row r="146" s="20" customFormat="1">
      <x:c r="A146" s="20">
        <x:v>269</x:v>
      </x:c>
      <x:c r="B146" s="7"/>
      <x:c r="C146" s="8"/>
      <x:c r="D146" s="21"/>
      <x:c r="E146" s="24" t="s">
        <x:v>161</x:v>
      </x:c>
      <x:c r="F146" s="31">
        <x:v>41533130.00</x:v>
      </x:c>
      <x:c r="G146" s="31">
        <x:v>0.00</x:v>
      </x:c>
      <x:c r="H146" s="31">
        <x:v>851657.00</x:v>
      </x:c>
      <x:c r="I146" s="31">
        <x:v>1096105.00</x:v>
      </x:c>
      <x:c r="J146" s="31">
        <x:v>4822871.00</x:v>
      </x:c>
      <x:c r="K146" s="33">
        <x:f>SUM(F146:J146)</x:f>
        <x:v>48303763.00</x:v>
      </x:c>
      <x:c r="L146" s="31">
        <x:v>17873081.23</x:v>
      </x:c>
      <x:c r="M146" s="31"/>
      <x:c r="N146" s="31">
        <x:v>142970.926693639879736703516999014220</x:v>
      </x:c>
      <x:c r="O146" s="31">
        <x:v>858556.633505581051816631810102005473</x:v>
      </x:c>
      <x:c r="P146" s="31">
        <x:v>6847143.689800779068446664672883282963</x:v>
      </x:c>
      <x:c r="Q146" s="31">
        <x:f>N146+O146+P146</x:f>
        <x:v>7848671.25</x:v>
      </x:c>
      <x:c r="R146" s="19">
        <x:f>SUM(L146:P146)</x:f>
        <x:v>25721752.48</x:v>
      </x:c>
      <x:c r="S146" s="37">
        <x:f>IF(K146=0,0,R146/K146)</x:f>
        <x:v>0.532499972724692277</x:v>
      </x:c>
    </x:row>
    <x:row r="147" s="20" customFormat="1">
      <x:c r="A147" s="20">
        <x:v>270</x:v>
      </x:c>
      <x:c r="B147" s="7"/>
      <x:c r="C147" s="8"/>
      <x:c r="D147" s="21"/>
      <x:c r="E147" s="24" t="s">
        <x:v>162</x:v>
      </x:c>
      <x:c r="F147" s="31">
        <x:v>0.00</x:v>
      </x:c>
      <x:c r="G147" s="31">
        <x:v>0.00</x:v>
      </x:c>
      <x:c r="H147" s="31">
        <x:v>0.00</x:v>
      </x:c>
      <x:c r="I147" s="31">
        <x:v>0.00</x:v>
      </x:c>
      <x:c r="J147" s="31">
        <x:v>0.00</x:v>
      </x:c>
      <x:c r="K147" s="33">
        <x:f>SUM(F147:J147)</x:f>
        <x:v>0.00</x:v>
      </x:c>
      <x:c r="L147" s="31"/>
      <x:c r="M147" s="31"/>
      <x:c r="N147" s="31"/>
      <x:c r="O147" s="31"/>
      <x:c r="P147" s="31"/>
      <x:c r="Q147" s="31"/>
      <x:c r="R147" s="19"/>
      <x:c r="S147" s="37"/>
    </x:row>
    <x:row r="148" s="20" customFormat="1">
      <x:c r="A148" s="20">
        <x:v>271</x:v>
      </x:c>
      <x:c r="B148" s="7"/>
      <x:c r="C148" s="8"/>
      <x:c r="D148" s="21"/>
      <x:c r="E148" s="24" t="s">
        <x:v>163</x:v>
      </x:c>
      <x:c r="F148" s="31">
        <x:v>0.00</x:v>
      </x:c>
      <x:c r="G148" s="31">
        <x:v>0.00</x:v>
      </x:c>
      <x:c r="H148" s="31">
        <x:v>0.00</x:v>
      </x:c>
      <x:c r="I148" s="31">
        <x:v>0.00</x:v>
      </x:c>
      <x:c r="J148" s="31">
        <x:v>0.00</x:v>
      </x:c>
      <x:c r="K148" s="33">
        <x:f>SUM(F148:J148)</x:f>
        <x:v>0.00</x:v>
      </x:c>
      <x:c r="L148" s="31"/>
      <x:c r="M148" s="31"/>
      <x:c r="N148" s="31"/>
      <x:c r="O148" s="31"/>
      <x:c r="P148" s="31"/>
      <x:c r="Q148" s="31"/>
      <x:c r="R148" s="19"/>
      <x:c r="S148" s="37"/>
    </x:row>
    <x:row r="149" s="20" customFormat="1">
      <x:c r="A149" s="20">
        <x:v>272</x:v>
      </x:c>
      <x:c r="B149" s="7"/>
      <x:c r="C149" s="8"/>
      <x:c r="D149" s="21"/>
      <x:c r="E149" s="24" t="s">
        <x:v>164</x:v>
      </x:c>
      <x:c r="F149" s="31">
        <x:v>116036680.00</x:v>
      </x:c>
      <x:c r="G149" s="31">
        <x:v>0.00</x:v>
      </x:c>
      <x:c r="H149" s="31">
        <x:v>2379388.00</x:v>
      </x:c>
      <x:c r="I149" s="31">
        <x:v>3062335.00</x:v>
      </x:c>
      <x:c r="J149" s="31">
        <x:v>13474303.00</x:v>
      </x:c>
      <x:c r="K149" s="33">
        <x:f>SUM(F149:J149)</x:f>
        <x:v>134952706.00</x:v>
      </x:c>
      <x:c r="L149" s="31">
        <x:v>78144699.159999996</x:v>
      </x:c>
      <x:c r="M149" s="31"/>
      <x:c r="N149" s="31">
        <x:v>630573.407196571001008899416321117887</x:v>
      </x:c>
      <x:c r="O149" s="31">
        <x:v>3786664.842852386561659026970304327530</x:v>
      </x:c>
      <x:c r="P149" s="31">
        <x:v>30199333.709951043437332073613305321437</x:v>
      </x:c>
      <x:c r="Q149" s="31">
        <x:f>N149+O149+P149</x:f>
        <x:v>34616571.960000001</x:v>
      </x:c>
      <x:c r="R149" s="19">
        <x:f>SUM(L149:P149)</x:f>
        <x:v>112761271.119999997</x:v>
      </x:c>
      <x:c r="S149" s="37">
        <x:f>IF(K149=0,0,R149/K149)</x:f>
        <x:v>0.835561393781907544</x:v>
      </x:c>
    </x:row>
    <x:row r="150" s="20" customFormat="1">
      <x:c r="A150" s="20">
        <x:v>273</x:v>
      </x:c>
      <x:c r="B150" s="7"/>
      <x:c r="C150" s="8"/>
      <x:c r="D150" s="21"/>
      <x:c r="E150" s="24" t="s">
        <x:v>165</x:v>
      </x:c>
      <x:c r="F150" s="31">
        <x:v>0.00</x:v>
      </x:c>
      <x:c r="G150" s="31">
        <x:v>0.00</x:v>
      </x:c>
      <x:c r="H150" s="31">
        <x:v>0.00</x:v>
      </x:c>
      <x:c r="I150" s="31">
        <x:v>0.00</x:v>
      </x:c>
      <x:c r="J150" s="31">
        <x:v>0.00</x:v>
      </x:c>
      <x:c r="K150" s="33">
        <x:f>SUM(F150:J150)</x:f>
        <x:v>0.00</x:v>
      </x:c>
      <x:c r="L150" s="31">
        <x:v>15297853.59</x:v>
      </x:c>
      <x:c r="M150" s="31"/>
      <x:c r="N150" s="31">
        <x:v>167363.539467248306962864956055104059</x:v>
      </x:c>
      <x:c r="O150" s="31">
        <x:v>1005037.040324166206625859521507840608</x:v>
      </x:c>
      <x:c r="P150" s="31">
        <x:v>8015351.300208586286411275522418679827</x:v>
      </x:c>
      <x:c r="Q150" s="31">
        <x:f>N150+O150+P150</x:f>
        <x:v>9187751.8800000008</x:v>
      </x:c>
      <x:c r="R150" s="19">
        <x:f>SUM(L150:P150)</x:f>
        <x:v>24485605.4700000008</x:v>
      </x:c>
      <x:c r="S150" s="37">
        <x:v>0.00</x:v>
      </x:c>
    </x:row>
    <x:row r="151" s="20" customFormat="1">
      <x:c r="A151" s="20">
        <x:v>265</x:v>
      </x:c>
      <x:c r="B151" s="7"/>
      <x:c r="C151" s="8"/>
      <x:c r="D151" s="21"/>
      <x:c r="E151" s="24" t="s">
        <x:v>166</x:v>
      </x:c>
      <x:c r="F151" s="31">
        <x:v>148407.00</x:v>
      </x:c>
      <x:c r="G151" s="31">
        <x:v>0.00</x:v>
      </x:c>
      <x:c r="H151" s="31">
        <x:v>3043.00</x:v>
      </x:c>
      <x:c r="I151" s="31">
        <x:v>3917.00</x:v>
      </x:c>
      <x:c r="J151" s="31">
        <x:v>17233.00</x:v>
      </x:c>
      <x:c r="K151" s="33">
        <x:f>SUM(F151:J151)</x:f>
        <x:v>172600.00</x:v>
      </x:c>
      <x:c r="L151" s="31"/>
      <x:c r="M151" s="31"/>
      <x:c r="N151" s="31"/>
      <x:c r="O151" s="31"/>
      <x:c r="P151" s="31"/>
      <x:c r="Q151" s="31"/>
      <x:c r="R151" s="19"/>
      <x:c r="S151" s="37"/>
    </x:row>
    <x:row r="152" s="20" customFormat="1">
      <x:c r="A152" s="20">
        <x:v>266</x:v>
      </x:c>
      <x:c r="B152" s="7"/>
      <x:c r="C152" s="8"/>
      <x:c r="D152" s="21"/>
      <x:c r="E152" s="24" t="s">
        <x:v>167</x:v>
      </x:c>
      <x:c r="F152" s="31">
        <x:v>21731601.00</x:v>
      </x:c>
      <x:c r="G152" s="31">
        <x:v>0.00</x:v>
      </x:c>
      <x:c r="H152" s="31">
        <x:v>445617.00</x:v>
      </x:c>
      <x:c r="I152" s="31">
        <x:v>573521.00</x:v>
      </x:c>
      <x:c r="J152" s="31">
        <x:v>2523497.00</x:v>
      </x:c>
      <x:c r="K152" s="33">
        <x:f>SUM(F152:J152)</x:f>
        <x:v>25274236.00</x:v>
      </x:c>
      <x:c r="L152" s="31"/>
      <x:c r="M152" s="31"/>
      <x:c r="N152" s="31"/>
      <x:c r="O152" s="31"/>
      <x:c r="P152" s="31"/>
      <x:c r="Q152" s="31"/>
      <x:c r="R152" s="19"/>
      <x:c r="S152" s="37"/>
    </x:row>
    <x:row r="153" s="20" customFormat="1">
      <x:c r="A153" s="20">
        <x:v>267</x:v>
      </x:c>
      <x:c r="B153" s="7"/>
      <x:c r="C153" s="8"/>
      <x:c r="D153" s="21"/>
      <x:c r="E153" s="24" t="s">
        <x:v>168</x:v>
      </x:c>
      <x:c r="F153" s="31">
        <x:v>36269829.00</x:v>
      </x:c>
      <x:c r="G153" s="31">
        <x:v>0.00</x:v>
      </x:c>
      <x:c r="H153" s="31">
        <x:v>743730.00</x:v>
      </x:c>
      <x:c r="I153" s="31">
        <x:v>957201.00</x:v>
      </x:c>
      <x:c r="J153" s="31">
        <x:v>4211691.00</x:v>
      </x:c>
      <x:c r="K153" s="33">
        <x:f>SUM(F153:J153)</x:f>
        <x:v>42182451.00</x:v>
      </x:c>
      <x:c r="L153" s="31">
        <x:v>5567102.0700000003</x:v>
      </x:c>
      <x:c r="M153" s="31"/>
      <x:c r="N153" s="31">
        <x:v>40115.682309287198835500590081442235</x:v>
      </x:c>
      <x:c r="O153" s="31">
        <x:v>240899.223015060438495364688499731824</x:v>
      </x:c>
      <x:c r="P153" s="31">
        <x:v>1921214.664675652162669134721414421480</x:v>
      </x:c>
      <x:c r="Q153" s="31">
        <x:f>N153+O153+P153</x:f>
        <x:v>2202229.5699999998</x:v>
      </x:c>
      <x:c r="R153" s="19">
        <x:f>SUM(L153:P153)</x:f>
        <x:v>7769331.6400000001</x:v>
      </x:c>
      <x:c r="S153" s="37">
        <x:f>IF(K153=0,0,R153/K153)</x:f>
        <x:v>0.184183978308894381</x:v>
      </x:c>
    </x:row>
    <x:row r="154" s="20" customFormat="1">
      <x:c r="A154" s="20">
        <x:v>268</x:v>
      </x:c>
      <x:c r="B154" s="7"/>
      <x:c r="C154" s="8"/>
      <x:c r="D154" s="21"/>
      <x:c r="E154" s="24" t="s">
        <x:v>169</x:v>
      </x:c>
      <x:c r="F154" s="31">
        <x:v>0.00</x:v>
      </x:c>
      <x:c r="G154" s="31">
        <x:v>0.00</x:v>
      </x:c>
      <x:c r="H154" s="31">
        <x:v>0.00</x:v>
      </x:c>
      <x:c r="I154" s="31">
        <x:v>0.00</x:v>
      </x:c>
      <x:c r="J154" s="31">
        <x:v>0.00</x:v>
      </x:c>
      <x:c r="K154" s="33">
        <x:f>SUM(F154:J154)</x:f>
        <x:v>0.00</x:v>
      </x:c>
      <x:c r="L154" s="31"/>
      <x:c r="M154" s="31"/>
      <x:c r="N154" s="31"/>
      <x:c r="O154" s="31"/>
      <x:c r="P154" s="31"/>
      <x:c r="Q154" s="31"/>
      <x:c r="R154" s="19"/>
      <x:c r="S154" s="37"/>
    </x:row>
    <x:row r="155" s="20" customFormat="1">
      <x:c r="A155" s="20">
        <x:v>274</x:v>
      </x:c>
      <x:c r="B155" s="7"/>
      <x:c r="C155" s="8"/>
      <x:c r="D155" s="21"/>
      <x:c r="E155" s="24" t="s">
        <x:v>170</x:v>
      </x:c>
      <x:c r="F155" s="31">
        <x:v>213005369.00</x:v>
      </x:c>
      <x:c r="G155" s="31">
        <x:v>0.00</x:v>
      </x:c>
      <x:c r="H155" s="31">
        <x:v>4367778.00</x:v>
      </x:c>
      <x:c r="I155" s="31">
        <x:v>5621445.00</x:v>
      </x:c>
      <x:c r="J155" s="31">
        <x:v>24734411.00</x:v>
      </x:c>
      <x:c r="K155" s="33">
        <x:f>SUM(F155:J155)</x:f>
        <x:v>247729003.00</x:v>
      </x:c>
      <x:c r="L155" s="31">
        <x:v>164703000.59</x:v>
      </x:c>
      <x:c r="M155" s="31"/>
      <x:c r="N155" s="31">
        <x:v>1318682.525162402726048589580370806390</x:v>
      </x:c>
      <x:c r="O155" s="31">
        <x:v>7918838.155760767855233727659914940419</x:v>
      </x:c>
      <x:c r="P155" s="31">
        <x:v>63154159.659076833418717682759569469829</x:v>
      </x:c>
      <x:c r="Q155" s="31">
        <x:f>N155+O155+P155</x:f>
        <x:v>72391680.340000004</x:v>
      </x:c>
      <x:c r="R155" s="19">
        <x:f>SUM(L155:P155)</x:f>
        <x:v>237094680.930000004</x:v>
      </x:c>
      <x:c r="S155" s="37">
        <x:f>IF(K155=0,0,R155/K155)</x:f>
        <x:v>0.957072761197848134</x:v>
      </x:c>
    </x:row>
    <x:row r="156" s="20" customFormat="1">
      <x:c r="A156" s="20">
        <x:v>275</x:v>
      </x:c>
      <x:c r="B156" s="7"/>
      <x:c r="C156" s="8"/>
      <x:c r="D156" s="21"/>
      <x:c r="E156" s="24" t="s">
        <x:v>171</x:v>
      </x:c>
      <x:c r="F156" s="31">
        <x:v>41926315.00</x:v>
      </x:c>
      <x:c r="G156" s="31">
        <x:v>0.00</x:v>
      </x:c>
      <x:c r="H156" s="31">
        <x:v>859719.00</x:v>
      </x:c>
      <x:c r="I156" s="31">
        <x:v>1106481.00</x:v>
      </x:c>
      <x:c r="J156" s="31">
        <x:v>4868529.00</x:v>
      </x:c>
      <x:c r="K156" s="33">
        <x:f>SUM(F156:J156)</x:f>
        <x:v>48761044.00</x:v>
      </x:c>
      <x:c r="L156" s="31">
        <x:v>23736784.210000001</x:v>
      </x:c>
      <x:c r="M156" s="31"/>
      <x:c r="N156" s="31">
        <x:v>189172.381778064117185174332128545999</x:v>
      </x:c>
      <x:c r="O156" s="31">
        <x:v>1136001.612409163745994330199231052423</x:v>
      </x:c>
      <x:c r="P156" s="31">
        <x:v>9059817.335812772136820495468619631594</x:v>
      </x:c>
      <x:c r="Q156" s="31">
        <x:f>N156+O156+P156</x:f>
        <x:v>10384991.33</x:v>
      </x:c>
      <x:c r="R156" s="19">
        <x:f>SUM(L156:P156)</x:f>
        <x:v>34121775.540000001</x:v>
      </x:c>
      <x:c r="S156" s="37">
        <x:f>IF(K156=0,0,R156/K156)</x:f>
        <x:v>0.699775327616037117</x:v>
      </x:c>
    </x:row>
    <x:row r="157" s="20" customFormat="1">
      <x:c r="A157" s="20">
        <x:v>276</x:v>
      </x:c>
      <x:c r="B157" s="7"/>
      <x:c r="C157" s="8"/>
      <x:c r="D157" s="21"/>
      <x:c r="E157" s="24" t="s">
        <x:v>172</x:v>
      </x:c>
      <x:c r="F157" s="31">
        <x:v>247438530.00</x:v>
      </x:c>
      <x:c r="G157" s="31">
        <x:v>0.00</x:v>
      </x:c>
      <x:c r="H157" s="31">
        <x:v>5073847.00</x:v>
      </x:c>
      <x:c r="I157" s="31">
        <x:v>6530174.00</x:v>
      </x:c>
      <x:c r="J157" s="31">
        <x:v>28732827.00</x:v>
      </x:c>
      <x:c r="K157" s="33">
        <x:f>SUM(F157:J157)</x:f>
        <x:v>287775378.00</x:v>
      </x:c>
      <x:c r="L157" s="31">
        <x:v>111259095.58</x:v>
      </x:c>
      <x:c r="M157" s="31"/>
      <x:c r="N157" s="31">
        <x:v>881762.026117856114584494376536086653</x:v>
      </x:c>
      <x:c r="O157" s="31">
        <x:v>5295080.994466857096069032473263214948</x:v>
      </x:c>
      <x:c r="P157" s="31">
        <x:v>42229224.029415283789346473150103886263</x:v>
      </x:c>
      <x:c r="Q157" s="31">
        <x:f>N157+O157+P157</x:f>
        <x:v>48406067.049999997</x:v>
      </x:c>
      <x:c r="R157" s="19">
        <x:f>SUM(L157:P157)</x:f>
        <x:v>159665162.629999997</x:v>
      </x:c>
      <x:c r="S157" s="37">
        <x:f>IF(K157=0,0,R157/K157)</x:f>
        <x:v>0.554825655133011403</x:v>
      </x:c>
    </x:row>
    <x:row r="158" s="20" customFormat="1">
      <x:c r="A158" s="20">
        <x:v>277</x:v>
      </x:c>
      <x:c r="B158" s="7"/>
      <x:c r="C158" s="8"/>
      <x:c r="D158" s="21"/>
      <x:c r="E158" s="24" t="s">
        <x:v>173</x:v>
      </x:c>
      <x:c r="F158" s="31">
        <x:v>0.00</x:v>
      </x:c>
      <x:c r="G158" s="31">
        <x:v>0.00</x:v>
      </x:c>
      <x:c r="H158" s="31">
        <x:v>0.00</x:v>
      </x:c>
      <x:c r="I158" s="31">
        <x:v>0.00</x:v>
      </x:c>
      <x:c r="J158" s="31">
        <x:v>0.00</x:v>
      </x:c>
      <x:c r="K158" s="33">
        <x:f>SUM(F158:J158)</x:f>
        <x:v>0.00</x:v>
      </x:c>
      <x:c r="L158" s="31"/>
      <x:c r="M158" s="31"/>
      <x:c r="N158" s="31"/>
      <x:c r="O158" s="31"/>
      <x:c r="P158" s="31"/>
      <x:c r="Q158" s="31"/>
      <x:c r="R158" s="19"/>
      <x:c r="S158" s="37"/>
    </x:row>
    <x:row r="159" s="20" customFormat="1">
      <x:c r="A159" s="20">
        <x:v>278</x:v>
      </x:c>
      <x:c r="B159" s="7"/>
      <x:c r="C159" s="8"/>
      <x:c r="D159" s="21"/>
      <x:c r="E159" s="24" t="s">
        <x:v>174</x:v>
      </x:c>
      <x:c r="F159" s="31">
        <x:v>0.00</x:v>
      </x:c>
      <x:c r="G159" s="31">
        <x:v>0.00</x:v>
      </x:c>
      <x:c r="H159" s="31">
        <x:v>0.00</x:v>
      </x:c>
      <x:c r="I159" s="31">
        <x:v>0.00</x:v>
      </x:c>
      <x:c r="J159" s="31">
        <x:v>0.00</x:v>
      </x:c>
      <x:c r="K159" s="33">
        <x:f>SUM(F159:J159)</x:f>
        <x:v>0.00</x:v>
      </x:c>
      <x:c r="L159" s="24"/>
      <x:c r="M159" s="24"/>
      <x:c r="N159" s="31">
        <x:v>95291.026003943894599425274323782863</x:v>
      </x:c>
      <x:c r="O159" s="31">
        <x:v>572233.421026558439453382215232353430</x:v>
      </x:c>
      <x:c r="P159" s="31">
        <x:v>4563664.532969498065947192510433401328</x:v>
      </x:c>
      <x:c r="Q159" s="31">
        <x:f>N159+O159+P159</x:f>
        <x:v>5231188.9800000004</x:v>
      </x:c>
      <x:c r="R159" s="19">
        <x:f>SUM(L159:P159)</x:f>
        <x:v>5231188.9800000004</x:v>
      </x:c>
      <x:c r="S159" s="37">
        <x:v>0.00</x:v>
      </x:c>
    </x:row>
    <x:row r="160" s="20" customFormat="1">
      <x:c r="A160" s="20">
        <x:v>279</x:v>
      </x:c>
      <x:c r="B160" s="7"/>
      <x:c r="C160" s="8"/>
      <x:c r="D160" s="21"/>
      <x:c r="E160" s="24" t="s">
        <x:v>175</x:v>
      </x:c>
      <x:c r="F160" s="31">
        <x:v>0.00</x:v>
      </x:c>
      <x:c r="G160" s="31">
        <x:v>0.00</x:v>
      </x:c>
      <x:c r="H160" s="31">
        <x:v>0.00</x:v>
      </x:c>
      <x:c r="I160" s="31">
        <x:v>0.00</x:v>
      </x:c>
      <x:c r="J160" s="31">
        <x:v>0.00</x:v>
      </x:c>
      <x:c r="K160" s="33">
        <x:f>SUM(F160:J160)</x:f>
        <x:v>0.00</x:v>
      </x:c>
      <x:c r="L160" s="24"/>
      <x:c r="M160" s="24"/>
      <x:c r="N160" s="31"/>
      <x:c r="O160" s="31"/>
      <x:c r="P160" s="31"/>
      <x:c r="Q160" s="31"/>
      <x:c r="R160" s="19"/>
      <x:c r="S160" s="37"/>
    </x:row>
    <x:row r="161" s="23" customFormat="1">
      <x:c r="B161" s="12">
        <x:v>23</x:v>
      </x:c>
      <x:c r="C161" s="8" t="s">
        <x:v>34</x:v>
      </x:c>
      <x:c r="D161" s="14"/>
      <x:c r="E161" s="15" t="s">
        <x:v>176</x:v>
      </x:c>
      <x:c r="F161" s="32">
        <x:f>SUM(F146:F160)</x:f>
        <x:v>718089861.00</x:v>
      </x:c>
      <x:c r="G161" s="32">
        <x:f>SUM(G146:G160)</x:f>
        <x:v>0.00</x:v>
      </x:c>
      <x:c r="H161" s="32">
        <x:f>SUM(H146:H160)</x:f>
        <x:v>14724779.00</x:v>
      </x:c>
      <x:c r="I161" s="32">
        <x:f>SUM(I146:I160)</x:f>
        <x:v>18951179.00</x:v>
      </x:c>
      <x:c r="J161" s="32">
        <x:f>SUM(J146:J160)</x:f>
        <x:v>83385362.00</x:v>
      </x:c>
      <x:c r="K161" s="32">
        <x:f>SUM(K146:K160)</x:f>
        <x:v>835151181.00</x:v>
      </x:c>
      <x:c r="L161" s="32">
        <x:f>SUM(L146:L160)</x:f>
        <x:v>416581616.4299999973</x:v>
      </x:c>
      <x:c r="M161" s="32"/>
      <x:c r="N161" s="32">
        <x:f>SUM(N146:N160)</x:f>
        <x:v>3465931.514729013238961652042815900306</x:v>
      </x:c>
      <x:c r="O161" s="32">
        <x:f>SUM(O146:O160)</x:f>
        <x:v>20813311.923360541395347355538055466655</x:v>
      </x:c>
      <x:c r="P161" s="32">
        <x:f>SUM(P146:P160)</x:f>
        <x:v>165989908.921910448365690992418748094721</x:v>
      </x:c>
      <x:c r="Q161" s="32">
        <x:f>SUM(Q146:Q160)</x:f>
        <x:v>190269152.3600000030</x:v>
      </x:c>
      <x:c r="R161" s="16">
        <x:f>SUM(R146:R160)</x:f>
        <x:v>606850768.7900000003</x:v>
      </x:c>
      <x:c r="S161" s="37">
        <x:f>IF(K161=0,0,R161/K161)</x:f>
        <x:v>0.726635826657592908</x:v>
      </x:c>
    </x:row>
    <x:row r="162" s="20" customFormat="1">
      <x:c r="B162" s="7"/>
      <x:c r="C162" s="8"/>
      <x:c r="D162" s="21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33"/>
      <x:c r="O162" s="33"/>
      <x:c r="P162" s="33"/>
      <x:c r="Q162" s="33"/>
      <x:c r="R162" s="19"/>
      <x:c r="S162" s="19"/>
    </x:row>
    <x:row r="163" s="23" customFormat="1">
      <x:c r="B163" s="12"/>
      <x:c r="C163" s="8" t="s">
        <x:v>34</x:v>
      </x:c>
      <x:c r="D163" s="14"/>
      <x:c r="E163" s="15" t="s">
        <x:v>177</x:v>
      </x:c>
      <x:c r="F163" s="32">
        <x:f>SUM(F53,F143,F161)</x:f>
        <x:v>9810632349.00</x:v>
      </x:c>
      <x:c r="G163" s="32">
        <x:f>SUM(G53,G143,G161)</x:f>
        <x:v>0.00</x:v>
      </x:c>
      <x:c r="H163" s="32">
        <x:f>SUM(H53,H143,H161)</x:f>
        <x:v>201171756.00</x:v>
      </x:c>
      <x:c r="I163" s="32">
        <x:f>SUM(I53,I143,I161)</x:f>
        <x:v>258913345.00</x:v>
      </x:c>
      <x:c r="J163" s="32">
        <x:f>SUM(J53,J143,J161)</x:f>
        <x:v>1139221128.00</x:v>
      </x:c>
      <x:c r="K163" s="32">
        <x:f>SUM(K53,K143,K161)</x:f>
        <x:v>11409938578.00</x:v>
      </x:c>
      <x:c r="L163" s="32">
        <x:f>SUM(L53,L143,L161)</x:f>
        <x:v>4075159286.2899999561</x:v>
      </x:c>
      <x:c r="M163" s="32"/>
      <x:c r="N163" s="32">
        <x:f>SUM(N53,N143,N161)</x:f>
        <x:v>33961500.270138164422971626687688296498</x:v>
      </x:c>
      <x:c r="O163" s="32">
        <x:f>SUM(O53,O143,O161)</x:f>
        <x:v>203942661.735756964741632288395534084249</x:v>
      </x:c>
      <x:c r="P163" s="32">
        <x:f>SUM(P53,P143,P161)</x:f>
        <x:v>1626479436.404104884755396084913048851995</x:v>
      </x:c>
      <x:c r="Q163" s="32">
        <x:f>SUM(Q53,Q143,Q161)</x:f>
        <x:v>1864383598.41000001392</x:v>
      </x:c>
      <x:c r="R163" s="16">
        <x:f>SUM(R161,R143,R53)</x:f>
        <x:v>5939542884.69999997002</x:v>
      </x:c>
      <x:c r="S163" s="37">
        <x:f>IF(K163=0,0,R163/K163)</x:f>
        <x:v>0.520558708015509526</x:v>
      </x:c>
    </x:row>
    <x:row r="164" s="20" customFormat="1">
      <x:c r="B164" s="7"/>
      <x:c r="C164" s="8"/>
      <x:c r="D164" s="21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33"/>
      <x:c r="O164" s="33"/>
      <x:c r="P164" s="33"/>
      <x:c r="Q164" s="33"/>
      <x:c r="R164" s="19"/>
      <x:c r="S164" s="19"/>
    </x:row>
    <x:row r="165" s="23" customFormat="1">
      <x:c r="A165" s="23">
        <x:v>0</x:v>
      </x:c>
      <x:c r="B165" s="12">
        <x:v>25</x:v>
      </x:c>
      <x:c r="C165" s="8" t="s">
        <x:v>27</x:v>
      </x:c>
      <x:c r="D165" s="14" t="s">
        <x:v>178</x:v>
      </x:c>
      <x:c r="E165" s="15"/>
      <x:c r="F165" s="15">
        <x:v>0.00</x:v>
      </x:c>
      <x:c r="G165" s="15">
        <x:v>0.00</x:v>
      </x:c>
      <x:c r="H165" s="15">
        <x:v>0.00</x:v>
      </x:c>
      <x:c r="I165" s="15">
        <x:v>0.00</x:v>
      </x:c>
      <x:c r="J165" s="15">
        <x:v>0.00</x:v>
      </x:c>
      <x:c r="K165" s="15">
        <x:v>0.00</x:v>
      </x:c>
      <x:c r="L165" s="32">
        <x:v>457884.39</x:v>
      </x:c>
      <x:c r="M165" s="15"/>
      <x:c r="N165" s="32">
        <x:v>834580.652905907087593677625348434852</x:v>
      </x:c>
      <x:c r="O165" s="32">
        <x:v>5011751.496044970110009406763528065496</x:v>
      </x:c>
      <x:c r="P165" s="32">
        <x:v>39969620.281049122802396915611031867745</x:v>
      </x:c>
      <x:c r="Q165" s="32">
        <x:f>N165+O165+P165</x:f>
        <x:v>45815952.43</x:v>
      </x:c>
      <x:c r="R165" s="16">
        <x:f>SUM(L165:P165)</x:f>
        <x:v>46273836.82</x:v>
      </x:c>
      <x:c r="S165" s="16">
        <x:v>0.00</x:v>
      </x:c>
    </x:row>
    <x:row r="166" s="20" customFormat="1">
      <x:c r="B166" s="7"/>
      <x:c r="C166" s="8"/>
      <x:c r="D166" s="21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19"/>
      <x:c r="S166" s="19"/>
    </x:row>
    <x:row r="167" s="23" customFormat="1">
      <x:c r="B167" s="12"/>
      <x:c r="C167" s="8" t="s">
        <x:v>27</x:v>
      </x:c>
      <x:c r="D167" s="14" t="s">
        <x:v>179</x:v>
      </x:c>
      <x:c r="E167" s="15"/>
      <x:c r="F167" s="32">
        <x:f>F24+F26-F163+F165</x:f>
        <x:v>33292774349.00</x:v>
      </x:c>
      <x:c r="G167" s="32">
        <x:f>G24+G26-G163+G165</x:f>
        <x:v>3470289726.00</x:v>
      </x:c>
      <x:c r="H167" s="32">
        <x:f>H24+H26-H163+H165</x:f>
        <x:v>845213540.00</x:v>
      </x:c>
      <x:c r="I167" s="32">
        <x:f>I24+I26-I163+I165</x:f>
        <x:v>2045550125.00</x:v>
      </x:c>
      <x:c r="J167" s="32">
        <x:f>J24+J26-J163+J165</x:f>
        <x:v>1574087686.00</x:v>
      </x:c>
      <x:c r="K167" s="32">
        <x:f>K24+K26-K163+K165</x:f>
        <x:v>41227915426.00</x:v>
      </x:c>
      <x:c r="L167" s="32">
        <x:f>L24+L26-L163+L165</x:f>
        <x:v>24639185860.129997120597</x:v>
      </x:c>
      <x:c r="M167" s="32">
        <x:f>M24+M26-M163+M165</x:f>
        <x:v>1291066789.00</x:v>
      </x:c>
      <x:c r="N167" s="32">
        <x:f>N24+N26-N163+N165</x:f>
        <x:v>398238799.982767749964622050937660138354</x:v>
      </x:c>
      <x:c r="O167" s="32">
        <x:f>O24+O26-O163+O165</x:f>
        <x:v>1874016855.360287836358377118367993981247</x:v>
      </x:c>
      <x:c r="P167" s="32">
        <x:f>P24+P26-P163+P165</x:f>
        <x:v>-8547622519.413053887552999169302016984250</x:v>
      </x:c>
      <x:c r="Q167" s="32">
        <x:f>Q24+Q26-Q163+Q165</x:f>
        <x:v>-9286027552.65999837123</x:v>
      </x:c>
      <x:c r="R167" s="16">
        <x:f>R24+R26-R163+R165</x:f>
        <x:v>16644225096.469998749367</x:v>
      </x:c>
      <x:c r="S167" s="37">
        <x:f>IF(K167=0,0,R167/K167)</x:f>
        <x:v>0.403712507035305344</x:v>
      </x:c>
    </x:row>
    <x:row r="168" s="7" customFormat="1">
      <x:c r="C168" s="8"/>
      <x:c r="D168" s="25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7"/>
      <x:c r="S168"/>
    </x:row>
    <x:row r="169">
      <x:c r="F169"/>
      <x:c r="G169"/>
      <x:c r="H169"/>
      <x:c r="I169"/>
      <x:c r="J169"/>
      <x:c r="K169" s="48"/>
      <x:c r="L169"/>
      <x:c r="M169"/>
      <x:c r="N169"/>
      <x:c r="O169"/>
      <x:c r="P169"/>
      <x:c r="Q169"/>
      <x:c r="R169"/>
      <x:c r="S169"/>
    </x:row>
    <x:row r="170">
      <x:c r="F170"/>
      <x:c r="G170"/>
      <x:c r="H170"/>
      <x:c r="I170"/>
      <x:c r="J170" s="45"/>
      <x:c r="K170" s="66"/>
      <x:c r="L170"/>
      <x:c r="M170"/>
      <x:c r="N170"/>
      <x:c r="O170" s="45"/>
      <x:c r="P170" s="45"/>
      <x:c r="Q170" s="45"/>
      <x:c r="R170" s="66"/>
      <x:c r="S170" s="37"/>
    </x:row>
    <x:row r="171"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</x:row>
    <x:row r="172"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</x:row>
    <x:row r="173"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</x:row>
    <x:row r="174"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</x:row>
    <x:row r="175"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</x:row>
    <x:row r="176"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</x:row>
  </x:sheetData>
  <x:mergeCells>
    <x:mergeCell ref="D5:E7"/>
    <x:mergeCell ref="F5:K5"/>
    <x:mergeCell ref="L5:R5"/>
  </x:mergeCells>
  <x:conditionalFormatting sqref="A1:A1048576">
    <x:cfRule type="duplicateValues" dxfId="11" priority="15"/>
  </x:conditionalFormatting>
  <x:conditionalFormatting sqref="D8:R168">
    <x:cfRule type="expression" dxfId="10" priority="14">
      <x:formula>IF(MOD(ROW(),2)=0,TRUE,FALSE)</x:formula>
    </x:cfRule>
  </x:conditionalFormatting>
  <x:conditionalFormatting sqref="D9:S167">
    <x:cfRule type="expression" dxfId="9" priority="7">
      <x:formula>IF($C9="Y2",1,0)</x:formula>
    </x:cfRule>
    <x:cfRule type="expression" dxfId="8" priority="8">
      <x:formula>IF($C9="X2",1,0)</x:formula>
    </x:cfRule>
    <x:cfRule type="expression" dxfId="7" priority="9">
      <x:formula>IF($C9="X1",1,0)</x:formula>
    </x:cfRule>
  </x:conditionalFormatting>
  <x:conditionalFormatting sqref="S8:S167">
    <x:cfRule type="expression" dxfId="6" priority="10">
      <x:formula>IF(MOD(ROW(),2)=0,TRUE,FALSE)</x:formula>
    </x:cfRule>
  </x:conditionalFormatting>
  <x:conditionalFormatting sqref="S9:S167">
    <x:cfRule type="cellIs" dxfId="5" priority="6" operator="greaterThan">
      <x:formula>1</x:formula>
    </x:cfRule>
  </x:conditionalFormatting>
  <x:conditionalFormatting sqref="S170:S170">
    <x:cfRule type="cellIs" dxfId="4" priority="1" operator="greaterThan">
      <x:formula>1</x:formula>
    </x:cfRule>
    <x:cfRule type="expression" dxfId="3" priority="2">
      <x:formula>IF($C170="Y2",1,0)</x:formula>
    </x:cfRule>
    <x:cfRule type="expression" dxfId="2" priority="3">
      <x:formula>IF($C170="X2",1,0)</x:formula>
    </x:cfRule>
    <x:cfRule type="expression" dxfId="1" priority="4">
      <x:formula>IF($C170="X1",1,0)</x:formula>
    </x:cfRule>
    <x:cfRule type="expression" dxfId="0" priority="5">
      <x:formula>IF(MOD(ROW(),2)=0,TRUE,FALSE)</x:formula>
    </x:cfRule>
  </x:conditionalFormatting>
  <x:pageMargins left="0.7" right="0.7" top="0.75" bottom="0.75" header="0.3" footer="0.3"/>
</x:worksheet>
</file>